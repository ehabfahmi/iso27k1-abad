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1.xml" ContentType="application/vnd.openxmlformats-officedocument.spreadsheetml.comments+xml"/>
  <Override PartName="/xl/drawings/drawing3.xml" ContentType="application/vnd.openxmlformats-officedocument.drawing+xml"/>
  <Override PartName="/xl/tables/table2.xml" ContentType="application/vnd.openxmlformats-officedocument.spreadsheetml.table+xml"/>
  <Override PartName="/xl/slicers/slicer2.xml" ContentType="application/vnd.ms-excel.slicer+xml"/>
  <Override PartName="/xl/comments2.xml" ContentType="application/vnd.openxmlformats-officedocument.spreadsheetml.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xml" ContentType="application/vnd.openxmlformats-officedocument.spreadsheetml.pivotTable+xml"/>
  <Override PartName="/xl/tables/table3.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4.xml" ContentType="application/vnd.openxmlformats-officedocument.spreadsheetml.table+xml"/>
  <Override PartName="/xl/pivotTables/pivotTable4.xml" ContentType="application/vnd.openxmlformats-officedocument.spreadsheetml.pivotTable+xml"/>
  <Override PartName="/xl/tables/table5.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codeName="ThisWorkbook" hidePivotFieldList="1"/>
  <mc:AlternateContent xmlns:mc="http://schemas.openxmlformats.org/markup-compatibility/2006">
    <mc:Choice Requires="x15">
      <x15ac:absPath xmlns:x15ac="http://schemas.microsoft.com/office/spreadsheetml/2010/11/ac" url="https://publicit3.sharepoint.com/sites/ToolkitDevelopment/Shared Documents/ISO22301 v6/CERTIKIT ISO-22301-2019 Toolkit V6/08. Operation/"/>
    </mc:Choice>
  </mc:AlternateContent>
  <xr:revisionPtr revIDLastSave="12" documentId="13_ncr:1_{13CE57A3-C1A6-4CAA-9D6C-F60040E1D088}" xr6:coauthVersionLast="47" xr6:coauthVersionMax="47" xr10:uidLastSave="{37492F43-D9D3-4438-98DB-439A159AB316}"/>
  <bookViews>
    <workbookView xWindow="-120" yWindow="-120" windowWidth="29040" windowHeight="15840" tabRatio="854" xr2:uid="{00000000-000D-0000-FFFF-FFFF00000000}"/>
  </bookViews>
  <sheets>
    <sheet name="Assessment Details" sheetId="9" r:id="rId1"/>
    <sheet name="Risk Assessment" sheetId="8" r:id="rId2"/>
    <sheet name="Opportunity Assessment" sheetId="38" r:id="rId3"/>
    <sheet name="Dashboard" sheetId="55" r:id="rId4"/>
    <sheet name="Pre-treatment Risks Pivot" sheetId="62" state="hidden" r:id="rId5"/>
    <sheet name="Pre-treatment Risk Owners Pivot" sheetId="61" state="hidden" r:id="rId6"/>
    <sheet name="Post-treatment Risks Pivot" sheetId="60" state="hidden" r:id="rId7"/>
    <sheet name="Pre &amp; Post Risks By Level Pivot" sheetId="59" state="hidden" r:id="rId8"/>
    <sheet name="Treatment option chosen Pivot" sheetId="58" state="hidden" r:id="rId9"/>
    <sheet name="Total treatment costs Pivot" sheetId="57" state="hidden" r:id="rId10"/>
    <sheet name="Treatment Action Owner" sheetId="63" state="hidden" r:id="rId11"/>
    <sheet name="Opps By Level" sheetId="68" state="hidden" r:id="rId12"/>
    <sheet name="Opps By Level &amp; Type" sheetId="66" state="hidden" r:id="rId13"/>
    <sheet name="Opp Levels By Opp Owner" sheetId="64" state="hidden" r:id="rId14"/>
    <sheet name="Opp Action Owner" sheetId="67" state="hidden" r:id="rId15"/>
    <sheet name="Example Threats" sheetId="46" r:id="rId16"/>
    <sheet name="Likelihood" sheetId="13" r:id="rId17"/>
    <sheet name="Risk Impact" sheetId="40" r:id="rId18"/>
    <sheet name="Opportunity Impact" sheetId="41" r:id="rId19"/>
    <sheet name="Selection Tables" sheetId="4" state="hidden" r:id="rId20"/>
  </sheets>
  <definedNames>
    <definedName name="NoRisksPre" localSheetId="6">#REF!</definedName>
    <definedName name="NoRisksPre" localSheetId="7">#REF!</definedName>
    <definedName name="NoRisksPre" localSheetId="5">#REF!</definedName>
    <definedName name="NoRisksPre" localSheetId="4">#REF!</definedName>
    <definedName name="NoRisksPre" localSheetId="9">#REF!</definedName>
    <definedName name="NoRisksPre" localSheetId="8">#REF!</definedName>
    <definedName name="NoRisksPre">#REF!</definedName>
    <definedName name="_xlnm.Print_Area" localSheetId="0">'Assessment Details'!$A$1:$C$19</definedName>
    <definedName name="_xlnm.Print_Area" localSheetId="3">Dashboard!$A$1:$Z$135</definedName>
    <definedName name="_xlnm.Print_Area" localSheetId="15">'Example Threats'!$A$1:$D$39</definedName>
    <definedName name="_xlnm.Print_Area" localSheetId="16">Likelihood!$A$1:$E$17</definedName>
    <definedName name="_xlnm.Print_Area" localSheetId="2">'Opportunity Assessment'!$A$1:$P$15</definedName>
    <definedName name="_xlnm.Print_Area" localSheetId="1">'Risk Assessment'!$A$1:$X$22</definedName>
    <definedName name="_xlnm.Print_Titles" localSheetId="1">'Risk Assessment'!$B:$F,'Risk Assessment'!$13:$14</definedName>
    <definedName name="Slicer_ACTION_OWNER">#N/A</definedName>
    <definedName name="Slicer_OPPORTUNITY_LEVEL">#N/A</definedName>
    <definedName name="Slicer_OPPORTUNITY_OWNER">#N/A</definedName>
    <definedName name="Slicer_OPPORTUNITY_TYPE">#N/A</definedName>
    <definedName name="Slicer_Post_Treatment_Risk_Level">#N/A</definedName>
    <definedName name="Slicer_Risk_level">#N/A</definedName>
    <definedName name="Slicer_Risk_owner">#N/A</definedName>
    <definedName name="Slicer_Treatment_Action_Owner">#N/A</definedName>
    <definedName name="Slicer_Treatment_option_chosen">#N/A</definedName>
  </definedNames>
  <calcPr calcId="191029"/>
  <pivotCaches>
    <pivotCache cacheId="15" r:id="rId21"/>
    <pivotCache cacheId="16" r:id="rId22"/>
    <pivotCache cacheId="17" r:id="rId23"/>
    <pivotCache cacheId="18" r:id="rId24"/>
    <pivotCache cacheId="19" r:id="rId25"/>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6"/>
        <x14:slicerCache r:id="rId27"/>
        <x14:slicerCache r:id="rId28"/>
        <x14:slicerCache r:id="rId29"/>
        <x14:slicerCache r:id="rId30"/>
        <x14:slicerCache r:id="rId31"/>
        <x14:slicerCache r:id="rId32"/>
        <x14:slicerCache r:id="rId33"/>
        <x14:slicerCache r:id="rId34"/>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7" i="59" l="1"/>
  <c r="D8" i="59"/>
  <c r="D9" i="59"/>
  <c r="C7" i="59"/>
  <c r="C8" i="59"/>
  <c r="C9" i="59"/>
  <c r="C7" i="60"/>
  <c r="C8" i="60"/>
  <c r="C9" i="60"/>
  <c r="C7" i="62" l="1"/>
  <c r="C8" i="62"/>
  <c r="C9" i="62"/>
  <c r="K22" i="8" l="1"/>
  <c r="L22" i="8" s="1"/>
  <c r="V22" i="8"/>
  <c r="W22" i="8" s="1"/>
  <c r="Y64" i="55" l="1" a="1"/>
  <c r="Y64" i="55" s="1"/>
  <c r="Z66" i="55" a="1"/>
  <c r="Z66" i="55" s="1"/>
  <c r="Y66" i="55" a="1"/>
  <c r="Y66" i="55" s="1"/>
  <c r="X66" i="55" a="1"/>
  <c r="X66" i="55" s="1"/>
  <c r="W66" i="55" a="1"/>
  <c r="W66" i="55" s="1"/>
  <c r="Z65" i="55" a="1"/>
  <c r="Z65" i="55" s="1"/>
  <c r="Y65" i="55" a="1"/>
  <c r="Y65" i="55" s="1"/>
  <c r="X65" i="55" a="1"/>
  <c r="X65" i="55" s="1"/>
  <c r="W65" i="55" a="1"/>
  <c r="W65" i="55" s="1"/>
  <c r="Z64" i="55" a="1"/>
  <c r="Z64" i="55" s="1"/>
  <c r="X64" i="55" a="1"/>
  <c r="X64" i="55" s="1"/>
  <c r="W64" i="55" a="1"/>
  <c r="W64" i="55" s="1"/>
  <c r="Z63" i="55" a="1"/>
  <c r="Z63" i="55" s="1"/>
  <c r="Y63" i="55" a="1"/>
  <c r="Y63" i="55" s="1"/>
  <c r="X63" i="55" a="1"/>
  <c r="X63" i="55" s="1"/>
  <c r="W63" i="55" a="1"/>
  <c r="W63" i="55" s="1"/>
  <c r="Z62" i="55" a="1"/>
  <c r="Z62" i="55" s="1"/>
  <c r="Y62" i="55" a="1"/>
  <c r="Y62" i="55" s="1"/>
  <c r="X62" i="55" a="1"/>
  <c r="X62" i="55" s="1"/>
  <c r="W62" i="55" a="1"/>
  <c r="W62" i="55" s="1"/>
  <c r="V66" i="55" a="1"/>
  <c r="V66" i="55" s="1"/>
  <c r="V65" i="55" a="1"/>
  <c r="V65" i="55" s="1"/>
  <c r="V64" i="55" a="1"/>
  <c r="V64" i="55" s="1"/>
  <c r="V63" i="55" a="1"/>
  <c r="V63" i="55" s="1"/>
  <c r="V62" i="55" a="1"/>
  <c r="V62" i="55" s="1"/>
  <c r="R62" i="55" a="1"/>
  <c r="R62" i="55" s="1"/>
  <c r="Q62" i="55" a="1"/>
  <c r="Q62" i="55" s="1"/>
  <c r="P62" i="55" a="1"/>
  <c r="P62" i="55" s="1"/>
  <c r="O62" i="55" a="1"/>
  <c r="O62" i="55" s="1"/>
  <c r="R66" i="55" a="1"/>
  <c r="R66" i="55" s="1"/>
  <c r="Q66" i="55" a="1"/>
  <c r="Q66" i="55" s="1"/>
  <c r="P66" i="55" a="1"/>
  <c r="P66" i="55" s="1"/>
  <c r="O66" i="55" a="1"/>
  <c r="O66" i="55" s="1"/>
  <c r="N66" i="55" a="1"/>
  <c r="N66" i="55" s="1"/>
  <c r="R65" i="55" a="1"/>
  <c r="R65" i="55" s="1"/>
  <c r="Q65" i="55" a="1"/>
  <c r="Q65" i="55" s="1"/>
  <c r="P65" i="55" a="1"/>
  <c r="P65" i="55" s="1"/>
  <c r="O65" i="55" a="1"/>
  <c r="O65" i="55" s="1"/>
  <c r="N65" i="55" a="1"/>
  <c r="N65" i="55" s="1"/>
  <c r="R64" i="55" a="1"/>
  <c r="R64" i="55" s="1"/>
  <c r="Q64" i="55" a="1"/>
  <c r="Q64" i="55" s="1"/>
  <c r="P64" i="55" a="1"/>
  <c r="P64" i="55" s="1"/>
  <c r="O64" i="55" a="1"/>
  <c r="O64" i="55" s="1"/>
  <c r="N64" i="55" a="1"/>
  <c r="N64" i="55" s="1"/>
  <c r="R63" i="55" a="1"/>
  <c r="R63" i="55" s="1"/>
  <c r="Q63" i="55" a="1"/>
  <c r="Q63" i="55" s="1"/>
  <c r="P63" i="55" a="1"/>
  <c r="P63" i="55" s="1"/>
  <c r="O63" i="55" a="1"/>
  <c r="O63" i="55" s="1"/>
  <c r="N63" i="55" a="1"/>
  <c r="N63" i="55" s="1"/>
  <c r="N62" i="55" a="1"/>
  <c r="N62" i="55" s="1"/>
  <c r="K15" i="38" l="1"/>
  <c r="L15" i="38" s="1"/>
  <c r="K14" i="38"/>
  <c r="L14" i="38" s="1"/>
  <c r="K13" i="38"/>
  <c r="L13" i="38" s="1"/>
  <c r="V15" i="8" l="1"/>
  <c r="W15" i="8" s="1"/>
  <c r="V17" i="8"/>
  <c r="W17" i="8" s="1"/>
  <c r="V21" i="8" l="1"/>
  <c r="W21" i="8" s="1"/>
  <c r="V19" i="8"/>
  <c r="W19" i="8" s="1"/>
  <c r="V20" i="8"/>
  <c r="W20" i="8" s="1"/>
  <c r="V18" i="8"/>
  <c r="W18" i="8" s="1"/>
  <c r="V16" i="8"/>
  <c r="W16" i="8" s="1"/>
  <c r="K21" i="8" l="1"/>
  <c r="K20" i="8"/>
  <c r="K19" i="8"/>
  <c r="K18" i="8"/>
  <c r="K17" i="8"/>
  <c r="K16" i="8"/>
  <c r="K15" i="8"/>
  <c r="L15" i="8" s="1"/>
  <c r="L21" i="8" l="1"/>
  <c r="L17" i="8"/>
  <c r="L18" i="8"/>
  <c r="L19" i="8"/>
  <c r="L20" i="8"/>
  <c r="L16"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Ken Holmes</author>
  </authors>
  <commentList>
    <comment ref="B13" authorId="0" shapeId="0" xr:uid="{6B638FF0-0505-49F7-8094-8F7DC85084DD}">
      <text>
        <r>
          <rPr>
            <b/>
            <sz val="9"/>
            <color indexed="81"/>
            <rFont val="Tahoma"/>
            <family val="2"/>
          </rPr>
          <t>This section describes the nature of the risk and the risk owner.</t>
        </r>
      </text>
    </comment>
    <comment ref="F13" authorId="0" shapeId="0" xr:uid="{4BBD1BA4-BD95-488A-9331-BA3297664CB5}">
      <text>
        <r>
          <rPr>
            <b/>
            <sz val="9"/>
            <color indexed="81"/>
            <rFont val="Tahoma"/>
            <family val="2"/>
          </rPr>
          <t>This is an assessment of the level of current risk, taking into account any controls already in place to address it.</t>
        </r>
      </text>
    </comment>
    <comment ref="M13" authorId="0" shapeId="0" xr:uid="{87BFBED8-63B1-4842-9C52-FC36F3B83C95}">
      <text>
        <r>
          <rPr>
            <b/>
            <sz val="9"/>
            <color indexed="81"/>
            <rFont val="Tahoma"/>
            <family val="2"/>
          </rPr>
          <t>For those risks that are not accepted, a plan must be in place to take action to address the risk.</t>
        </r>
      </text>
    </comment>
    <comment ref="R13" authorId="0" shapeId="0" xr:uid="{091B2529-BD88-4956-836B-0EDC34BF0A46}">
      <text>
        <r>
          <rPr>
            <b/>
            <sz val="9"/>
            <color indexed="81"/>
            <rFont val="Tahoma"/>
            <family val="2"/>
          </rPr>
          <t>This section is used to assess what the level of risk will be, once the treatment actions have been carried out.</t>
        </r>
      </text>
    </comment>
    <comment ref="B14" authorId="0" shapeId="0" xr:uid="{DC6D314B-04E9-4499-AE0F-7B291E9772BB}">
      <text>
        <r>
          <rPr>
            <b/>
            <sz val="9"/>
            <color indexed="81"/>
            <rFont val="Tahoma"/>
            <family val="2"/>
          </rPr>
          <t>Enter a reference number here.</t>
        </r>
      </text>
    </comment>
    <comment ref="C14" authorId="0" shapeId="0" xr:uid="{18C926B8-1C43-4467-8B80-58F8908605E0}">
      <text>
        <r>
          <rPr>
            <b/>
            <sz val="9"/>
            <color indexed="81"/>
            <rFont val="Tahoma"/>
            <family val="2"/>
          </rPr>
          <t>A short name that the risk will be known by.</t>
        </r>
      </text>
    </comment>
    <comment ref="D14" authorId="0" shapeId="0" xr:uid="{C919AE4F-E3BF-49E4-8E63-E45F6FC9CB77}">
      <text>
        <r>
          <rPr>
            <b/>
            <sz val="9"/>
            <color indexed="81"/>
            <rFont val="Tahoma"/>
            <family val="2"/>
          </rPr>
          <t>Record the risk with as full a description as possible.</t>
        </r>
      </text>
    </comment>
    <comment ref="E14" authorId="0" shapeId="0" xr:uid="{F3206D6C-4646-49B7-9771-FE36682B4ADC}">
      <text>
        <r>
          <rPr>
            <b/>
            <sz val="9"/>
            <color indexed="81"/>
            <rFont val="Tahoma"/>
            <family val="2"/>
          </rPr>
          <t>Name of the person responsible for the risk.</t>
        </r>
      </text>
    </comment>
    <comment ref="F14" authorId="0" shapeId="0" xr:uid="{39D5D359-C4AB-4A12-996D-443D273DED41}">
      <text>
        <r>
          <rPr>
            <b/>
            <sz val="9"/>
            <color indexed="81"/>
            <rFont val="Tahoma"/>
            <family val="2"/>
          </rPr>
          <t>Existing controls which could lessen the risk likelihood and/or impact.</t>
        </r>
      </text>
    </comment>
    <comment ref="G14" authorId="0" shapeId="0" xr:uid="{9D0A5E58-B9E1-4E1F-9DA7-632C0362FDC0}">
      <text>
        <r>
          <rPr>
            <b/>
            <sz val="9"/>
            <color indexed="81"/>
            <rFont val="Tahoma"/>
            <family val="2"/>
          </rPr>
          <t>Select a score from 1 to 5, where 1 is a low likelihood and 5 is high.</t>
        </r>
      </text>
    </comment>
    <comment ref="H14" authorId="0" shapeId="0" xr:uid="{3D29CBC3-B098-4567-94F7-4888D909DCEC}">
      <text>
        <r>
          <rPr>
            <b/>
            <sz val="9"/>
            <color indexed="81"/>
            <rFont val="Tahoma"/>
            <family val="2"/>
          </rPr>
          <t>Reasoning for giving that likelihood score.</t>
        </r>
      </text>
    </comment>
    <comment ref="I14" authorId="0" shapeId="0" xr:uid="{3650CE4D-A374-44C4-98AE-014B65B08A4C}">
      <text>
        <r>
          <rPr>
            <b/>
            <sz val="9"/>
            <color indexed="81"/>
            <rFont val="Tahoma"/>
            <family val="2"/>
          </rPr>
          <t>Select a score from 1 to 5, where 1 is low impact and 5 is high.</t>
        </r>
      </text>
    </comment>
    <comment ref="J14" authorId="0" shapeId="0" xr:uid="{3563663F-68E2-4FAE-84EF-837A00B78372}">
      <text>
        <r>
          <rPr>
            <b/>
            <sz val="9"/>
            <color indexed="81"/>
            <rFont val="Tahoma"/>
            <family val="2"/>
          </rPr>
          <t>Brief explanation of why the impact score was assigned.</t>
        </r>
      </text>
    </comment>
    <comment ref="K14" authorId="0" shapeId="0" xr:uid="{57AA5AC1-7BB9-4840-BC32-77E5F4BB9DFA}">
      <text>
        <r>
          <rPr>
            <b/>
            <sz val="9"/>
            <color indexed="81"/>
            <rFont val="Tahoma"/>
            <family val="2"/>
          </rPr>
          <t>Risk score of between 1 and 25. This field will be automatically generated.</t>
        </r>
      </text>
    </comment>
    <comment ref="L14" authorId="0" shapeId="0" xr:uid="{BE74B0C4-967E-4DC8-80B1-3F5562AF9501}">
      <text>
        <r>
          <rPr>
            <b/>
            <sz val="9"/>
            <color indexed="81"/>
            <rFont val="Tahoma"/>
            <family val="2"/>
          </rPr>
          <t>Risk level of low, medium or high, depending on the risk score. This field will be automatically generated.</t>
        </r>
      </text>
    </comment>
    <comment ref="M14" authorId="0" shapeId="0" xr:uid="{6722E069-098C-498A-BBF2-8CAD9E2A8DA0}">
      <text>
        <r>
          <rPr>
            <b/>
            <sz val="9"/>
            <color indexed="81"/>
            <rFont val="Tahoma"/>
            <family val="2"/>
          </rPr>
          <t>Select a risk treatment option from the drop-down menu.</t>
        </r>
      </text>
    </comment>
    <comment ref="N14" authorId="0" shapeId="0" xr:uid="{A05BBCC7-EE96-4941-BE64-7AE1B6A6ADA9}">
      <text>
        <r>
          <rPr>
            <b/>
            <sz val="9"/>
            <color indexed="81"/>
            <rFont val="Tahoma"/>
            <family val="2"/>
          </rPr>
          <t>Record any proposed actions intended to address the risk.</t>
        </r>
      </text>
    </comment>
    <comment ref="O14" authorId="0" shapeId="0" xr:uid="{15A1E1AE-15DE-4880-A5A9-F90AB8ECFD2D}">
      <text>
        <r>
          <rPr>
            <b/>
            <sz val="9"/>
            <color indexed="81"/>
            <rFont val="Tahoma"/>
            <family val="2"/>
          </rPr>
          <t>How much money will the proposed treatment action cost?</t>
        </r>
      </text>
    </comment>
    <comment ref="P14" authorId="0" shapeId="0" xr:uid="{27B31411-E7EB-4D8D-8B27-62ED32A92D8D}">
      <text>
        <r>
          <rPr>
            <b/>
            <sz val="9"/>
            <color indexed="81"/>
            <rFont val="Tahoma"/>
            <family val="2"/>
          </rPr>
          <t>The person or role tasked with completing the treatment action.</t>
        </r>
      </text>
    </comment>
    <comment ref="Q14" authorId="0" shapeId="0" xr:uid="{9A5DAFA8-6F3A-4435-AADB-DCA08467C479}">
      <text>
        <r>
          <rPr>
            <b/>
            <sz val="9"/>
            <color indexed="81"/>
            <rFont val="Tahoma"/>
            <family val="2"/>
          </rPr>
          <t>The date or timeframe by which the treatment action must be completed.</t>
        </r>
      </text>
    </comment>
    <comment ref="R14" authorId="0" shapeId="0" xr:uid="{57556DE0-ECE2-4634-81B9-8D6836F8040F}">
      <text>
        <r>
          <rPr>
            <b/>
            <sz val="9"/>
            <color indexed="81"/>
            <rFont val="Tahoma"/>
            <family val="2"/>
          </rPr>
          <t>Select a score from 1 to 5, where 1 is a low likelihood and 5 is high.</t>
        </r>
      </text>
    </comment>
    <comment ref="S14" authorId="0" shapeId="0" xr:uid="{66F38DDC-18C2-4922-8A77-7B178850D183}">
      <text>
        <r>
          <rPr>
            <b/>
            <sz val="9"/>
            <color indexed="81"/>
            <rFont val="Tahoma"/>
            <family val="2"/>
          </rPr>
          <t>Reasoning for giving that likelihood score.</t>
        </r>
      </text>
    </comment>
    <comment ref="T14" authorId="0" shapeId="0" xr:uid="{AA740A7F-876C-4587-A5D7-087899939E8A}">
      <text>
        <r>
          <rPr>
            <b/>
            <sz val="9"/>
            <color indexed="81"/>
            <rFont val="Tahoma"/>
            <family val="2"/>
          </rPr>
          <t>Select a score from 1 to 5, where 1 is low impact and 5 is high.</t>
        </r>
      </text>
    </comment>
    <comment ref="U14" authorId="0" shapeId="0" xr:uid="{FE72321B-D3A9-4465-A9D5-6243B8901517}">
      <text>
        <r>
          <rPr>
            <b/>
            <sz val="9"/>
            <color indexed="81"/>
            <rFont val="Tahoma"/>
            <family val="2"/>
          </rPr>
          <t>Reasoning for giving that impact score.</t>
        </r>
      </text>
    </comment>
    <comment ref="V14" authorId="0" shapeId="0" xr:uid="{A7B99897-2CAA-4D66-876E-0712237C8174}">
      <text>
        <r>
          <rPr>
            <b/>
            <sz val="9"/>
            <color indexed="81"/>
            <rFont val="Tahoma"/>
            <family val="2"/>
          </rPr>
          <t>Risk score of between 1 and 25. This field will be automatically generated.</t>
        </r>
      </text>
    </comment>
    <comment ref="W14" authorId="0" shapeId="0" xr:uid="{C20FC0B2-D6CC-4BD3-8CEF-D0CBD1E9DBAF}">
      <text>
        <r>
          <rPr>
            <b/>
            <sz val="9"/>
            <color indexed="81"/>
            <rFont val="Tahoma"/>
            <family val="2"/>
          </rPr>
          <t>Risk level of low, medium or high, depending on the risk score. This field will be automatically generated.</t>
        </r>
      </text>
    </comment>
    <comment ref="X14" authorId="0" shapeId="0" xr:uid="{06E7EA28-C20B-412C-9601-7F429B61D6B1}">
      <text>
        <r>
          <rPr>
            <b/>
            <sz val="9"/>
            <color indexed="81"/>
            <rFont val="Tahoma"/>
            <family val="2"/>
          </rPr>
          <t>Enter any other comments here.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Ken Holmes</author>
  </authors>
  <commentList>
    <comment ref="B12" authorId="0" shapeId="0" xr:uid="{F63C12BC-D78A-4CA6-9E29-993A37FA27B8}">
      <text>
        <r>
          <rPr>
            <b/>
            <sz val="9"/>
            <color indexed="81"/>
            <rFont val="Tahoma"/>
            <family val="2"/>
          </rPr>
          <t>Enter a reference number here.</t>
        </r>
      </text>
    </comment>
    <comment ref="C12" authorId="0" shapeId="0" xr:uid="{398218E1-380D-49BD-9C1C-8B6DCB681718}">
      <text>
        <r>
          <rPr>
            <b/>
            <sz val="9"/>
            <color indexed="81"/>
            <rFont val="Tahoma"/>
            <family val="2"/>
          </rPr>
          <t>A short name that the opportunity will be known by.</t>
        </r>
      </text>
    </comment>
    <comment ref="D12" authorId="0" shapeId="0" xr:uid="{57DAF124-4FC7-41E5-8892-A58CCE3D07B9}">
      <text>
        <r>
          <rPr>
            <b/>
            <sz val="9"/>
            <color indexed="81"/>
            <rFont val="Tahoma"/>
            <family val="2"/>
          </rPr>
          <t>Record the opportunity with as full a description as possible.</t>
        </r>
      </text>
    </comment>
    <comment ref="E12" authorId="0" shapeId="0" xr:uid="{8624269D-C5DF-45DD-B1FE-37EAE66A2014}">
      <text>
        <r>
          <rPr>
            <b/>
            <sz val="9"/>
            <color indexed="81"/>
            <rFont val="Tahoma"/>
            <family val="2"/>
          </rPr>
          <t>Examples types could be Financial, Technical, Resources, Reciprocal Arrangement, but any useful classification may be used.</t>
        </r>
      </text>
    </comment>
    <comment ref="F12" authorId="0" shapeId="0" xr:uid="{41775504-37DD-4F12-97A3-120CA36D423D}">
      <text>
        <r>
          <rPr>
            <b/>
            <sz val="9"/>
            <color indexed="81"/>
            <rFont val="Tahoma"/>
            <family val="2"/>
          </rPr>
          <t>Name of the person responsible for the opportunity.</t>
        </r>
      </text>
    </comment>
    <comment ref="G12" authorId="0" shapeId="0" xr:uid="{FD281966-65A2-49ED-8BB2-39780BD23D2B}">
      <text>
        <r>
          <rPr>
            <b/>
            <sz val="9"/>
            <color indexed="81"/>
            <rFont val="Tahoma"/>
            <family val="2"/>
          </rPr>
          <t>Select a score from 1 to 5, where 1 is a low likelihood and 5 is high.</t>
        </r>
      </text>
    </comment>
    <comment ref="H12" authorId="0" shapeId="0" xr:uid="{317D9767-2F1A-44E9-B59F-12E00EAC046C}">
      <text>
        <r>
          <rPr>
            <b/>
            <sz val="9"/>
            <color indexed="81"/>
            <rFont val="Tahoma"/>
            <family val="2"/>
          </rPr>
          <t>Reasoning for giving that likelihood score.</t>
        </r>
      </text>
    </comment>
    <comment ref="I12" authorId="0" shapeId="0" xr:uid="{B43273A2-1AC5-4186-87B4-C89AC0838422}">
      <text>
        <r>
          <rPr>
            <b/>
            <sz val="9"/>
            <color indexed="81"/>
            <rFont val="Tahoma"/>
            <family val="2"/>
          </rPr>
          <t>Select a score from 1 to 5, where 1 is low impact and 5 is high.</t>
        </r>
      </text>
    </comment>
    <comment ref="J12" authorId="0" shapeId="0" xr:uid="{88D443B7-F3F4-445D-84D3-BFC34BE3D6F8}">
      <text>
        <r>
          <rPr>
            <b/>
            <sz val="9"/>
            <color indexed="81"/>
            <rFont val="Tahoma"/>
            <family val="2"/>
          </rPr>
          <t>Brief explanation of why the impact score was assigned.</t>
        </r>
      </text>
    </comment>
    <comment ref="K12" authorId="0" shapeId="0" xr:uid="{3C285276-CF2D-4ABC-A4E2-0E7DBDD9F4DE}">
      <text>
        <r>
          <rPr>
            <b/>
            <sz val="9"/>
            <color indexed="81"/>
            <rFont val="Tahoma"/>
            <family val="2"/>
          </rPr>
          <t>Opportunity score of between 1 and 25. This field will be automatically generated.</t>
        </r>
      </text>
    </comment>
    <comment ref="L12" authorId="0" shapeId="0" xr:uid="{85F3B019-DA43-4378-BFC7-966AC6B612DE}">
      <text>
        <r>
          <rPr>
            <b/>
            <sz val="9"/>
            <color indexed="81"/>
            <rFont val="Tahoma"/>
            <family val="2"/>
          </rPr>
          <t>Opportunity level of low, medium or high, depending on the risk score. This field will be automatically generated.</t>
        </r>
      </text>
    </comment>
    <comment ref="M12" authorId="0" shapeId="0" xr:uid="{B3F22778-B271-42A2-B8F1-CB28F128DA46}">
      <text>
        <r>
          <rPr>
            <b/>
            <sz val="9"/>
            <color indexed="81"/>
            <rFont val="Tahoma"/>
            <family val="2"/>
          </rPr>
          <t>Record any actions proposed to take advantage of the opportunity.</t>
        </r>
      </text>
    </comment>
    <comment ref="N12" authorId="0" shapeId="0" xr:uid="{BB4203D1-B7FE-41B3-ABB3-8DBE4A08201B}">
      <text>
        <r>
          <rPr>
            <b/>
            <sz val="9"/>
            <color indexed="81"/>
            <rFont val="Tahoma"/>
            <family val="2"/>
          </rPr>
          <t>Who is responsible for performing the identified actions.</t>
        </r>
      </text>
    </comment>
    <comment ref="O12" authorId="0" shapeId="0" xr:uid="{CA0D043E-BF2F-487B-8128-4C2B8C3C5742}">
      <text>
        <r>
          <rPr>
            <b/>
            <sz val="9"/>
            <color indexed="81"/>
            <rFont val="Tahoma"/>
            <family val="2"/>
          </rPr>
          <t>When the identified actions should be completed by.</t>
        </r>
      </text>
    </comment>
    <comment ref="P12" authorId="0" shapeId="0" xr:uid="{276AC851-72B6-4B2D-8FF0-6EB403D25474}">
      <text>
        <r>
          <rPr>
            <b/>
            <sz val="9"/>
            <color indexed="81"/>
            <rFont val="Tahoma"/>
            <family val="2"/>
          </rPr>
          <t>Any additional relevant information.</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<sst xmlns="http://schemas.openxmlformats.org/spreadsheetml/2006/main" count="509" uniqueCount="368">
  <si>
    <t>Select…</t>
  </si>
  <si>
    <t>Assessment Details</t>
  </si>
  <si>
    <t>Ref</t>
  </si>
  <si>
    <t>Likelihood</t>
  </si>
  <si>
    <t>Impact</t>
  </si>
  <si>
    <t>Risk level</t>
  </si>
  <si>
    <t>Comments</t>
  </si>
  <si>
    <t xml:space="preserve"> RISK DESCRIPTION</t>
  </si>
  <si>
    <t>ONE TO FIVE</t>
  </si>
  <si>
    <t>Accept</t>
  </si>
  <si>
    <t>Avoid</t>
  </si>
  <si>
    <t>Modify</t>
  </si>
  <si>
    <t>Share</t>
  </si>
  <si>
    <t>DESCRIPTION</t>
  </si>
  <si>
    <t>SUMMARY</t>
  </si>
  <si>
    <t>Improbable</t>
  </si>
  <si>
    <t>Likely</t>
  </si>
  <si>
    <t>Very Likely</t>
  </si>
  <si>
    <t>Almost certain</t>
  </si>
  <si>
    <t>Has never happened before and there is no reason to think it is any more likely now</t>
  </si>
  <si>
    <t>There is a possibility that it could happen, but it probably won't</t>
  </si>
  <si>
    <t>It would be a surprise if the risk did not occur either based on past frequency or current circumstances</t>
  </si>
  <si>
    <t>Either already happens regularly or there is some reason to believe it is virtually imminent</t>
  </si>
  <si>
    <t xml:space="preserve">On balance, the risk is more likely to happen than not
</t>
  </si>
  <si>
    <t>Negligible</t>
  </si>
  <si>
    <t>No effect</t>
  </si>
  <si>
    <t>Very little or none</t>
  </si>
  <si>
    <t>Very small additional risk</t>
  </si>
  <si>
    <t>No implications</t>
  </si>
  <si>
    <t>Slight</t>
  </si>
  <si>
    <t>Some local disturbance to normal business operations</t>
  </si>
  <si>
    <t>Some</t>
  </si>
  <si>
    <t>Within acceptable limits</t>
  </si>
  <si>
    <t>Small risk of not meeting compliance</t>
  </si>
  <si>
    <t>Moderate</t>
  </si>
  <si>
    <t>Can still deliver product/service with some difficulty</t>
  </si>
  <si>
    <t>Unwelcome but could be borne</t>
  </si>
  <si>
    <t>Elevated risk requiring immediate attention</t>
  </si>
  <si>
    <t>In definite danger of operating illegally</t>
  </si>
  <si>
    <t>High</t>
  </si>
  <si>
    <t>Business is crippled in key areas</t>
  </si>
  <si>
    <t>Severe effect on income and/or profit</t>
  </si>
  <si>
    <t>Significant danger to life</t>
  </si>
  <si>
    <t>Operating illegally in some areas</t>
  </si>
  <si>
    <t>Very High</t>
  </si>
  <si>
    <t>Out of business; no service to customers</t>
  </si>
  <si>
    <t>Real or strong potential loss of life</t>
  </si>
  <si>
    <t>Severe fines and possible imprisonment of staff</t>
  </si>
  <si>
    <t>Impact rating</t>
  </si>
  <si>
    <t>General description</t>
  </si>
  <si>
    <t xml:space="preserve"> IMPACT AREAS</t>
  </si>
  <si>
    <t xml:space="preserve"> IMPACT LEVEL</t>
  </si>
  <si>
    <t>Damage to reputation</t>
  </si>
  <si>
    <t xml:space="preserve"> Low</t>
  </si>
  <si>
    <t xml:space="preserve"> Medium</t>
  </si>
  <si>
    <t xml:space="preserve"> High</t>
  </si>
  <si>
    <t>Risk Acceptance Criteria</t>
  </si>
  <si>
    <t xml:space="preserve">Version
</t>
  </si>
  <si>
    <t xml:space="preserve">Dated
</t>
  </si>
  <si>
    <t xml:space="preserve">Approval
</t>
  </si>
  <si>
    <t xml:space="preserve">Date Approved
</t>
  </si>
  <si>
    <t>Existing Controls</t>
  </si>
  <si>
    <t>Risk Impact</t>
  </si>
  <si>
    <t>Count of Risk Level</t>
  </si>
  <si>
    <t>Selection Tables</t>
  </si>
  <si>
    <t>Sum of Treatment Cost</t>
  </si>
  <si>
    <t xml:space="preserve"> LIKELIHOOD</t>
  </si>
  <si>
    <t>Business Continuity Risk Assessment and Treatment Tool</t>
  </si>
  <si>
    <t>Start with the risks that are felt to have the highest likelihood and impact combination.</t>
  </si>
  <si>
    <t>Opportunity Assessment and Action Planning Tool</t>
  </si>
  <si>
    <t>This is an assessment of the opportunities that may occur and what could be done to capitalize on them. Opportunities are uncertainties that are likely to have a positive effect (unlike risks, which are likely to have a negative effect).</t>
  </si>
  <si>
    <t>This table should be used to decide upon the most appropriate likelihood for a particular risk or opportunity.</t>
  </si>
  <si>
    <t xml:space="preserve">Unlikely
</t>
  </si>
  <si>
    <t>This table should be used as guidance to help to decide upon the correct impact rating for a particular risk.</t>
  </si>
  <si>
    <t>Impact on product or service quality</t>
  </si>
  <si>
    <t>Impact on financial viability</t>
  </si>
  <si>
    <t>Impact on staff or public well-being</t>
  </si>
  <si>
    <t>Impact of breaching legal or regulatory requirements</t>
  </si>
  <si>
    <t>Environmental damage</t>
  </si>
  <si>
    <t>No adverse comment</t>
  </si>
  <si>
    <t>Localised discontent</t>
  </si>
  <si>
    <t>Small, very local impact that can be managed and corrected</t>
  </si>
  <si>
    <t>Some internal and external criticism</t>
  </si>
  <si>
    <t>Impact restricted geographically and can be corrected quickly</t>
  </si>
  <si>
    <t>A severe test of customer loyalty</t>
  </si>
  <si>
    <t>Trust in organization is irreparably damaged</t>
  </si>
  <si>
    <t>Catastrophic impact affecting the environment badly over a wide area</t>
  </si>
  <si>
    <t>Opportunity Impact</t>
  </si>
  <si>
    <t>This table should be used as guidance to help to decide upon the correct impact rating for a particular opportunity.</t>
  </si>
  <si>
    <t xml:space="preserve"> EXAMPLE IMPACT AREAS</t>
  </si>
  <si>
    <t>Impact on financial performance</t>
  </si>
  <si>
    <t>Impact on reputation</t>
  </si>
  <si>
    <t>Impact on compliance with legal or regulatory requirements</t>
  </si>
  <si>
    <t>Environmental impact</t>
  </si>
  <si>
    <t>Very small additional benefit</t>
  </si>
  <si>
    <t>No positive comment</t>
  </si>
  <si>
    <t>Some local improvement to normal business operations</t>
  </si>
  <si>
    <t>Small increase in revenue or profitability</t>
  </si>
  <si>
    <t>Minor benefit to a few individuals</t>
  </si>
  <si>
    <t>Localised improvement on a small scale</t>
  </si>
  <si>
    <t>Small improvement in meeting compliance requirements</t>
  </si>
  <si>
    <t>Small, very local positive impact</t>
  </si>
  <si>
    <t xml:space="preserve">Temporary significant improvement or fair permanent change </t>
  </si>
  <si>
    <t>Reasonable increase in profit, revenue or other business metric</t>
  </si>
  <si>
    <t>Good improvement across a limited audience</t>
  </si>
  <si>
    <t>Some internal and external praise and positive attention</t>
  </si>
  <si>
    <t>Compliance is improved across a number of areas</t>
  </si>
  <si>
    <t xml:space="preserve">Positive impact restricted geographically </t>
  </si>
  <si>
    <t>product or service performance is significantly boosted in key areas</t>
  </si>
  <si>
    <t>Very significant increase in profit or business performance</t>
  </si>
  <si>
    <t>Major improvement to health and quality of life to a wide audience</t>
  </si>
  <si>
    <t>Major reputational improvement</t>
  </si>
  <si>
    <t>Level of compliance becomes very significant and/or more easily attained</t>
  </si>
  <si>
    <t>Huge improvement in existing or new products or services</t>
  </si>
  <si>
    <t>Complete transformation in business performance on a permanent basis</t>
  </si>
  <si>
    <t>Transformation of health and quality of life for a very large group of people</t>
  </si>
  <si>
    <t>The organization is seen as an industry leader in its sector</t>
  </si>
  <si>
    <t>Very large change in compliance levels with significant benefits</t>
  </si>
  <si>
    <t>Huge benefit to the environment on a wide scale</t>
  </si>
  <si>
    <t>The chart below shows the rating scheme used to determine risk and opportunity level based on a combination of likelihood and impact.</t>
  </si>
  <si>
    <t>IMPACT: How major could the consequences be if the risk/opportunity event happened?</t>
  </si>
  <si>
    <t>LIKELIHOOD: What are the chances of the risk/opportunity event happening?</t>
  </si>
  <si>
    <t>INSIGNIFICANT
1</t>
  </si>
  <si>
    <t>MINOR
2</t>
  </si>
  <si>
    <t>SIGNIFICANT
3</t>
  </si>
  <si>
    <t>MAJOR
4</t>
  </si>
  <si>
    <t>SEVERE
5</t>
  </si>
  <si>
    <t>MEDIUM
5</t>
  </si>
  <si>
    <t>MEDIUM
10</t>
  </si>
  <si>
    <t>HIGH
15</t>
  </si>
  <si>
    <t>HIGH
20</t>
  </si>
  <si>
    <t>HIGH
25</t>
  </si>
  <si>
    <t>LIKELY
4</t>
  </si>
  <si>
    <t>LOW
4</t>
  </si>
  <si>
    <t>MEDIUM
8</t>
  </si>
  <si>
    <t>HIGH
12</t>
  </si>
  <si>
    <t>HIGH
16</t>
  </si>
  <si>
    <t>MODERATE
3</t>
  </si>
  <si>
    <t>LOW
3</t>
  </si>
  <si>
    <t>MEDIUM
6</t>
  </si>
  <si>
    <t>MEDIUM
9</t>
  </si>
  <si>
    <t>UNLIKELY
2</t>
  </si>
  <si>
    <t>LOW
2</t>
  </si>
  <si>
    <t>RARE
1</t>
  </si>
  <si>
    <t>LOW
1</t>
  </si>
  <si>
    <t>Risk Level</t>
  </si>
  <si>
    <t>The following is a standard list of typical threats that may be use as guidance for your risk assessment.</t>
  </si>
  <si>
    <t>THREAT</t>
  </si>
  <si>
    <t>EXAMPLE</t>
  </si>
  <si>
    <t>Human</t>
  </si>
  <si>
    <t>Malicious outsider</t>
  </si>
  <si>
    <t>Someone launches a denial of service attack on your cloud service platform</t>
  </si>
  <si>
    <t>Malicious insider</t>
  </si>
  <si>
    <t>An employee or trusted third party accesses information in an unauthorised manner from inside your network</t>
  </si>
  <si>
    <t>Loss of key personnel</t>
  </si>
  <si>
    <t>One or more people with key skills or knowledge are unavailable perhaps due to extended sickness</t>
  </si>
  <si>
    <t>Human error</t>
  </si>
  <si>
    <t>An employee accidentally deletes customer data</t>
  </si>
  <si>
    <t>Accidental loss</t>
  </si>
  <si>
    <t xml:space="preserve">A manager loses a memory stick with customer bank details on it </t>
  </si>
  <si>
    <t>Natural</t>
  </si>
  <si>
    <t>Fire</t>
  </si>
  <si>
    <t>Your data centre burns down due to an electrical fault</t>
  </si>
  <si>
    <t>Flood</t>
  </si>
  <si>
    <t>The nearby river breaks its banks and your main office is severely flooded</t>
  </si>
  <si>
    <t>Severe weather</t>
  </si>
  <si>
    <t>Non-one can get into the office due to the weather</t>
  </si>
  <si>
    <t>Earthquake</t>
  </si>
  <si>
    <t>The area of your main data centre is affected by an earth tremor that damages all your servers</t>
  </si>
  <si>
    <t>Lightning</t>
  </si>
  <si>
    <t>All your servers are fried by a lightning strike on the data centre building</t>
  </si>
  <si>
    <t>Technical</t>
  </si>
  <si>
    <t>Hardware failure</t>
  </si>
  <si>
    <t>A key physical server has a processor failure</t>
  </si>
  <si>
    <t>Software failure</t>
  </si>
  <si>
    <t>Your financial system processes invoices incorrectly due to a bug</t>
  </si>
  <si>
    <t>Virus/Malicious code</t>
  </si>
  <si>
    <t>A virus spreads throughout your network preventing access to your (and your customers') data</t>
  </si>
  <si>
    <t>Physical</t>
  </si>
  <si>
    <t>Sabotage</t>
  </si>
  <si>
    <t>A disgruntled ex-employee takes an axe to your server room</t>
  </si>
  <si>
    <t>Theft</t>
  </si>
  <si>
    <t>You come in on Monday morning to find some important drives have been stolen</t>
  </si>
  <si>
    <t>Arson</t>
  </si>
  <si>
    <t>Environmental</t>
  </si>
  <si>
    <t>Hazardous waste</t>
  </si>
  <si>
    <t>A lorry carrying hazardous waste has an accident outside your office</t>
  </si>
  <si>
    <t>Power failure</t>
  </si>
  <si>
    <t>The sub-station supplying your area has a meltdown</t>
  </si>
  <si>
    <t>Gas supply failure</t>
  </si>
  <si>
    <t>There is a suspected leak and all supplies are turned off</t>
  </si>
  <si>
    <t>Operational</t>
  </si>
  <si>
    <t>Process error</t>
  </si>
  <si>
    <t>Your new data transfer procedure doesn't cater for unexpected circumstances and PII is lost or sent to the wrong destination</t>
  </si>
  <si>
    <t>Crime scene</t>
  </si>
  <si>
    <t>A crime happens in or near your office and the area is sealed off by police</t>
  </si>
  <si>
    <t xml:space="preserve"> THREAT CATEGORY</t>
  </si>
  <si>
    <t xml:space="preserve"> PRE-TREATMENT ASSESSMENT</t>
  </si>
  <si>
    <t xml:space="preserve"> POST-TREATMENT ASSESSMENT</t>
  </si>
  <si>
    <t>Treatment Cost</t>
  </si>
  <si>
    <t>Treatment Action Owner</t>
  </si>
  <si>
    <t>Treatment Action Timescale</t>
  </si>
  <si>
    <t>Risk Summary</t>
  </si>
  <si>
    <t>Risk Description</t>
  </si>
  <si>
    <t>Risk Owner</t>
  </si>
  <si>
    <t>Likelihood Rationale</t>
  </si>
  <si>
    <t>Impact Rationale</t>
  </si>
  <si>
    <t>Risk Score</t>
  </si>
  <si>
    <t>Treatment Option Chosen</t>
  </si>
  <si>
    <t>Proposed Treatment Action</t>
  </si>
  <si>
    <t xml:space="preserve"> TREATMENT PLAN</t>
  </si>
  <si>
    <t>Post-Treatment Likelihood</t>
  </si>
  <si>
    <t>Post-Treatment Likelihood Rationale</t>
  </si>
  <si>
    <t>Post- Treatment Impact</t>
  </si>
  <si>
    <t>Post-Treatment Impact Rationale</t>
  </si>
  <si>
    <t>Post-Treatment Risk Score</t>
  </si>
  <si>
    <t>Post-Treatment Risk Level</t>
  </si>
  <si>
    <t>Risk Likelihood</t>
  </si>
  <si>
    <t>Count of Risk Summary</t>
  </si>
  <si>
    <t>TREATMENT OPTIONS</t>
  </si>
  <si>
    <t>The charts below show the spread of risk severities before and after risk treatment.</t>
  </si>
  <si>
    <t xml:space="preserve">Assessment Title
</t>
  </si>
  <si>
    <t xml:space="preserve">Assessment Scope
</t>
  </si>
  <si>
    <t>Context of Assessment</t>
  </si>
  <si>
    <t xml:space="preserve">Assessors
</t>
  </si>
  <si>
    <t xml:space="preserve">Assessment Participants
</t>
  </si>
  <si>
    <t>Risk Assessment - Example Threats</t>
  </si>
  <si>
    <t>Risk or Opportunity Likelihood</t>
  </si>
  <si>
    <t>Assessment of business operations at the Chicago facility</t>
  </si>
  <si>
    <t>All business processes, equipment and personnel involved in the creation of physical products from Chicago.</t>
  </si>
  <si>
    <t>Increased demand for product means that production in Chicago is key to the success of the company. Concerns over manufacturing equipment malfunctions have also been raised.</t>
  </si>
  <si>
    <t>Risks classified as Low risk level will be accepted.</t>
  </si>
  <si>
    <t>12 May 20xx</t>
  </si>
  <si>
    <t>A.N. Other</t>
  </si>
  <si>
    <t>COO Chicago, VP Production.</t>
  </si>
  <si>
    <t>CEO</t>
  </si>
  <si>
    <t>24 May 20xx</t>
  </si>
  <si>
    <t>Loss of power to plant</t>
  </si>
  <si>
    <t>Electrical supply to the facility ceases suddenly for unknown and possibly extended period</t>
  </si>
  <si>
    <t>Facilities Manager</t>
  </si>
  <si>
    <t>Facility is fed by two separate sub-stations. A generator capable of supporting the plant is installed and tested regularly</t>
  </si>
  <si>
    <t>Hazardous materials incident in surrounding area</t>
  </si>
  <si>
    <t>Emergency is declared on industrial park due to an incident with hazardous materials being handled by a company with premises there</t>
  </si>
  <si>
    <t>None</t>
  </si>
  <si>
    <t>Fire in plant</t>
  </si>
  <si>
    <t>Significant fire destroys major parts of the facility, rendering it inoperable</t>
  </si>
  <si>
    <t>Smoke detectors, automatic fire suppression system, 24x7 security</t>
  </si>
  <si>
    <t>Critical equipment failure</t>
  </si>
  <si>
    <t>Machinery essential for the manufacturing process fails and cannot be repaired in a timely fashion</t>
  </si>
  <si>
    <t>Operations Manager</t>
  </si>
  <si>
    <t>Maintenance contract in place</t>
  </si>
  <si>
    <t>Loss of key staff</t>
  </si>
  <si>
    <t>Workers critical to the production process are unable or unwilling to attend site</t>
  </si>
  <si>
    <t>Cross-training means that most jobs can be done by most people</t>
  </si>
  <si>
    <t>Critical IT systems failure</t>
  </si>
  <si>
    <t>IT systems supporting the production process are rendered inoperable by hardware, software or infrastructure failure</t>
  </si>
  <si>
    <t>IT Manager</t>
  </si>
  <si>
    <t>Redundant systems are in place</t>
  </si>
  <si>
    <t>Flooding</t>
  </si>
  <si>
    <t>The site is subject to extensive and extended flooding</t>
  </si>
  <si>
    <t>Power has failed twice in the last five years, each time for more than two days</t>
  </si>
  <si>
    <t>It has been proven that the facility can operate successfully during a power failure</t>
  </si>
  <si>
    <t>There is known to be an increased use of such materials locally</t>
  </si>
  <si>
    <t>An incident may mean that the plant must be shut down for an extended period</t>
  </si>
  <si>
    <t>Few sources of ignition for accidental fire; arson is a possibility</t>
  </si>
  <si>
    <t>Fire would affect the ability of the facility to produce</t>
  </si>
  <si>
    <t>Some key machines are old and prone to failure; parts are hard to obtain</t>
  </si>
  <si>
    <t>Production would stop if key machinery failed</t>
  </si>
  <si>
    <t xml:space="preserve">Health record of staff is historically good and there have been no problems with employee relations in the last 5 years </t>
  </si>
  <si>
    <t>Much of process is automated and replacement staff can be found easily</t>
  </si>
  <si>
    <t>Systems have been hit by hacking attempts and viruses recently</t>
  </si>
  <si>
    <t>Production can run without IT systems, but reporting is affected</t>
  </si>
  <si>
    <t>No natural or man-made water sources in the area</t>
  </si>
  <si>
    <t>Production would cease until flooding subsided</t>
  </si>
  <si>
    <t>Create plan to move production to an alternate facility within 1 week of incident</t>
  </si>
  <si>
    <t>Create proposal to replace key machinery as soon as possible</t>
  </si>
  <si>
    <t>Install additional firewall. Increase security awareness training for employees</t>
  </si>
  <si>
    <t>No change to likelihood</t>
  </si>
  <si>
    <t>Loss of production would be limited to one week</t>
  </si>
  <si>
    <t>New machinery will be less likely to fail</t>
  </si>
  <si>
    <t xml:space="preserve">Impact remains the same </t>
  </si>
  <si>
    <t>Hacking will be more difficult and fewer viruses will be introduced</t>
  </si>
  <si>
    <t>No change to impact</t>
  </si>
  <si>
    <t xml:space="preserve"> HIGH</t>
  </si>
  <si>
    <t xml:space="preserve"> LOW</t>
  </si>
  <si>
    <t xml:space="preserve"> MEDIUM</t>
  </si>
  <si>
    <t>Increase in funding for business continuity</t>
  </si>
  <si>
    <t>Possibly due to an internal or external event, more money is made available to address business continuity within the organization.</t>
  </si>
  <si>
    <t>Financial</t>
  </si>
  <si>
    <t>BC Manager</t>
  </si>
  <si>
    <t>Better AI improves failure detection and prevention</t>
  </si>
  <si>
    <t>Advances in Artificial Intelligence may make mechanical failures less likely.</t>
  </si>
  <si>
    <t>Merger or Acquisition</t>
  </si>
  <si>
    <t>Our organization merges with another that has newer infrastructure and is less prone to failures.</t>
  </si>
  <si>
    <t>Organizational</t>
  </si>
  <si>
    <t>COO</t>
  </si>
  <si>
    <t>The expectation of a major event within our industry is high.</t>
  </si>
  <si>
    <t>The pace of change in AI has accelerated recently.</t>
  </si>
  <si>
    <t>Several deals are rumoured to be under discussion.</t>
  </si>
  <si>
    <t>Several control areas are currently underfunded and would benefit from more money.</t>
  </si>
  <si>
    <t>One of our biggest problems is determining when a machine is likely to fail.</t>
  </si>
  <si>
    <t>There may be better access to tools and skills.</t>
  </si>
  <si>
    <t>Obtain quotes and costings for additional controls e.g. software that would have a beneficial effect on business continuity if purchased. This will allow us to move quickly if this opportunity occurs.</t>
  </si>
  <si>
    <t>Subscribe to vendor's newsletters; attend industry events.</t>
  </si>
  <si>
    <t>Perform an early assessment of any potential mergers to identify potential benefits.</t>
  </si>
  <si>
    <t>3 months</t>
  </si>
  <si>
    <t>1 month</t>
  </si>
  <si>
    <t>2 weeks</t>
  </si>
  <si>
    <t>6 months</t>
  </si>
  <si>
    <t>2 months</t>
  </si>
  <si>
    <t>Maintenance Engineer</t>
  </si>
  <si>
    <t>Count of Treatment Action Owner</t>
  </si>
  <si>
    <t>ALMOST
CERTAIN
5</t>
  </si>
  <si>
    <t>To refresh chart data on the risk dashboard, click on “Refresh All” on the Data ribbon.</t>
  </si>
  <si>
    <t>Global pandemic</t>
  </si>
  <si>
    <t>A situation similar to the COVID-19 pandemic occurs, with very widespread impact on health and business.</t>
  </si>
  <si>
    <t xml:space="preserve">It has happened before, although it was labelled a one in a century event. </t>
  </si>
  <si>
    <t>Very significant impact on revenue and production.</t>
  </si>
  <si>
    <t xml:space="preserve">Maintain stocks of PPE, increase online presence </t>
  </si>
  <si>
    <t>12 months</t>
  </si>
  <si>
    <t>There would still be a significant financial impact</t>
  </si>
  <si>
    <t>Infection</t>
  </si>
  <si>
    <t>A new strain of virus results in widespread lockdown of people's movements</t>
  </si>
  <si>
    <t>REF</t>
  </si>
  <si>
    <t>OPP SUMMARY</t>
  </si>
  <si>
    <t>OPP DESCRIPTION</t>
  </si>
  <si>
    <t>OPP TYPE</t>
  </si>
  <si>
    <t>OPP OWNER</t>
  </si>
  <si>
    <t>LIKELIHOOD</t>
  </si>
  <si>
    <t>LIKELIHOOD RATIONALE</t>
  </si>
  <si>
    <t>IMPACT</t>
  </si>
  <si>
    <t>IMPACT RATIONALE</t>
  </si>
  <si>
    <t>OPP SCORE</t>
  </si>
  <si>
    <t>OPP LEVEL</t>
  </si>
  <si>
    <t>ACTION</t>
  </si>
  <si>
    <t>ACTION OWNER</t>
  </si>
  <si>
    <t>ACTION TIMESCALE</t>
  </si>
  <si>
    <t>COMMENTS</t>
  </si>
  <si>
    <t>Pre-treatment assessment</t>
  </si>
  <si>
    <t>Post-treatment assessment</t>
  </si>
  <si>
    <t>Classification of risk and opportunity level</t>
  </si>
  <si>
    <t>Risk profile diagram</t>
  </si>
  <si>
    <t>Treatment plan</t>
  </si>
  <si>
    <t>Opportunity assessment</t>
  </si>
  <si>
    <t>Pre-treatment</t>
  </si>
  <si>
    <t>Post-treatment</t>
  </si>
  <si>
    <t>Risk impact</t>
  </si>
  <si>
    <t>Number of risks by risk level pre and post treatment</t>
  </si>
  <si>
    <t>Number of Post-mitigation risks by risk level</t>
  </si>
  <si>
    <t>(blank)</t>
  </si>
  <si>
    <t>Number of Pre-treatment risks by risk level</t>
  </si>
  <si>
    <t xml:space="preserve">Pre-treatment </t>
  </si>
  <si>
    <t>Pre-treatment risk levels by risk owner</t>
  </si>
  <si>
    <t xml:space="preserve">Post-treatment </t>
  </si>
  <si>
    <t>Risks by treatment option chosen</t>
  </si>
  <si>
    <t>Total treatment cost by risk level</t>
  </si>
  <si>
    <t xml:space="preserve">Treatment action owner </t>
  </si>
  <si>
    <t>Opportunity levels by opportunity owner</t>
  </si>
  <si>
    <t>Count of OPP LEVEL</t>
  </si>
  <si>
    <t>Opportunities by level and type</t>
  </si>
  <si>
    <t>Count of REF</t>
  </si>
  <si>
    <t>Opportunity action owner</t>
  </si>
  <si>
    <t>Opportunities by level</t>
  </si>
  <si>
    <t>Business Continuity risk assessment and opportunity dashboard</t>
  </si>
  <si>
    <t>Someone with a grudge against your organization starts a fire during the night</t>
  </si>
  <si>
    <t>Crippling; the organization will go out of business</t>
  </si>
  <si>
    <t>Geographically wide impact area with permanent improvement over time</t>
  </si>
  <si>
    <t>Geographically wide impact area with a degree of clean-up possible over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</si>
</sst>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6" formatCode="&quot;£&quot;#,##0;[Red]\-&quot;£&quot;#,##0"/>
    <numFmt numFmtId="164" formatCode="_-[$€-2]\ * #,##0_-;\-[$€-2]\ * #,##0_-;_-[$€-2]\ * &quot;-&quot;??_-;_-@_-"/>
  </numFmts>
  <fonts count="26" x14ac:knownFonts="1">
    <font>
      <sz val="11"/>
      <color theme="1"/>
      <name val="Calibri"/>
      <family val="2"/>
      <scheme val="minor"/>
    </font>
    <font>
      <b/>
      <sz val="15"/>
      <color theme="3"/>
      <name val="Calibri"/>
      <family val="2"/>
      <scheme val="minor"/>
    </font>
    <font>
      <b/>
      <sz val="13"/>
      <color theme="3"/>
      <name val="Calibri"/>
      <family val="2"/>
      <scheme val="minor"/>
    </font>
    <font>
      <b/>
      <sz val="11"/>
      <color theme="0"/>
      <name val="Calibri"/>
      <family val="2"/>
      <scheme val="minor"/>
    </font>
    <font>
      <b/>
      <sz val="18"/>
      <color theme="1"/>
      <name val="Calibri"/>
      <family val="2"/>
      <scheme val="minor"/>
    </font>
    <font>
      <b/>
      <sz val="11"/>
      <color rgb="FFFFFFFF"/>
      <name val="Calibri"/>
      <family val="2"/>
      <scheme val="minor"/>
    </font>
    <font>
      <sz val="11"/>
      <color rgb="FF444444"/>
      <name val="Calibri"/>
      <family val="2"/>
      <scheme val="minor"/>
    </font>
    <font>
      <b/>
      <sz val="11"/>
      <color rgb="FF444444"/>
      <name val="Calibri"/>
      <family val="2"/>
      <scheme val="minor"/>
    </font>
    <font>
      <b/>
      <sz val="11"/>
      <color theme="1"/>
      <name val="Calibri"/>
      <family val="2"/>
      <scheme val="minor"/>
    </font>
    <font>
      <b/>
      <sz val="16"/>
      <color theme="1"/>
      <name val="Calibri"/>
      <family val="2"/>
      <scheme val="minor"/>
    </font>
    <font>
      <sz val="11"/>
      <color theme="0"/>
      <name val="Calibri"/>
      <family val="2"/>
      <scheme val="minor"/>
    </font>
    <font>
      <sz val="10"/>
      <color rgb="FF444444"/>
      <name val="Calibri"/>
      <family val="2"/>
      <scheme val="minor"/>
    </font>
    <font>
      <b/>
      <sz val="12"/>
      <color theme="1"/>
      <name val="Calibri"/>
      <family val="2"/>
      <scheme val="minor"/>
    </font>
    <font>
      <b/>
      <sz val="9"/>
      <color indexed="81"/>
      <name val="Tahoma"/>
      <family val="2"/>
    </font>
    <font>
      <sz val="11"/>
      <name val="Calibri"/>
      <family val="2"/>
      <scheme val="minor"/>
    </font>
    <font>
      <sz val="8"/>
      <name val="Calibri"/>
      <family val="2"/>
      <scheme val="minor"/>
    </font>
    <font>
      <sz val="9"/>
      <color rgb="FF444444"/>
      <name val="Calibri"/>
      <family val="2"/>
      <scheme val="minor"/>
    </font>
    <font>
      <b/>
      <sz val="9"/>
      <color rgb="FF444444"/>
      <name val="Calibri"/>
      <family val="2"/>
      <scheme val="minor"/>
    </font>
    <font>
      <b/>
      <sz val="9"/>
      <color theme="0"/>
      <name val="Calibri"/>
      <family val="2"/>
      <scheme val="minor"/>
    </font>
    <font>
      <b/>
      <u/>
      <sz val="9"/>
      <color rgb="FF444444"/>
      <name val="Calibri"/>
      <family val="2"/>
      <scheme val="minor"/>
    </font>
    <font>
      <b/>
      <sz val="14"/>
      <color theme="0"/>
      <name val="Calibri"/>
      <family val="2"/>
      <scheme val="minor"/>
    </font>
    <font>
      <b/>
      <sz val="9"/>
      <color theme="1"/>
      <name val="Calibri"/>
      <family val="2"/>
      <scheme val="minor"/>
    </font>
    <font>
      <b/>
      <sz val="14"/>
      <color theme="1"/>
      <name val="Calibri"/>
      <family val="2"/>
      <scheme val="minor"/>
    </font>
    <font>
      <b/>
      <sz val="14"/>
      <color rgb="FF000000"/>
      <name val="Calibri"/>
      <family val="2"/>
      <scheme val="minor"/>
    </font>
    <font>
      <sz val="14"/>
      <color rgb="FF000000"/>
      <name val="Calibri"/>
      <family val="2"/>
      <scheme val="minor"/>
    </font>
    <font>
      <sz val="12"/>
      <color theme="1"/>
      <name val="Calibri"/>
      <family val="2"/>
      <scheme val="minor"/>
    </font>
  </fonts>
  <fills count="10">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rgb="FF92D050"/>
        <bgColor indexed="64"/>
      </patternFill>
    </fill>
    <fill>
      <patternFill patternType="solid">
        <fgColor theme="2" tint="-0.749992370372631"/>
        <bgColor indexed="64"/>
      </patternFill>
    </fill>
    <fill>
      <patternFill patternType="solid">
        <fgColor theme="2"/>
        <bgColor indexed="64"/>
      </patternFill>
    </fill>
    <fill>
      <patternFill patternType="solid">
        <fgColor theme="2" tint="-0.499984740745262"/>
        <bgColor indexed="64"/>
      </patternFill>
    </fill>
    <fill>
      <patternFill patternType="solid">
        <fgColor theme="0" tint="-4.9989318521683403E-2"/>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style="medium">
        <color theme="0"/>
      </right>
      <top/>
      <bottom/>
      <diagonal/>
    </border>
    <border>
      <left style="medium">
        <color theme="0"/>
      </left>
      <right/>
      <top/>
      <bottom/>
      <diagonal/>
    </border>
    <border>
      <left/>
      <right/>
      <top/>
      <bottom style="thick">
        <color theme="2"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bottom style="thin">
        <color theme="2" tint="-0.499984740745262"/>
      </bottom>
      <diagonal/>
    </border>
    <border>
      <left/>
      <right style="thin">
        <color theme="2" tint="-0.499984740745262"/>
      </right>
      <top/>
      <bottom/>
      <diagonal/>
    </border>
    <border>
      <left style="thin">
        <color theme="2" tint="-0.499984740745262"/>
      </left>
      <right style="thin">
        <color theme="2" tint="-0.499984740745262"/>
      </right>
      <top/>
      <bottom/>
      <diagonal/>
    </border>
    <border>
      <left/>
      <right/>
      <top/>
      <bottom style="thick">
        <color rgb="FF009BA4"/>
      </bottom>
      <diagonal/>
    </border>
    <border>
      <left style="thick">
        <color theme="0"/>
      </left>
      <right style="thick">
        <color theme="0"/>
      </right>
      <top style="thick">
        <color theme="0"/>
      </top>
      <bottom style="thick">
        <color theme="0"/>
      </bottom>
      <diagonal/>
    </border>
    <border>
      <left style="thin">
        <color indexed="64"/>
      </left>
      <right style="thin">
        <color indexed="64"/>
      </right>
      <top style="thin">
        <color indexed="64"/>
      </top>
      <bottom style="thin">
        <color indexed="64"/>
      </bottom>
      <diagonal/>
    </border>
    <border>
      <left/>
      <right/>
      <top/>
      <bottom style="thick">
        <color theme="0"/>
      </bottom>
      <diagonal/>
    </border>
    <border>
      <left/>
      <right style="thick">
        <color theme="0"/>
      </right>
      <top/>
      <bottom style="thick">
        <color theme="0"/>
      </bottom>
      <diagonal/>
    </border>
    <border>
      <left style="thick">
        <color theme="0"/>
      </left>
      <right style="thick">
        <color theme="0"/>
      </right>
      <top/>
      <bottom style="thick">
        <color theme="0"/>
      </bottom>
      <diagonal/>
    </border>
    <border>
      <left/>
      <right style="thick">
        <color theme="0"/>
      </right>
      <top style="thick">
        <color theme="0"/>
      </top>
      <bottom style="thick">
        <color theme="0"/>
      </bottom>
      <diagonal/>
    </border>
    <border>
      <left/>
      <right style="thick">
        <color theme="0"/>
      </right>
      <top style="thick">
        <color theme="0"/>
      </top>
      <bottom/>
      <diagonal/>
    </border>
    <border>
      <left style="thick">
        <color theme="0"/>
      </left>
      <right style="thick">
        <color theme="0"/>
      </right>
      <top style="thick">
        <color theme="0"/>
      </top>
      <bottom/>
      <diagonal/>
    </border>
    <border>
      <left style="thick">
        <color theme="0"/>
      </left>
      <right/>
      <top style="thick">
        <color theme="0"/>
      </top>
      <bottom/>
      <diagonal/>
    </border>
  </borders>
  <cellStyleXfs count="3">
    <xf numFmtId="0" fontId="0" fillId="0" borderId="0"/>
    <xf numFmtId="0" fontId="1" fillId="0" borderId="1" applyNumberFormat="0" applyFill="0" applyAlignment="0" applyProtection="0"/>
    <xf numFmtId="0" fontId="2" fillId="0" borderId="2" applyNumberFormat="0" applyFill="0" applyAlignment="0" applyProtection="0"/>
  </cellStyleXfs>
  <cellXfs count="115">
    <xf numFmtId="0" fontId="0" fillId="0" borderId="0" xfId="0"/>
    <xf numFmtId="0" fontId="6" fillId="0" borderId="0" xfId="0" applyFont="1"/>
    <xf numFmtId="0" fontId="6" fillId="0" borderId="0" xfId="0" applyFont="1" applyAlignment="1">
      <alignment vertical="top" wrapText="1"/>
    </xf>
    <xf numFmtId="0" fontId="6" fillId="0" borderId="0" xfId="0" applyFont="1" applyAlignment="1">
      <alignment vertical="top"/>
    </xf>
    <xf numFmtId="0" fontId="6" fillId="0" borderId="0" xfId="0" applyFont="1" applyAlignment="1">
      <alignment horizontal="right" vertical="top"/>
    </xf>
    <xf numFmtId="0" fontId="0" fillId="0" borderId="0" xfId="0" applyAlignment="1">
      <alignment horizontal="left"/>
    </xf>
    <xf numFmtId="0" fontId="7" fillId="0" borderId="0" xfId="0" applyFont="1" applyAlignment="1">
      <alignment vertical="top" wrapText="1"/>
    </xf>
    <xf numFmtId="0" fontId="0" fillId="0" borderId="0" xfId="0" applyAlignment="1">
      <alignment vertical="top" wrapText="1"/>
    </xf>
    <xf numFmtId="0" fontId="9" fillId="0" borderId="0" xfId="0" applyFont="1" applyAlignment="1">
      <alignment vertical="top"/>
    </xf>
    <xf numFmtId="0" fontId="0" fillId="0" borderId="0" xfId="0" applyFont="1" applyAlignment="1">
      <alignment vertical="top"/>
    </xf>
    <xf numFmtId="0" fontId="0" fillId="0" borderId="0" xfId="0" applyFont="1" applyAlignment="1">
      <alignment vertical="top" wrapText="1"/>
    </xf>
    <xf numFmtId="0" fontId="0" fillId="0" borderId="0" xfId="0" applyFont="1" applyAlignment="1">
      <alignment horizontal="left" vertical="top" wrapText="1"/>
    </xf>
    <xf numFmtId="0" fontId="6" fillId="0" borderId="0" xfId="0" applyFont="1" applyBorder="1" applyAlignment="1">
      <alignment vertical="top"/>
    </xf>
    <xf numFmtId="0" fontId="6" fillId="0" borderId="0" xfId="0" applyFont="1" applyAlignment="1">
      <alignment horizontal="left" vertical="top" wrapText="1"/>
    </xf>
    <xf numFmtId="0" fontId="0" fillId="0" borderId="0" xfId="0" applyFont="1" applyFill="1" applyBorder="1" applyAlignment="1" applyProtection="1">
      <alignment horizontal="left" vertical="top" wrapText="1"/>
      <protection locked="0"/>
    </xf>
    <xf numFmtId="0" fontId="0" fillId="0" borderId="0" xfId="0" applyFont="1" applyFill="1" applyBorder="1" applyAlignment="1" applyProtection="1">
      <alignment horizontal="left" vertical="top" wrapText="1"/>
    </xf>
    <xf numFmtId="0" fontId="0" fillId="0" borderId="0" xfId="0" applyAlignment="1" applyProtection="1">
      <alignment vertical="top"/>
    </xf>
    <xf numFmtId="0" fontId="0" fillId="0" borderId="0" xfId="0" applyAlignment="1" applyProtection="1">
      <alignment horizontal="centerContinuous" vertical="top"/>
    </xf>
    <xf numFmtId="0" fontId="4" fillId="0" borderId="0" xfId="0" applyFont="1" applyAlignment="1" applyProtection="1">
      <alignment horizontal="left" vertical="top"/>
    </xf>
    <xf numFmtId="0" fontId="0" fillId="0" borderId="0" xfId="0" applyAlignment="1" applyProtection="1">
      <alignment horizontal="left" vertical="top"/>
    </xf>
    <xf numFmtId="0" fontId="9" fillId="0" borderId="0" xfId="0" applyFont="1" applyAlignment="1" applyProtection="1">
      <alignment vertical="top"/>
    </xf>
    <xf numFmtId="0" fontId="3" fillId="0" borderId="0" xfId="0" applyFont="1" applyFill="1" applyAlignment="1" applyProtection="1">
      <alignment vertical="top"/>
    </xf>
    <xf numFmtId="0" fontId="0" fillId="0" borderId="0" xfId="0" applyFill="1" applyAlignment="1" applyProtection="1">
      <alignment vertical="top"/>
    </xf>
    <xf numFmtId="0" fontId="0" fillId="0" borderId="0" xfId="0" quotePrefix="1" applyAlignment="1" applyProtection="1">
      <alignment horizontal="center" vertical="top"/>
    </xf>
    <xf numFmtId="0" fontId="0" fillId="0" borderId="0" xfId="0" applyAlignment="1" applyProtection="1">
      <alignment horizontal="center" vertical="top"/>
    </xf>
    <xf numFmtId="0" fontId="0" fillId="0" borderId="0" xfId="0" applyFont="1" applyFill="1" applyAlignment="1" applyProtection="1">
      <alignment horizontal="centerContinuous" vertical="top"/>
    </xf>
    <xf numFmtId="0" fontId="0" fillId="0" borderId="0" xfId="0" applyAlignment="1">
      <alignment vertical="top"/>
    </xf>
    <xf numFmtId="0" fontId="8" fillId="7" borderId="6" xfId="0" applyFont="1" applyFill="1" applyBorder="1" applyAlignment="1">
      <alignment vertical="top" wrapText="1"/>
    </xf>
    <xf numFmtId="0" fontId="8" fillId="7" borderId="7" xfId="0" applyFont="1" applyFill="1" applyBorder="1" applyAlignment="1">
      <alignment vertical="top" wrapText="1"/>
    </xf>
    <xf numFmtId="0" fontId="6" fillId="0" borderId="8" xfId="0" applyFont="1" applyBorder="1" applyAlignment="1">
      <alignment vertical="top"/>
    </xf>
    <xf numFmtId="0" fontId="8" fillId="7" borderId="9" xfId="0" applyFont="1" applyFill="1" applyBorder="1" applyAlignment="1">
      <alignment vertical="top" wrapText="1"/>
    </xf>
    <xf numFmtId="0" fontId="3" fillId="8" borderId="0" xfId="0" applyFont="1" applyFill="1" applyAlignment="1">
      <alignment vertical="center" wrapText="1"/>
    </xf>
    <xf numFmtId="0" fontId="3" fillId="8" borderId="0" xfId="0" applyFont="1" applyFill="1" applyAlignment="1">
      <alignment vertical="center"/>
    </xf>
    <xf numFmtId="0" fontId="0" fillId="0" borderId="5" xfId="0" applyFont="1" applyBorder="1" applyAlignment="1">
      <alignment vertical="top"/>
    </xf>
    <xf numFmtId="0" fontId="5" fillId="8" borderId="0" xfId="0" applyFont="1" applyFill="1" applyAlignment="1">
      <alignment vertical="top" wrapText="1"/>
    </xf>
    <xf numFmtId="0" fontId="6" fillId="0" borderId="10" xfId="0" applyFont="1" applyBorder="1" applyAlignment="1">
      <alignment vertical="top"/>
    </xf>
    <xf numFmtId="0" fontId="3" fillId="6" borderId="0" xfId="0" applyFont="1" applyFill="1" applyAlignment="1">
      <alignment horizontal="left" vertical="center"/>
    </xf>
    <xf numFmtId="0" fontId="3" fillId="6" borderId="3" xfId="0" applyFont="1" applyFill="1" applyBorder="1" applyAlignment="1">
      <alignment horizontal="left" vertical="center"/>
    </xf>
    <xf numFmtId="0" fontId="0" fillId="0" borderId="0" xfId="0" applyAlignment="1">
      <alignment horizontal="centerContinuous" vertical="top"/>
    </xf>
    <xf numFmtId="0" fontId="4" fillId="0" borderId="0" xfId="0" applyFont="1" applyAlignment="1">
      <alignment horizontal="left" vertical="top"/>
    </xf>
    <xf numFmtId="0" fontId="0" fillId="0" borderId="0" xfId="0" applyAlignment="1">
      <alignment horizontal="left" vertical="top"/>
    </xf>
    <xf numFmtId="0" fontId="0" fillId="0" borderId="0" xfId="0" quotePrefix="1" applyAlignment="1">
      <alignment horizontal="center" vertical="top"/>
    </xf>
    <xf numFmtId="0" fontId="0" fillId="0" borderId="0" xfId="0" applyAlignment="1">
      <alignment horizontal="center" vertical="top"/>
    </xf>
    <xf numFmtId="0" fontId="3" fillId="0" borderId="0" xfId="0" applyFont="1" applyAlignment="1">
      <alignment vertical="top"/>
    </xf>
    <xf numFmtId="0" fontId="0" fillId="0" borderId="0" xfId="0" applyAlignment="1">
      <alignment horizontal="left" vertical="top" wrapText="1"/>
    </xf>
    <xf numFmtId="0" fontId="8" fillId="0" borderId="0" xfId="0" applyFont="1" applyAlignment="1">
      <alignment horizontal="left" vertical="top" wrapText="1"/>
    </xf>
    <xf numFmtId="0" fontId="12" fillId="0" borderId="0" xfId="0" applyFont="1" applyAlignment="1">
      <alignment horizontal="left" vertical="top" wrapText="1"/>
    </xf>
    <xf numFmtId="6" fontId="0" fillId="0" borderId="0" xfId="0" applyNumberFormat="1" applyFont="1" applyFill="1" applyBorder="1" applyAlignment="1" applyProtection="1">
      <alignment horizontal="left" vertical="top" wrapText="1"/>
      <protection locked="0"/>
    </xf>
    <xf numFmtId="0" fontId="0" fillId="0" borderId="0" xfId="0" applyNumberFormat="1"/>
    <xf numFmtId="0" fontId="10" fillId="0" borderId="0" xfId="0" applyFont="1" applyFill="1"/>
    <xf numFmtId="0" fontId="14" fillId="0" borderId="0" xfId="0" applyFont="1" applyFill="1"/>
    <xf numFmtId="0" fontId="0" fillId="0" borderId="0" xfId="0" applyAlignment="1">
      <alignment horizontal="left" vertical="center" wrapText="1"/>
    </xf>
    <xf numFmtId="0" fontId="0" fillId="0" borderId="12" xfId="0" applyFont="1" applyBorder="1" applyAlignment="1" applyProtection="1">
      <alignment horizontal="left" vertical="top" wrapText="1"/>
      <protection locked="0"/>
    </xf>
    <xf numFmtId="0" fontId="0" fillId="0" borderId="0" xfId="0" applyFont="1" applyAlignment="1" applyProtection="1">
      <alignment horizontal="left" vertical="top" wrapText="1"/>
      <protection locked="0"/>
    </xf>
    <xf numFmtId="0" fontId="0" fillId="0" borderId="0" xfId="0" applyFont="1" applyAlignment="1" applyProtection="1">
      <alignment vertical="top" wrapText="1"/>
      <protection locked="0"/>
    </xf>
    <xf numFmtId="164" fontId="0" fillId="0" borderId="0" xfId="0" applyNumberFormat="1" applyFont="1" applyFill="1" applyBorder="1" applyAlignment="1" applyProtection="1">
      <alignment horizontal="left" vertical="top" wrapText="1"/>
      <protection locked="0"/>
    </xf>
    <xf numFmtId="0" fontId="0" fillId="0" borderId="0" xfId="0" applyFill="1"/>
    <xf numFmtId="0" fontId="0" fillId="0" borderId="0" xfId="0" applyFill="1" applyBorder="1" applyAlignment="1">
      <alignment horizontal="center" vertical="center"/>
    </xf>
    <xf numFmtId="0" fontId="11" fillId="0" borderId="0" xfId="0" applyFont="1" applyBorder="1" applyAlignment="1">
      <alignment horizontal="center" vertical="top" textRotation="90"/>
    </xf>
    <xf numFmtId="0" fontId="16" fillId="9" borderId="11" xfId="0" applyFont="1" applyFill="1" applyBorder="1" applyAlignment="1">
      <alignment horizontal="left" vertical="top" indent="1"/>
    </xf>
    <xf numFmtId="0" fontId="17" fillId="3" borderId="11" xfId="0" applyFont="1" applyFill="1" applyBorder="1" applyAlignment="1">
      <alignment horizontal="left" vertical="center" wrapText="1" indent="1"/>
    </xf>
    <xf numFmtId="0" fontId="18" fillId="4" borderId="11" xfId="0" applyFont="1" applyFill="1" applyBorder="1" applyAlignment="1">
      <alignment horizontal="left" vertical="center" wrapText="1" indent="1"/>
    </xf>
    <xf numFmtId="0" fontId="17" fillId="5" borderId="11" xfId="0" applyFont="1" applyFill="1" applyBorder="1" applyAlignment="1">
      <alignment horizontal="left" vertical="center" wrapText="1" indent="1"/>
    </xf>
    <xf numFmtId="0" fontId="0" fillId="8" borderId="0" xfId="0" applyFill="1"/>
    <xf numFmtId="0" fontId="10" fillId="8" borderId="0" xfId="0" applyFont="1" applyFill="1"/>
    <xf numFmtId="0" fontId="20" fillId="8" borderId="0" xfId="0" applyFont="1" applyFill="1"/>
    <xf numFmtId="0" fontId="6" fillId="8" borderId="0" xfId="0" applyFont="1" applyFill="1" applyAlignment="1">
      <alignment vertical="top"/>
    </xf>
    <xf numFmtId="0" fontId="19" fillId="0" borderId="0" xfId="0" applyFont="1" applyBorder="1" applyAlignment="1">
      <alignment horizontal="left" vertical="center"/>
    </xf>
    <xf numFmtId="0" fontId="20" fillId="8" borderId="0" xfId="0" applyFont="1" applyFill="1" applyAlignment="1">
      <alignment vertical="top"/>
    </xf>
    <xf numFmtId="0" fontId="20" fillId="0" borderId="0" xfId="0" applyFont="1" applyFill="1" applyAlignment="1">
      <alignment vertical="top"/>
    </xf>
    <xf numFmtId="0" fontId="0" fillId="9" borderId="14" xfId="0" applyFont="1" applyFill="1" applyBorder="1" applyAlignment="1">
      <alignment horizontal="center" vertical="center"/>
    </xf>
    <xf numFmtId="0" fontId="0" fillId="9" borderId="16" xfId="0" applyFont="1" applyFill="1" applyBorder="1" applyAlignment="1">
      <alignment horizontal="center" vertical="center"/>
    </xf>
    <xf numFmtId="0" fontId="0" fillId="9" borderId="17" xfId="0" applyFill="1" applyBorder="1"/>
    <xf numFmtId="0" fontId="0" fillId="9" borderId="18" xfId="0" applyFill="1" applyBorder="1" applyAlignment="1">
      <alignment horizontal="center" vertical="center"/>
    </xf>
    <xf numFmtId="0" fontId="0" fillId="9" borderId="19" xfId="0" applyFill="1" applyBorder="1" applyAlignment="1">
      <alignment horizontal="center" vertical="center"/>
    </xf>
    <xf numFmtId="0" fontId="8" fillId="0" borderId="0" xfId="0" applyFont="1" applyFill="1" applyAlignment="1">
      <alignment horizontal="center" vertical="center"/>
    </xf>
    <xf numFmtId="0" fontId="9" fillId="0" borderId="0" xfId="0" applyFont="1" applyFill="1" applyAlignment="1">
      <alignment vertical="top"/>
    </xf>
    <xf numFmtId="0" fontId="0" fillId="0" borderId="0" xfId="0" applyFill="1" applyAlignment="1" applyProtection="1">
      <alignment horizontal="centerContinuous" vertical="top"/>
    </xf>
    <xf numFmtId="0" fontId="0" fillId="0" borderId="0" xfId="0" quotePrefix="1" applyFill="1" applyAlignment="1" applyProtection="1">
      <alignment horizontal="center" vertical="top"/>
    </xf>
    <xf numFmtId="0" fontId="0" fillId="0" borderId="0" xfId="0" applyFill="1" applyAlignment="1" applyProtection="1">
      <alignment horizontal="center" vertical="top"/>
    </xf>
    <xf numFmtId="0" fontId="0" fillId="0" borderId="0" xfId="0" applyFill="1" applyAlignment="1">
      <alignment horizontal="centerContinuous" vertical="top"/>
    </xf>
    <xf numFmtId="0" fontId="0" fillId="0" borderId="0" xfId="0" quotePrefix="1" applyFill="1" applyAlignment="1">
      <alignment horizontal="center" vertical="top"/>
    </xf>
    <xf numFmtId="0" fontId="0" fillId="0" borderId="0" xfId="0" applyFill="1" applyAlignment="1">
      <alignment horizontal="center" vertical="top"/>
    </xf>
    <xf numFmtId="0" fontId="0" fillId="0" borderId="0" xfId="0" applyFill="1" applyAlignment="1">
      <alignment vertical="top"/>
    </xf>
    <xf numFmtId="0" fontId="0" fillId="0" borderId="0" xfId="0" applyFont="1" applyFill="1" applyAlignment="1" applyProtection="1">
      <alignment horizontal="left" vertical="top" wrapText="1"/>
      <protection locked="0"/>
    </xf>
    <xf numFmtId="0" fontId="0" fillId="0" borderId="0" xfId="0" applyNumberFormat="1" applyFont="1" applyFill="1" applyBorder="1" applyAlignment="1" applyProtection="1">
      <alignment horizontal="left" vertical="top" wrapText="1"/>
    </xf>
    <xf numFmtId="0" fontId="21" fillId="9" borderId="11" xfId="0" applyFont="1" applyFill="1" applyBorder="1" applyAlignment="1">
      <alignment horizontal="left" vertical="center" wrapText="1" indent="1"/>
    </xf>
    <xf numFmtId="0" fontId="22" fillId="0" borderId="0" xfId="0" applyFont="1"/>
    <xf numFmtId="0" fontId="23" fillId="0" borderId="0" xfId="0" applyFont="1" applyAlignment="1">
      <alignment horizontal="left" vertical="top" readingOrder="1"/>
    </xf>
    <xf numFmtId="0" fontId="3" fillId="8" borderId="0" xfId="0" applyFont="1" applyFill="1"/>
    <xf numFmtId="0" fontId="8" fillId="0" borderId="0" xfId="0" applyFont="1"/>
    <xf numFmtId="0" fontId="10" fillId="0" borderId="0" xfId="0" applyFont="1" applyFill="1" applyAlignment="1">
      <alignment horizontal="left"/>
    </xf>
    <xf numFmtId="3" fontId="0" fillId="0" borderId="0" xfId="0" applyNumberFormat="1"/>
    <xf numFmtId="0" fontId="24" fillId="0" borderId="0" xfId="0" applyFont="1" applyAlignment="1">
      <alignment horizontal="left" vertical="center" readingOrder="1"/>
    </xf>
    <xf numFmtId="0" fontId="0" fillId="0" borderId="0" xfId="0" applyFont="1" applyFill="1"/>
    <xf numFmtId="0" fontId="0" fillId="0" borderId="0" xfId="0" applyNumberFormat="1" applyFont="1" applyFill="1"/>
    <xf numFmtId="0" fontId="9" fillId="0" borderId="0" xfId="0" applyFont="1"/>
    <xf numFmtId="0" fontId="10" fillId="0" borderId="0" xfId="0" applyFont="1"/>
    <xf numFmtId="0" fontId="25" fillId="0" borderId="0" xfId="0" applyFont="1"/>
    <xf numFmtId="0" fontId="8" fillId="3" borderId="15" xfId="0" applyFont="1" applyFill="1" applyBorder="1" applyAlignment="1">
      <alignment horizontal="center" vertical="center"/>
    </xf>
    <xf numFmtId="0" fontId="8" fillId="4" borderId="15" xfId="0" applyFont="1" applyFill="1" applyBorder="1" applyAlignment="1">
      <alignment horizontal="center" vertical="center"/>
    </xf>
    <xf numFmtId="0" fontId="8" fillId="5" borderId="15" xfId="0" applyFont="1" applyFill="1" applyBorder="1" applyAlignment="1">
      <alignment horizontal="center" vertical="center"/>
    </xf>
    <xf numFmtId="0" fontId="8" fillId="2" borderId="0" xfId="0" applyFont="1" applyFill="1" applyAlignment="1" applyProtection="1">
      <alignment horizontal="left" vertical="top" wrapText="1"/>
    </xf>
    <xf numFmtId="0" fontId="3" fillId="6" borderId="0" xfId="0" applyFont="1" applyFill="1" applyAlignment="1" applyProtection="1">
      <alignment horizontal="left" vertical="center"/>
    </xf>
    <xf numFmtId="0" fontId="3" fillId="6" borderId="3" xfId="0" applyFont="1" applyFill="1" applyBorder="1" applyAlignment="1" applyProtection="1">
      <alignment horizontal="left" vertical="center"/>
    </xf>
    <xf numFmtId="0" fontId="3" fillId="6" borderId="4" xfId="0" applyFont="1" applyFill="1" applyBorder="1" applyAlignment="1" applyProtection="1">
      <alignment horizontal="left" vertical="center"/>
    </xf>
    <xf numFmtId="0" fontId="3" fillId="6" borderId="0" xfId="0" applyFont="1" applyFill="1" applyBorder="1" applyAlignment="1" applyProtection="1">
      <alignment horizontal="left" vertical="center"/>
    </xf>
    <xf numFmtId="0" fontId="8" fillId="0" borderId="0" xfId="0" applyFont="1" applyFill="1" applyAlignment="1" applyProtection="1">
      <alignment horizontal="left" vertical="top" wrapText="1"/>
    </xf>
    <xf numFmtId="0" fontId="8" fillId="0" borderId="0" xfId="0" applyFont="1" applyFill="1" applyAlignment="1">
      <alignment horizontal="left" vertical="top" wrapText="1"/>
    </xf>
    <xf numFmtId="0" fontId="0" fillId="2" borderId="0" xfId="0" applyFill="1" applyAlignment="1">
      <alignment horizontal="left" vertical="top" wrapText="1"/>
    </xf>
    <xf numFmtId="0" fontId="0" fillId="0" borderId="0" xfId="0" applyFont="1" applyAlignment="1">
      <alignment vertical="top" wrapText="1"/>
    </xf>
    <xf numFmtId="0" fontId="8" fillId="0" borderId="0" xfId="0" applyFont="1" applyFill="1" applyAlignment="1">
      <alignment horizontal="center" vertical="center" textRotation="90"/>
    </xf>
    <xf numFmtId="0" fontId="8" fillId="0" borderId="0" xfId="0" applyFont="1" applyFill="1" applyAlignment="1">
      <alignment horizontal="center" vertical="center"/>
    </xf>
    <xf numFmtId="0" fontId="21" fillId="0" borderId="0" xfId="0" applyFont="1" applyBorder="1" applyAlignment="1">
      <alignment horizontal="center" vertical="center" textRotation="90"/>
    </xf>
    <xf numFmtId="0" fontId="19" fillId="0" borderId="13" xfId="0" applyFont="1" applyBorder="1" applyAlignment="1">
      <alignment horizontal="center" vertical="center"/>
    </xf>
  </cellXfs>
  <cellStyles count="3">
    <cellStyle name="Heading 1" xfId="1" builtinId="16" customBuiltin="1"/>
    <cellStyle name="Heading 2" xfId="2" builtinId="17" customBuiltin="1"/>
    <cellStyle name="Normal" xfId="0" builtinId="0"/>
  </cellStyles>
  <dxfs count="176">
    <dxf>
      <font>
        <strike val="0"/>
        <outline val="0"/>
        <shadow val="0"/>
        <u val="none"/>
        <vertAlign val="baseline"/>
        <sz val="11"/>
        <color theme="0"/>
        <name val="Calibri"/>
        <family val="2"/>
        <scheme val="minor"/>
      </font>
      <fill>
        <patternFill patternType="none">
          <fgColor indexed="64"/>
          <bgColor auto="1"/>
        </patternFill>
      </fill>
    </dxf>
    <dxf>
      <alignment horizontal="left" vertical="bottom" textRotation="0" wrapText="0" indent="0" justifyLastLine="0" shrinkToFit="0" readingOrder="0"/>
    </dxf>
    <dxf>
      <alignment horizontal="left" vertical="bottom" textRotation="0" wrapText="0" indent="0" justifyLastLine="0" shrinkToFit="0" readingOrder="0"/>
    </dxf>
    <dxf>
      <font>
        <strike val="0"/>
        <outline val="0"/>
        <shadow val="0"/>
        <u val="none"/>
        <vertAlign val="baseline"/>
        <sz val="11"/>
        <color theme="0"/>
        <name val="Calibri"/>
        <family val="2"/>
        <scheme val="minor"/>
      </font>
      <fill>
        <patternFill patternType="none">
          <fgColor indexed="64"/>
          <bgColor auto="1"/>
        </patternFill>
      </fill>
      <alignment horizontal="left" vertical="bottom" textRotation="0" wrapText="0" indent="0" justifyLastLine="0" shrinkToFit="0" readingOrder="0"/>
    </dxf>
    <dxf>
      <font>
        <color theme="0"/>
      </font>
    </dxf>
    <dxf>
      <font>
        <color theme="0"/>
      </font>
    </dxf>
    <dxf>
      <fill>
        <patternFill patternType="solid">
          <bgColor theme="2" tint="-0.499984740745262"/>
        </patternFill>
      </fill>
    </dxf>
    <dxf>
      <fill>
        <patternFill patternType="solid">
          <bgColor theme="2" tint="-0.499984740745262"/>
        </patternFill>
      </fill>
    </dxf>
    <dxf>
      <font>
        <color theme="0"/>
      </font>
    </dxf>
    <dxf>
      <font>
        <color theme="0"/>
      </font>
    </dxf>
    <dxf>
      <font>
        <color theme="0"/>
      </font>
    </dxf>
    <dxf>
      <font>
        <color theme="0"/>
      </font>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ont>
        <color theme="0"/>
      </font>
    </dxf>
    <dxf>
      <font>
        <color theme="0"/>
      </font>
    </dxf>
    <dxf>
      <font>
        <color theme="0"/>
      </font>
    </dxf>
    <dxf>
      <font>
        <color theme="0"/>
      </font>
    </dxf>
    <dxf>
      <font>
        <color theme="0"/>
      </font>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ont>
        <color theme="0"/>
      </font>
    </dxf>
    <dxf>
      <font>
        <color theme="0"/>
      </font>
    </dxf>
    <dxf>
      <font>
        <color theme="0"/>
      </font>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ill>
        <patternFill patternType="solid">
          <bgColor theme="2" tint="-0.499984740745262"/>
        </patternFill>
      </fill>
    </dxf>
    <dxf>
      <font>
        <color theme="0"/>
      </font>
    </dxf>
    <dxf>
      <font>
        <color theme="0"/>
      </font>
    </dxf>
    <dxf>
      <font>
        <color theme="0"/>
      </font>
    </dxf>
    <dxf>
      <font>
        <color theme="0"/>
      </font>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ont>
        <color theme="0"/>
      </font>
    </dxf>
    <dxf>
      <font>
        <color theme="0"/>
      </font>
    </dxf>
    <dxf>
      <fill>
        <patternFill patternType="solid">
          <bgColor theme="2" tint="-0.499984740745262"/>
        </patternFill>
      </fill>
    </dxf>
    <dxf>
      <fill>
        <patternFill patternType="solid">
          <bgColor theme="2" tint="-0.499984740745262"/>
        </patternFill>
      </fill>
    </dxf>
    <dxf>
      <font>
        <color theme="0"/>
      </font>
    </dxf>
    <dxf>
      <font>
        <color theme="0"/>
      </font>
    </dxf>
    <dxf>
      <font>
        <color theme="0"/>
      </font>
    </dxf>
    <dxf>
      <font>
        <color theme="0"/>
      </font>
    </dxf>
    <dxf>
      <font>
        <color theme="0"/>
      </font>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numFmt numFmtId="3" formatCode="#,##0"/>
    </dxf>
    <dxf>
      <font>
        <color theme="0"/>
      </font>
    </dxf>
    <dxf>
      <font>
        <color theme="0"/>
      </font>
    </dxf>
    <dxf>
      <fill>
        <patternFill patternType="solid">
          <bgColor theme="2" tint="-0.499984740745262"/>
        </patternFill>
      </fill>
    </dxf>
    <dxf>
      <fill>
        <patternFill patternType="solid">
          <bgColor theme="2" tint="-0.499984740745262"/>
        </patternFill>
      </fill>
    </dxf>
    <dxf>
      <font>
        <color theme="0"/>
      </font>
    </dxf>
    <dxf>
      <fill>
        <patternFill patternType="solid">
          <bgColor theme="2" tint="-0.499984740745262"/>
        </patternFill>
      </fill>
    </dxf>
    <dxf>
      <font>
        <color theme="0"/>
      </font>
    </dxf>
    <dxf>
      <fill>
        <patternFill patternType="solid">
          <bgColor theme="2" tint="-0.499984740745262"/>
        </patternFill>
      </fill>
    </dxf>
    <dxf>
      <numFmt numFmtId="0" formatCode="General"/>
    </dxf>
    <dxf>
      <numFmt numFmtId="0" formatCode="General"/>
    </dxf>
    <dxf>
      <font>
        <b/>
        <strike val="0"/>
        <outline val="0"/>
        <shadow val="0"/>
        <u val="none"/>
        <vertAlign val="baseline"/>
        <sz val="11"/>
        <color theme="0"/>
        <name val="Calibri"/>
        <family val="2"/>
        <scheme val="minor"/>
      </font>
      <fill>
        <patternFill patternType="solid">
          <fgColor indexed="64"/>
          <bgColor theme="2" tint="-0.499984740745262"/>
        </patternFill>
      </fill>
    </dxf>
    <dxf>
      <font>
        <color theme="0"/>
      </font>
    </dxf>
    <dxf>
      <fill>
        <patternFill patternType="solid">
          <bgColor theme="2" tint="-0.499984740745262"/>
        </patternFill>
      </fill>
    </dxf>
    <dxf>
      <font>
        <color theme="0"/>
      </font>
    </dxf>
    <dxf>
      <font>
        <color theme="0"/>
      </font>
    </dxf>
    <dxf>
      <fill>
        <patternFill patternType="solid">
          <bgColor theme="2" tint="-0.499984740745262"/>
        </patternFill>
      </fill>
    </dxf>
    <dxf>
      <fill>
        <patternFill patternType="solid">
          <bgColor theme="2" tint="-0.499984740745262"/>
        </patternFill>
      </fill>
    </dxf>
    <dxf>
      <font>
        <color theme="0"/>
      </font>
    </dxf>
    <dxf>
      <fill>
        <patternFill patternType="solid">
          <bgColor theme="2" tint="-0.499984740745262"/>
        </patternFill>
      </fill>
    </dxf>
    <dxf>
      <numFmt numFmtId="0" formatCode="General"/>
    </dxf>
    <dxf>
      <font>
        <b/>
        <strike val="0"/>
        <outline val="0"/>
        <shadow val="0"/>
        <u val="none"/>
        <vertAlign val="baseline"/>
        <sz val="11"/>
        <color theme="0"/>
        <name val="Calibri"/>
        <family val="2"/>
        <scheme val="minor"/>
      </font>
      <fill>
        <patternFill patternType="solid">
          <fgColor indexed="64"/>
          <bgColor theme="2" tint="-0.499984740745262"/>
        </patternFill>
      </fill>
    </dxf>
    <dxf>
      <font>
        <color theme="0"/>
      </font>
    </dxf>
    <dxf>
      <font>
        <color theme="0"/>
      </font>
    </dxf>
    <dxf>
      <fill>
        <patternFill patternType="solid">
          <bgColor theme="2" tint="-0.499984740745262"/>
        </patternFill>
      </fill>
    </dxf>
    <dxf>
      <fill>
        <patternFill patternType="solid">
          <bgColor theme="2" tint="-0.499984740745262"/>
        </patternFill>
      </fill>
    </dxf>
    <dxf>
      <fill>
        <patternFill>
          <bgColor theme="2" tint="-0.499984740745262"/>
        </patternFill>
      </fill>
    </dxf>
    <dxf>
      <fill>
        <patternFill patternType="solid">
          <bgColor theme="2" tint="-9.9978637043366805E-2"/>
        </patternFill>
      </fill>
    </dxf>
    <dxf>
      <font>
        <color theme="0"/>
      </font>
    </dxf>
    <dxf>
      <font>
        <color theme="0"/>
      </font>
    </dxf>
    <dxf>
      <fill>
        <patternFill patternType="solid">
          <bgColor theme="2" tint="-0.499984740745262"/>
        </patternFill>
      </fill>
    </dxf>
    <dxf>
      <fill>
        <patternFill patternType="solid">
          <bgColor theme="2" tint="-0.499984740745262"/>
        </patternFill>
      </fill>
    </dxf>
    <dxf>
      <font>
        <color theme="0"/>
      </font>
    </dxf>
    <dxf>
      <font>
        <color theme="0"/>
      </font>
    </dxf>
    <dxf>
      <font>
        <color theme="0"/>
      </font>
    </dxf>
    <dxf>
      <font>
        <color theme="0"/>
      </font>
    </dxf>
    <dxf>
      <font>
        <color theme="0"/>
      </font>
    </dxf>
    <dxf>
      <font>
        <color theme="0"/>
      </font>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numFmt numFmtId="0" formatCode="General"/>
    </dxf>
    <dxf>
      <font>
        <b/>
        <strike val="0"/>
        <outline val="0"/>
        <shadow val="0"/>
        <u val="none"/>
        <vertAlign val="baseline"/>
        <sz val="11"/>
        <color theme="0"/>
        <name val="Calibri"/>
        <family val="2"/>
        <scheme val="minor"/>
      </font>
      <fill>
        <patternFill patternType="solid">
          <fgColor indexed="64"/>
          <bgColor theme="2" tint="-0.499984740745262"/>
        </patternFill>
      </fill>
    </dxf>
    <dxf>
      <fill>
        <patternFill patternType="solid">
          <bgColor theme="2" tint="-0.499984740745262"/>
        </patternFill>
      </fill>
    </dxf>
    <dxf>
      <fill>
        <patternFill patternType="solid">
          <bgColor theme="2" tint="-0.499984740745262"/>
        </patternFill>
      </fill>
    </dxf>
    <dxf>
      <font>
        <color theme="0"/>
      </font>
    </dxf>
    <dxf>
      <font>
        <color theme="0"/>
      </font>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alignment horizontal="general"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solid">
          <fgColor indexed="64"/>
          <bgColor theme="6" tint="0.39997558519241921"/>
        </patternFill>
      </fill>
      <alignment horizontal="general"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general"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alignment horizontal="left" vertical="top" textRotation="0" wrapText="1" indent="0" justifyLastLine="0" shrinkToFit="0" readingOrder="0"/>
      <protection locked="1" hidden="0"/>
    </dxf>
    <dxf>
      <alignment horizontal="left" vertical="center" textRotation="0" wrapText="1" indent="0" justifyLastLine="0" shrinkToFit="0" readingOrder="0"/>
    </dxf>
    <dxf>
      <font>
        <b/>
        <i val="0"/>
        <color rgb="FF444444"/>
      </font>
      <fill>
        <patternFill>
          <bgColor rgb="FF92D050"/>
        </patternFill>
      </fill>
    </dxf>
    <dxf>
      <font>
        <b/>
        <i val="0"/>
        <color rgb="FF444444"/>
      </font>
      <fill>
        <patternFill>
          <bgColor rgb="FFFFC000"/>
        </patternFill>
      </fill>
    </dxf>
    <dxf>
      <font>
        <b/>
        <i val="0"/>
        <color theme="0"/>
      </font>
      <fill>
        <patternFill>
          <bgColor rgb="FFFF0000"/>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164" formatCode="_-[$€-2]\ * #,##0_-;\-[$€-2]\ * #,##0_-;_-[$€-2]\ * &quot;-&quot;??_-;_-@_-"/>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strike val="0"/>
        <outline val="0"/>
        <shadow val="0"/>
        <u val="none"/>
        <vertAlign val="baseline"/>
        <sz val="11"/>
        <color theme="1"/>
        <name val="Calibri"/>
        <family val="2"/>
        <scheme val="minor"/>
      </font>
      <alignment horizontal="left" vertical="top" textRotation="0" wrapText="1" indent="0" justifyLastLine="0" shrinkToFit="0" readingOrder="0"/>
      <protection locked="1" hidden="0"/>
    </dxf>
    <dxf>
      <alignment horizontal="left" vertical="top" textRotation="0" wrapText="1" indent="0" justifyLastLine="0" shrinkToFit="0" readingOrder="0"/>
      <protection locked="1" hidden="0"/>
    </dxf>
    <dxf>
      <fill>
        <patternFill>
          <bgColor theme="1" tint="0.39994506668294322"/>
        </patternFill>
      </fill>
    </dxf>
    <dxf>
      <font>
        <b/>
        <i val="0"/>
        <color rgb="FF444444"/>
      </font>
      <fill>
        <patternFill>
          <bgColor rgb="FF92D050"/>
        </patternFill>
      </fill>
    </dxf>
    <dxf>
      <font>
        <b/>
        <i val="0"/>
        <color rgb="FF444444"/>
      </font>
      <fill>
        <patternFill>
          <bgColor rgb="FFFFC000"/>
        </patternFill>
      </fill>
    </dxf>
    <dxf>
      <font>
        <b/>
        <i val="0"/>
        <color theme="0"/>
      </font>
      <fill>
        <patternFill>
          <bgColor rgb="FFFF0000"/>
        </patternFill>
      </fill>
    </dxf>
    <dxf>
      <font>
        <color theme="1"/>
      </font>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color theme="1"/>
      </font>
      <fill>
        <patternFill>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b/>
        <i val="0"/>
        <color theme="0"/>
      </font>
      <fill>
        <patternFill>
          <bgColor theme="2" tint="-0.499984740745262"/>
        </patternFill>
      </fill>
    </dxf>
    <dxf>
      <font>
        <color theme="1"/>
      </font>
    </dxf>
    <dxf>
      <font>
        <b/>
        <i val="0"/>
        <color theme="0"/>
      </font>
      <fill>
        <patternFill>
          <bgColor theme="2" tint="-0.499984740745262"/>
        </patternFill>
      </fill>
      <border diagonalUp="0" diagonalDown="0">
        <left/>
        <right/>
        <top/>
        <bottom/>
        <vertical/>
        <horizontal/>
      </border>
    </dxf>
    <dxf>
      <font>
        <b val="0"/>
        <i val="0"/>
        <color rgb="FF444444"/>
      </font>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s>
  <tableStyles count="2" defaultTableStyle="TableStyleMedium2" defaultPivotStyle="PivotStyleLight16">
    <tableStyle name="CertiKit Slicer 2" pivot="0" table="0" count="10" xr9:uid="{5D848576-823C-483B-BE8A-686B0D09D0E5}">
      <tableStyleElement type="wholeTable" dxfId="175"/>
      <tableStyleElement type="headerRow" dxfId="174"/>
    </tableStyle>
    <tableStyle name="CertiKit table style 2" pivot="0" count="4" xr9:uid="{757A8666-9061-42F6-B73E-BB6A80120961}">
      <tableStyleElement type="wholeTable" dxfId="173"/>
      <tableStyleElement type="headerRow" dxfId="172"/>
      <tableStyleElement type="firstRowStripe" dxfId="171"/>
      <tableStyleElement type="secondRowStripe" dxfId="170"/>
    </tableStyle>
  </tableStyles>
  <colors>
    <mruColors>
      <color rgb="FFD0EAEB"/>
      <color rgb="FF009BA4"/>
      <color rgb="FFCCC900"/>
      <color rgb="FFDBDC2C"/>
      <color rgb="FF444444"/>
      <color rgb="FFFFFFFF"/>
    </mruColors>
  </colors>
  <extLst>
    <ext xmlns:x14="http://schemas.microsoft.com/office/spreadsheetml/2009/9/main" uri="{46F421CA-312F-682f-3DD2-61675219B42D}">
      <x14:dxfs count="8">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theme="0"/>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D0EAEB"/>
              <bgColor theme="2"/>
            </patternFill>
          </fill>
          <border>
            <left style="thin">
              <color rgb="FFCCCCCC"/>
            </left>
            <right style="thin">
              <color rgb="FFCCCCCC"/>
            </right>
            <top style="thin">
              <color rgb="FFCCCCCC"/>
            </top>
            <bottom style="thin">
              <color rgb="FFCCCCCC"/>
            </bottom>
            <vertical/>
            <horizontal/>
          </border>
        </dxf>
        <dxf>
          <font>
            <color rgb="FF444444"/>
          </font>
          <fill>
            <patternFill patternType="solid">
              <fgColor rgb="FFD0EAEB"/>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444444"/>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CertiKit Slicer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1.xml"/><Relationship Id="rId39"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34" Type="http://schemas.microsoft.com/office/2007/relationships/slicerCache" Target="slicerCaches/slicerCache9.xml"/><Relationship Id="rId42"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5.xml"/><Relationship Id="rId33" Type="http://schemas.microsoft.com/office/2007/relationships/slicerCache" Target="slicerCaches/slicerCache8.xml"/><Relationship Id="rId38"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07/relationships/slicerCache" Target="slicerCaches/slicerCache4.xml"/><Relationship Id="rId41"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4.xml"/><Relationship Id="rId32" Type="http://schemas.microsoft.com/office/2007/relationships/slicerCache" Target="slicerCaches/slicerCache7.xml"/><Relationship Id="rId37" Type="http://schemas.openxmlformats.org/officeDocument/2006/relationships/sharedStrings" Target="sharedStrings.xml"/><Relationship Id="rId40"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3.xml"/><Relationship Id="rId28" Type="http://schemas.microsoft.com/office/2007/relationships/slicerCache" Target="slicerCaches/slicerCache3.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07/relationships/slicerCache" Target="slicerCaches/slicerCache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2.xml"/><Relationship Id="rId27" Type="http://schemas.microsoft.com/office/2007/relationships/slicerCache" Target="slicerCaches/slicerCache2.xml"/><Relationship Id="rId30" Type="http://schemas.microsoft.com/office/2007/relationships/slicerCache" Target="slicerCaches/slicerCache5.xml"/><Relationship Id="rId35" Type="http://schemas.openxmlformats.org/officeDocument/2006/relationships/theme" Target="theme/theme1.xml"/><Relationship Id="rId43"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[EXAMPLE 1 ROAT Tool.xlsx]Pre-treatment Risks Pivot!Pre-treatmentRisksPivot</c:name>
    <c:fmtId val="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r>
              <a:rPr lang="en-US" sz="1400" b="0" i="0" baseline="0">
                <a:solidFill>
                  <a:schemeClr val="tx1"/>
                </a:solidFill>
                <a:effectLst/>
              </a:rPr>
              <a:t>Number of pre-treatment risks</a:t>
            </a:r>
            <a:endParaRPr lang="en-GB" sz="1400">
              <a:solidFill>
                <a:schemeClr val="tx1"/>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w="25400">
            <a:solidFill>
              <a:schemeClr val="lt1"/>
            </a:solidFill>
          </a:ln>
          <a:effectLst/>
          <a:sp3d contourW="25400">
            <a:contourClr>
              <a:schemeClr val="lt1"/>
            </a:contourClr>
          </a:sp3d>
        </c:spPr>
      </c:pivotFmt>
      <c:pivotFmt>
        <c:idx val="2"/>
        <c:spPr>
          <a:solidFill>
            <a:srgbClr val="FFC000"/>
          </a:solidFill>
          <a:ln w="25400">
            <a:solidFill>
              <a:schemeClr val="lt1"/>
            </a:solidFill>
          </a:ln>
          <a:effectLst/>
          <a:sp3d contourW="25400">
            <a:contourClr>
              <a:schemeClr val="lt1"/>
            </a:contourClr>
          </a:sp3d>
        </c:spPr>
      </c:pivotFmt>
      <c:pivotFmt>
        <c:idx val="3"/>
        <c:spPr>
          <a:solidFill>
            <a:srgbClr val="FF0000"/>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w="25400">
            <a:solidFill>
              <a:schemeClr val="lt1"/>
            </a:solidFill>
          </a:ln>
          <a:effectLst/>
          <a:sp3d contourW="25400">
            <a:contourClr>
              <a:schemeClr val="lt1"/>
            </a:contourClr>
          </a:sp3d>
        </c:spPr>
      </c:pivotFmt>
      <c:pivotFmt>
        <c:idx val="6"/>
        <c:spPr>
          <a:solidFill>
            <a:srgbClr val="FFC000"/>
          </a:solidFill>
          <a:ln w="25400">
            <a:solidFill>
              <a:schemeClr val="lt1"/>
            </a:solidFill>
          </a:ln>
          <a:effectLst/>
          <a:sp3d contourW="25400">
            <a:contourClr>
              <a:schemeClr val="lt1"/>
            </a:contourClr>
          </a:sp3d>
        </c:spPr>
      </c:pivotFmt>
      <c:pivotFmt>
        <c:idx val="7"/>
        <c:spPr>
          <a:solidFill>
            <a:srgbClr val="FF0000"/>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2D050"/>
          </a:solidFill>
          <a:ln w="25400">
            <a:solidFill>
              <a:schemeClr val="lt1"/>
            </a:solidFill>
          </a:ln>
          <a:effectLst/>
          <a:sp3d contourW="25400">
            <a:contourClr>
              <a:schemeClr val="lt1"/>
            </a:contourClr>
          </a:sp3d>
        </c:spPr>
      </c:pivotFmt>
      <c:pivotFmt>
        <c:idx val="10"/>
        <c:spPr>
          <a:solidFill>
            <a:srgbClr val="FFC000"/>
          </a:solidFill>
          <a:ln w="25400">
            <a:solidFill>
              <a:schemeClr val="lt1"/>
            </a:solidFill>
          </a:ln>
          <a:effectLst/>
          <a:sp3d contourW="25400">
            <a:contourClr>
              <a:schemeClr val="lt1"/>
            </a:contourClr>
          </a:sp3d>
        </c:spPr>
      </c:pivotFmt>
      <c:pivotFmt>
        <c:idx val="11"/>
        <c:spPr>
          <a:solidFill>
            <a:srgbClr val="FF0000"/>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'Pre-treatment Risks Pivot'!$C$12</c:f>
              <c:strCache>
                <c:ptCount val="1"/>
                <c:pt idx="0">
                  <c:v>Total</c:v>
                </c:pt>
              </c:strCache>
            </c:strRef>
          </c:tx>
          <c:dPt>
            <c:idx val="0"/>
            <c:bubble3D val="0"/>
            <c:spPr>
              <a:solidFill>
                <a:srgbClr val="92D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1-848E-476F-A1C8-D6FE2C01C25D}"/>
              </c:ext>
            </c:extLst>
          </c:dPt>
          <c:dPt>
            <c:idx val="1"/>
            <c:bubble3D val="0"/>
            <c:spPr>
              <a:solidFill>
                <a:srgbClr val="FFC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3-848E-476F-A1C8-D6FE2C01C25D}"/>
              </c:ext>
            </c:extLst>
          </c:dPt>
          <c:dPt>
            <c:idx val="2"/>
            <c:bubble3D val="0"/>
            <c:spPr>
              <a:solidFill>
                <a:srgbClr val="FF0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5-848E-476F-A1C8-D6FE2C01C25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'Pre-treatment Risks Pivot'!$B$13:$B$15</c:f>
              <c:strCache>
                <c:ptCount val="3"/>
                <c:pt idx="0">
                  <c:v> Low</c:v>
                </c:pt>
                <c:pt idx="1">
                  <c:v> Medium</c:v>
                </c:pt>
                <c:pt idx="2">
                  <c:v> High</c:v>
                </c:pt>
              </c:strCache>
            </c:strRef>
          </c:cat>
          <c:val>
            <c:numRef>
              <c:f>'Pre-treatment Risks Pivot'!$C$13:$C$15</c:f>
              <c:numCache>
                <c:formatCode>General</c:formatCode>
                <c:ptCount val="3"/>
                <c:pt idx="0">
                  <c:v>3</c:v>
                </c:pt>
                <c:pt idx="1">
                  <c:v>2</c:v>
                </c:pt>
                <c:pt idx="2">
                  <c:v>3</c:v>
                </c:pt>
              </c:numCache>
            </c:numRef>
          </c:val>
          <c:extLst>
            <c:ext xmlns:c16="http://schemas.microsoft.com/office/drawing/2014/chart" uri="{C3380CC4-5D6E-409C-BE32-E72D297353CC}">
              <c16:uniqueId val="{00000006-848E-476F-A1C8-D6FE2C01C25D}"/>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[EXAMPLE 1 ROAT Tool.xlsx]Pre-treatment Risk Owners Pivot!Pre-treatmentRiskOwnersPivot</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baseline="0">
                <a:solidFill>
                  <a:schemeClr val="tx1"/>
                </a:solidFill>
                <a:effectLst/>
              </a:rPr>
              <a:t>Pre-treatment risk levels by risk owner</a:t>
            </a:r>
            <a:endParaRPr lang="en-GB" sz="1400">
              <a:solidFill>
                <a:schemeClr val="tx1"/>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a:noFill/>
          </a:ln>
          <a:effectLst/>
          <a:sp3d/>
        </c:spPr>
        <c:marker>
          <c:symbol val="none"/>
        </c:marker>
      </c:pivotFmt>
      <c:pivotFmt>
        <c:idx val="1"/>
        <c:spPr>
          <a:solidFill>
            <a:srgbClr val="FFC000"/>
          </a:solidFill>
          <a:ln>
            <a:noFill/>
          </a:ln>
          <a:effectLst/>
          <a:sp3d/>
        </c:spPr>
        <c:marker>
          <c:symbol val="none"/>
        </c:marker>
      </c:pivotFmt>
      <c:pivotFmt>
        <c:idx val="2"/>
        <c:spPr>
          <a:solidFill>
            <a:srgbClr val="FF0000"/>
          </a:solidFill>
          <a:ln>
            <a:noFill/>
          </a:ln>
          <a:effectLst/>
          <a:sp3d/>
        </c:spPr>
        <c:marker>
          <c:symbol val="none"/>
        </c:marker>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a:sp3d/>
        </c:spPr>
      </c:pivotFmt>
      <c:pivotFmt>
        <c:idx val="5"/>
        <c:spPr>
          <a:solidFill>
            <a:srgbClr val="92D050"/>
          </a:solidFill>
          <a:ln>
            <a:noFill/>
          </a:ln>
          <a:effectLst/>
          <a:sp3d/>
        </c:spPr>
      </c:pivotFmt>
      <c:pivotFmt>
        <c:idx val="6"/>
        <c:spPr>
          <a:solidFill>
            <a:srgbClr val="FFC000"/>
          </a:solidFill>
          <a:ln>
            <a:noFill/>
          </a:ln>
          <a:effectLst/>
          <a:sp3d/>
        </c:spPr>
      </c:pivotFmt>
      <c:pivotFmt>
        <c:idx val="7"/>
        <c:spPr>
          <a:solidFill>
            <a:srgbClr val="FFC000"/>
          </a:solidFill>
          <a:ln>
            <a:noFill/>
          </a:ln>
          <a:effectLst/>
          <a:sp3d/>
        </c:spPr>
      </c:pivotFmt>
      <c:pivotFmt>
        <c:idx val="8"/>
        <c:spPr>
          <a:solidFill>
            <a:srgbClr val="FF0000"/>
          </a:solidFill>
          <a:ln>
            <a:noFill/>
          </a:ln>
          <a:effectLst/>
          <a:sp3d/>
        </c:spPr>
      </c:pivotFmt>
      <c:pivotFmt>
        <c:idx val="9"/>
        <c:spPr>
          <a:solidFill>
            <a:srgbClr val="FF0000"/>
          </a:solidFill>
          <a:ln>
            <a:noFill/>
          </a:ln>
          <a:effectLst/>
          <a:sp3d/>
        </c:spPr>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92D050"/>
          </a:solidFill>
          <a:ln>
            <a:noFill/>
          </a:ln>
          <a:effectLst/>
          <a:sp3d/>
        </c:spPr>
      </c:pivotFmt>
      <c:pivotFmt>
        <c:idx val="12"/>
        <c:spPr>
          <a:solidFill>
            <a:srgbClr val="92D050"/>
          </a:solidFill>
          <a:ln>
            <a:noFill/>
          </a:ln>
          <a:effectLst/>
          <a:sp3d/>
        </c:spPr>
      </c:pivotFmt>
      <c:pivotFmt>
        <c:idx val="13"/>
        <c:spPr>
          <a:solidFill>
            <a:srgbClr val="FFC000"/>
          </a:solidFill>
          <a:ln>
            <a:noFill/>
          </a:ln>
          <a:effectLst/>
          <a:sp3d/>
        </c:spPr>
      </c:pivotFmt>
      <c:pivotFmt>
        <c:idx val="14"/>
        <c:spPr>
          <a:solidFill>
            <a:srgbClr val="FFC000"/>
          </a:solidFill>
          <a:ln>
            <a:noFill/>
          </a:ln>
          <a:effectLst/>
          <a:sp3d/>
        </c:spPr>
      </c:pivotFmt>
      <c:pivotFmt>
        <c:idx val="15"/>
        <c:spPr>
          <a:solidFill>
            <a:srgbClr val="FF0000"/>
          </a:solidFill>
          <a:ln>
            <a:noFill/>
          </a:ln>
          <a:effectLst/>
          <a:sp3d/>
        </c:spPr>
      </c:pivotFmt>
      <c:pivotFmt>
        <c:idx val="16"/>
        <c:spPr>
          <a:solidFill>
            <a:srgbClr val="FF0000"/>
          </a:solidFill>
          <a:ln>
            <a:noFill/>
          </a:ln>
          <a:effectLst/>
          <a:sp3d/>
        </c:spPr>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92D050"/>
          </a:solidFill>
          <a:ln>
            <a:noFill/>
          </a:ln>
          <a:effectLst/>
          <a:sp3d/>
        </c:spPr>
      </c:pivotFmt>
      <c:pivotFmt>
        <c:idx val="19"/>
        <c:spPr>
          <a:solidFill>
            <a:srgbClr val="92D050"/>
          </a:solidFill>
          <a:ln>
            <a:noFill/>
          </a:ln>
          <a:effectLst/>
          <a:sp3d/>
        </c:spPr>
      </c:pivotFmt>
      <c:pivotFmt>
        <c:idx val="20"/>
        <c:spPr>
          <a:solidFill>
            <a:srgbClr val="FFC000"/>
          </a:solidFill>
          <a:ln>
            <a:noFill/>
          </a:ln>
          <a:effectLst/>
          <a:sp3d/>
        </c:spPr>
      </c:pivotFmt>
      <c:pivotFmt>
        <c:idx val="21"/>
        <c:spPr>
          <a:solidFill>
            <a:srgbClr val="FFC000"/>
          </a:solidFill>
          <a:ln>
            <a:noFill/>
          </a:ln>
          <a:effectLst/>
          <a:sp3d/>
        </c:spPr>
      </c:pivotFmt>
      <c:pivotFmt>
        <c:idx val="22"/>
        <c:spPr>
          <a:solidFill>
            <a:srgbClr val="FF0000"/>
          </a:solidFill>
          <a:ln>
            <a:noFill/>
          </a:ln>
          <a:effectLst/>
          <a:sp3d/>
        </c:spPr>
      </c:pivotFmt>
      <c:pivotFmt>
        <c:idx val="23"/>
        <c:spPr>
          <a:solidFill>
            <a:srgbClr val="FF0000"/>
          </a:solidFill>
          <a:ln>
            <a:noFill/>
          </a:ln>
          <a:effectLst/>
          <a:sp3d/>
        </c:spPr>
      </c:pivotFmt>
      <c:pivotFmt>
        <c:idx val="2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rgbClr val="92D050"/>
          </a:solidFill>
          <a:ln>
            <a:noFill/>
          </a:ln>
          <a:effectLst/>
          <a:sp3d/>
        </c:spPr>
      </c:pivotFmt>
      <c:pivotFmt>
        <c:idx val="26"/>
        <c:spPr>
          <a:solidFill>
            <a:srgbClr val="92D050"/>
          </a:solidFill>
          <a:ln>
            <a:noFill/>
          </a:ln>
          <a:effectLst/>
          <a:sp3d/>
        </c:spPr>
      </c:pivotFmt>
      <c:pivotFmt>
        <c:idx val="27"/>
        <c:spPr>
          <a:solidFill>
            <a:srgbClr val="FFC000"/>
          </a:solidFill>
          <a:ln>
            <a:noFill/>
          </a:ln>
          <a:effectLst/>
          <a:sp3d/>
        </c:spPr>
      </c:pivotFmt>
      <c:pivotFmt>
        <c:idx val="28"/>
        <c:spPr>
          <a:solidFill>
            <a:srgbClr val="FFC000"/>
          </a:solidFill>
          <a:ln>
            <a:noFill/>
          </a:ln>
          <a:effectLst/>
          <a:sp3d/>
        </c:spPr>
      </c:pivotFmt>
      <c:pivotFmt>
        <c:idx val="29"/>
        <c:spPr>
          <a:solidFill>
            <a:srgbClr val="FF0000"/>
          </a:solidFill>
          <a:ln>
            <a:noFill/>
          </a:ln>
          <a:effectLst/>
          <a:sp3d/>
        </c:spPr>
      </c:pivotFmt>
      <c:pivotFmt>
        <c:idx val="30"/>
        <c:spPr>
          <a:solidFill>
            <a:srgbClr val="FF0000"/>
          </a:solidFill>
          <a:ln>
            <a:noFill/>
          </a:ln>
          <a:effectLst/>
          <a:sp3d/>
        </c:spPr>
      </c:pivotFmt>
      <c:pivotFmt>
        <c:idx val="3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a:sp3d/>
        </c:spPr>
      </c:pivotFmt>
      <c:pivotFmt>
        <c:idx val="33"/>
        <c:spPr>
          <a:solidFill>
            <a:schemeClr val="accent2"/>
          </a:solidFill>
          <a:ln>
            <a:noFill/>
          </a:ln>
          <a:effectLst/>
          <a:sp3d/>
        </c:spPr>
      </c:pivotFmt>
      <c:pivotFmt>
        <c:idx val="34"/>
        <c:spPr>
          <a:solidFill>
            <a:schemeClr val="accent3"/>
          </a:solidFill>
          <a:ln>
            <a:noFill/>
          </a:ln>
          <a:effectLst/>
          <a:sp3d/>
        </c:spPr>
      </c:pivotFmt>
      <c:pivotFmt>
        <c:idx val="35"/>
        <c:spPr>
          <a:solidFill>
            <a:schemeClr val="accent4"/>
          </a:solidFill>
          <a:ln>
            <a:noFill/>
          </a:ln>
          <a:effectLst/>
          <a:sp3d/>
        </c:spPr>
      </c:pivotFmt>
      <c:pivotFmt>
        <c:idx val="36"/>
        <c:spPr>
          <a:solidFill>
            <a:schemeClr val="accent5"/>
          </a:solidFill>
          <a:ln>
            <a:noFill/>
          </a:ln>
          <a:effectLst/>
          <a:sp3d/>
        </c:spPr>
      </c:pivotFmt>
      <c:pivotFmt>
        <c:idx val="37"/>
        <c:spPr>
          <a:solidFill>
            <a:schemeClr val="accent6"/>
          </a:solidFill>
          <a:ln>
            <a:noFill/>
          </a:ln>
          <a:effectLst/>
          <a:sp3d/>
        </c:spPr>
      </c:pivotFmt>
      <c:pivotFmt>
        <c:idx val="3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a:sp3d/>
        </c:spPr>
      </c:pivotFmt>
      <c:pivotFmt>
        <c:idx val="40"/>
        <c:spPr>
          <a:solidFill>
            <a:schemeClr val="accent1"/>
          </a:solidFill>
          <a:ln>
            <a:noFill/>
          </a:ln>
          <a:effectLst/>
          <a:sp3d/>
        </c:spPr>
      </c:pivotFmt>
      <c:pivotFmt>
        <c:idx val="41"/>
        <c:spPr>
          <a:solidFill>
            <a:schemeClr val="accent1"/>
          </a:solidFill>
          <a:ln>
            <a:noFill/>
          </a:ln>
          <a:effectLst/>
          <a:sp3d/>
        </c:spPr>
      </c:pivotFmt>
      <c:pivotFmt>
        <c:idx val="42"/>
        <c:spPr>
          <a:solidFill>
            <a:schemeClr val="accent1"/>
          </a:solidFill>
          <a:ln>
            <a:noFill/>
          </a:ln>
          <a:effectLst/>
          <a:sp3d/>
        </c:spPr>
      </c:pivotFmt>
      <c:pivotFmt>
        <c:idx val="43"/>
        <c:spPr>
          <a:solidFill>
            <a:schemeClr val="accent1"/>
          </a:solidFill>
          <a:ln>
            <a:noFill/>
          </a:ln>
          <a:effectLst/>
          <a:sp3d/>
        </c:spPr>
      </c:pivotFmt>
      <c:pivotFmt>
        <c:idx val="44"/>
        <c:spPr>
          <a:solidFill>
            <a:schemeClr val="accent1"/>
          </a:solidFill>
          <a:ln>
            <a:noFill/>
          </a:ln>
          <a:effectLst/>
          <a:sp3d/>
        </c:spPr>
      </c:pivotFmt>
      <c:pivotFmt>
        <c:idx val="4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a:sp3d/>
        </c:spPr>
      </c:pivotFmt>
      <c:pivotFmt>
        <c:idx val="47"/>
        <c:spPr>
          <a:solidFill>
            <a:schemeClr val="accent1"/>
          </a:solidFill>
          <a:ln>
            <a:noFill/>
          </a:ln>
          <a:effectLst/>
          <a:sp3d/>
        </c:spPr>
      </c:pivotFmt>
      <c:pivotFmt>
        <c:idx val="48"/>
        <c:spPr>
          <a:solidFill>
            <a:schemeClr val="accent1"/>
          </a:solidFill>
          <a:ln>
            <a:noFill/>
          </a:ln>
          <a:effectLst/>
          <a:sp3d/>
        </c:spPr>
      </c:pivotFmt>
      <c:pivotFmt>
        <c:idx val="49"/>
        <c:spPr>
          <a:solidFill>
            <a:schemeClr val="accent1"/>
          </a:solidFill>
          <a:ln>
            <a:noFill/>
          </a:ln>
          <a:effectLst/>
          <a:sp3d/>
        </c:spPr>
      </c:pivotFmt>
      <c:pivotFmt>
        <c:idx val="50"/>
        <c:spPr>
          <a:solidFill>
            <a:schemeClr val="accent1"/>
          </a:solidFill>
          <a:ln>
            <a:noFill/>
          </a:ln>
          <a:effectLst/>
          <a:sp3d/>
        </c:spPr>
      </c:pivotFmt>
      <c:pivotFmt>
        <c:idx val="51"/>
        <c:spPr>
          <a:solidFill>
            <a:schemeClr val="accent1"/>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1"/>
        <c:ser>
          <c:idx val="0"/>
          <c:order val="0"/>
          <c:tx>
            <c:strRef>
              <c:f>'Pre-treatment Risk Owners Pivot'!$D$6</c:f>
              <c:strCache>
                <c:ptCount val="1"/>
                <c:pt idx="0">
                  <c:v>Total</c:v>
                </c:pt>
              </c:strCache>
            </c:strRef>
          </c:tx>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1-E607-4F38-B3F5-FDA4A35ACE1C}"/>
              </c:ext>
            </c:extLst>
          </c:dPt>
          <c:dPt>
            <c:idx val="1"/>
            <c:invertIfNegative val="0"/>
            <c:bubble3D val="0"/>
            <c:spPr>
              <a:solidFill>
                <a:schemeClr val="accent2"/>
              </a:solidFill>
              <a:ln>
                <a:noFill/>
              </a:ln>
              <a:effectLst/>
              <a:sp3d/>
            </c:spPr>
            <c:extLst>
              <c:ext xmlns:c16="http://schemas.microsoft.com/office/drawing/2014/chart" uri="{C3380CC4-5D6E-409C-BE32-E72D297353CC}">
                <c16:uniqueId val="{00000003-E607-4F38-B3F5-FDA4A35ACE1C}"/>
              </c:ext>
            </c:extLst>
          </c:dPt>
          <c:dPt>
            <c:idx val="2"/>
            <c:invertIfNegative val="0"/>
            <c:bubble3D val="0"/>
            <c:spPr>
              <a:solidFill>
                <a:schemeClr val="accent3"/>
              </a:solidFill>
              <a:ln>
                <a:noFill/>
              </a:ln>
              <a:effectLst/>
              <a:sp3d/>
            </c:spPr>
            <c:extLst>
              <c:ext xmlns:c16="http://schemas.microsoft.com/office/drawing/2014/chart" uri="{C3380CC4-5D6E-409C-BE32-E72D297353CC}">
                <c16:uniqueId val="{00000005-E607-4F38-B3F5-FDA4A35ACE1C}"/>
              </c:ext>
            </c:extLst>
          </c:dPt>
          <c:dPt>
            <c:idx val="3"/>
            <c:invertIfNegative val="0"/>
            <c:bubble3D val="0"/>
            <c:spPr>
              <a:solidFill>
                <a:schemeClr val="accent4"/>
              </a:solidFill>
              <a:ln>
                <a:noFill/>
              </a:ln>
              <a:effectLst/>
              <a:sp3d/>
            </c:spPr>
            <c:extLst>
              <c:ext xmlns:c16="http://schemas.microsoft.com/office/drawing/2014/chart" uri="{C3380CC4-5D6E-409C-BE32-E72D297353CC}">
                <c16:uniqueId val="{00000007-E607-4F38-B3F5-FDA4A35ACE1C}"/>
              </c:ext>
            </c:extLst>
          </c:dPt>
          <c:dPt>
            <c:idx val="4"/>
            <c:invertIfNegative val="0"/>
            <c:bubble3D val="0"/>
            <c:spPr>
              <a:solidFill>
                <a:schemeClr val="accent5"/>
              </a:solidFill>
              <a:ln>
                <a:noFill/>
              </a:ln>
              <a:effectLst/>
              <a:sp3d/>
            </c:spPr>
            <c:extLst>
              <c:ext xmlns:c16="http://schemas.microsoft.com/office/drawing/2014/chart" uri="{C3380CC4-5D6E-409C-BE32-E72D297353CC}">
                <c16:uniqueId val="{00000009-E607-4F38-B3F5-FDA4A35ACE1C}"/>
              </c:ext>
            </c:extLst>
          </c:dPt>
          <c:dPt>
            <c:idx val="5"/>
            <c:invertIfNegative val="0"/>
            <c:bubble3D val="0"/>
            <c:spPr>
              <a:solidFill>
                <a:schemeClr val="accent6"/>
              </a:solidFill>
              <a:ln>
                <a:noFill/>
              </a:ln>
              <a:effectLst/>
              <a:sp3d/>
            </c:spPr>
            <c:extLst>
              <c:ext xmlns:c16="http://schemas.microsoft.com/office/drawing/2014/chart" uri="{C3380CC4-5D6E-409C-BE32-E72D297353CC}">
                <c16:uniqueId val="{0000000B-E607-4F38-B3F5-FDA4A35ACE1C}"/>
              </c:ext>
            </c:extLst>
          </c:dPt>
          <c:cat>
            <c:multiLvlStrRef>
              <c:f>'Pre-treatment Risk Owners Pivot'!$B$7:$C$12</c:f>
              <c:multiLvlStrCache>
                <c:ptCount val="6"/>
                <c:lvl>
                  <c:pt idx="0">
                    <c:v>Facilities Manager</c:v>
                  </c:pt>
                  <c:pt idx="1">
                    <c:v>Operations Manager</c:v>
                  </c:pt>
                  <c:pt idx="2">
                    <c:v>IT Manager</c:v>
                  </c:pt>
                  <c:pt idx="3">
                    <c:v>Facilities Manager</c:v>
                  </c:pt>
                  <c:pt idx="4">
                    <c:v>Facilities Manager</c:v>
                  </c:pt>
                  <c:pt idx="5">
                    <c:v>Operations Manager</c:v>
                  </c:pt>
                </c:lvl>
                <c:lvl>
                  <c:pt idx="0">
                    <c:v> LOW</c:v>
                  </c:pt>
                  <c:pt idx="2">
                    <c:v> MEDIUM</c:v>
                  </c:pt>
                  <c:pt idx="4">
                    <c:v> HIGH</c:v>
                  </c:pt>
                </c:lvl>
              </c:multiLvlStrCache>
            </c:multiLvlStrRef>
          </c:cat>
          <c:val>
            <c:numRef>
              <c:f>'Pre-treatment Risk Owners Pivot'!$D$7:$D$12</c:f>
              <c:numCache>
                <c:formatCode>General</c:formatCode>
                <c:ptCount val="6"/>
                <c:pt idx="0">
                  <c:v>2</c:v>
                </c:pt>
                <c:pt idx="1">
                  <c:v>1</c:v>
                </c:pt>
                <c:pt idx="2">
                  <c:v>1</c:v>
                </c:pt>
                <c:pt idx="3">
                  <c:v>1</c:v>
                </c:pt>
                <c:pt idx="4">
                  <c:v>1</c:v>
                </c:pt>
                <c:pt idx="5">
                  <c:v>2</c:v>
                </c:pt>
              </c:numCache>
            </c:numRef>
          </c:val>
          <c:extLst>
            <c:ext xmlns:c16="http://schemas.microsoft.com/office/drawing/2014/chart" uri="{C3380CC4-5D6E-409C-BE32-E72D297353CC}">
              <c16:uniqueId val="{0000000C-E607-4F38-B3F5-FDA4A35ACE1C}"/>
            </c:ext>
          </c:extLst>
        </c:ser>
        <c:dLbls>
          <c:showLegendKey val="0"/>
          <c:showVal val="0"/>
          <c:showCatName val="0"/>
          <c:showSerName val="0"/>
          <c:showPercent val="0"/>
          <c:showBubbleSize val="0"/>
        </c:dLbls>
        <c:gapWidth val="150"/>
        <c:shape val="box"/>
        <c:axId val="1063244000"/>
        <c:axId val="1063238752"/>
        <c:axId val="0"/>
      </c:bar3DChart>
      <c:catAx>
        <c:axId val="10632440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238752"/>
        <c:crosses val="autoZero"/>
        <c:auto val="1"/>
        <c:lblAlgn val="ctr"/>
        <c:lblOffset val="100"/>
        <c:noMultiLvlLbl val="0"/>
      </c:catAx>
      <c:valAx>
        <c:axId val="10632387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63244000"/>
        <c:crosses val="autoZero"/>
        <c:crossBetween val="between"/>
        <c:majorUnit val="2"/>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[EXAMPLE 1 ROAT Tool.xlsx]Post-treatment Risks Pivot!Post-treatmentRisksPivot</c:name>
    <c:fmtId val="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r>
              <a:rPr lang="en-GB" sz="1400" b="0" i="0" baseline="0">
                <a:solidFill>
                  <a:schemeClr val="tx1"/>
                </a:solidFill>
                <a:effectLst/>
              </a:rPr>
              <a:t>Number of post-treatment risks</a:t>
            </a:r>
            <a:endParaRPr lang="en-GB" sz="1400">
              <a:solidFill>
                <a:schemeClr val="tx1"/>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w="25400">
            <a:solidFill>
              <a:schemeClr val="lt1"/>
            </a:solidFill>
          </a:ln>
          <a:effectLst/>
          <a:sp3d contourW="25400">
            <a:contourClr>
              <a:schemeClr val="lt1"/>
            </a:contourClr>
          </a:sp3d>
        </c:spPr>
      </c:pivotFmt>
      <c:pivotFmt>
        <c:idx val="2"/>
        <c:spPr>
          <a:solidFill>
            <a:srgbClr val="FFC000"/>
          </a:solidFill>
          <a:ln w="25400">
            <a:solidFill>
              <a:schemeClr val="lt1"/>
            </a:solidFill>
          </a:ln>
          <a:effectLst/>
          <a:sp3d contourW="25400">
            <a:contourClr>
              <a:schemeClr val="lt1"/>
            </a:contourClr>
          </a:sp3d>
        </c:spPr>
      </c:pivotFmt>
      <c:pivotFmt>
        <c:idx val="3"/>
        <c:spPr>
          <a:solidFill>
            <a:srgbClr val="FF0000"/>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w="25400">
            <a:solidFill>
              <a:schemeClr val="lt1"/>
            </a:solidFill>
          </a:ln>
          <a:effectLst/>
          <a:sp3d contourW="25400">
            <a:contourClr>
              <a:schemeClr val="lt1"/>
            </a:contourClr>
          </a:sp3d>
        </c:spPr>
      </c:pivotFmt>
      <c:pivotFmt>
        <c:idx val="6"/>
        <c:spPr>
          <a:solidFill>
            <a:srgbClr val="FFC000"/>
          </a:solidFill>
          <a:ln w="25400">
            <a:solidFill>
              <a:schemeClr val="lt1"/>
            </a:solidFill>
          </a:ln>
          <a:effectLst/>
          <a:sp3d contourW="25400">
            <a:contourClr>
              <a:schemeClr val="lt1"/>
            </a:contourClr>
          </a:sp3d>
        </c:spPr>
      </c:pivotFmt>
      <c:pivotFmt>
        <c:idx val="7"/>
        <c:spPr>
          <a:solidFill>
            <a:srgbClr val="FF0000"/>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2D050"/>
          </a:solidFill>
          <a:ln w="25400">
            <a:solidFill>
              <a:schemeClr val="lt1"/>
            </a:solidFill>
          </a:ln>
          <a:effectLst/>
          <a:sp3d contourW="25400">
            <a:contourClr>
              <a:schemeClr val="lt1"/>
            </a:contourClr>
          </a:sp3d>
        </c:spPr>
      </c:pivotFmt>
      <c:pivotFmt>
        <c:idx val="10"/>
        <c:spPr>
          <a:solidFill>
            <a:srgbClr val="FFC000"/>
          </a:solidFill>
          <a:ln w="25400">
            <a:solidFill>
              <a:schemeClr val="lt1"/>
            </a:solidFill>
          </a:ln>
          <a:effectLst/>
          <a:sp3d contourW="25400">
            <a:contourClr>
              <a:schemeClr val="lt1"/>
            </a:contourClr>
          </a:sp3d>
        </c:spPr>
      </c:pivotFmt>
      <c:pivotFmt>
        <c:idx val="11"/>
        <c:spPr>
          <a:solidFill>
            <a:srgbClr val="FF0000"/>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'Post-treatment Risks Pivot'!$C$12</c:f>
              <c:strCache>
                <c:ptCount val="1"/>
                <c:pt idx="0">
                  <c:v>Total</c:v>
                </c:pt>
              </c:strCache>
            </c:strRef>
          </c:tx>
          <c:dPt>
            <c:idx val="0"/>
            <c:bubble3D val="0"/>
            <c:spPr>
              <a:solidFill>
                <a:srgbClr val="92D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1-3FF1-43ED-84DD-A2B6AFE39608}"/>
              </c:ext>
            </c:extLst>
          </c:dPt>
          <c:dPt>
            <c:idx val="1"/>
            <c:bubble3D val="0"/>
            <c:spPr>
              <a:solidFill>
                <a:srgbClr val="FFC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3-3FF1-43ED-84DD-A2B6AFE39608}"/>
              </c:ext>
            </c:extLst>
          </c:dPt>
          <c:dPt>
            <c:idx val="2"/>
            <c:bubble3D val="0"/>
            <c:spPr>
              <a:solidFill>
                <a:srgbClr val="FF0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5-3FF1-43ED-84DD-A2B6AFE3960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'Post-treatment Risks Pivot'!$B$13:$B$15</c:f>
              <c:strCache>
                <c:ptCount val="3"/>
                <c:pt idx="0">
                  <c:v> Low</c:v>
                </c:pt>
                <c:pt idx="1">
                  <c:v> Medium</c:v>
                </c:pt>
                <c:pt idx="2">
                  <c:v> High</c:v>
                </c:pt>
              </c:strCache>
            </c:strRef>
          </c:cat>
          <c:val>
            <c:numRef>
              <c:f>'Post-treatment Risks Pivot'!$C$13:$C$15</c:f>
              <c:numCache>
                <c:formatCode>General</c:formatCode>
                <c:ptCount val="3"/>
                <c:pt idx="0">
                  <c:v>3</c:v>
                </c:pt>
                <c:pt idx="1">
                  <c:v>4</c:v>
                </c:pt>
                <c:pt idx="2">
                  <c:v>1</c:v>
                </c:pt>
              </c:numCache>
            </c:numRef>
          </c:val>
          <c:extLst>
            <c:ext xmlns:c16="http://schemas.microsoft.com/office/drawing/2014/chart" uri="{C3380CC4-5D6E-409C-BE32-E72D297353CC}">
              <c16:uniqueId val="{00000006-3FF1-43ED-84DD-A2B6AFE39608}"/>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[EXAMPLE 1 ROAT Tool.xlsx]Pre &amp; Post Risks By Level Pivot!Pre&amp;PostRisksByLevel</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baseline="0">
                <a:solidFill>
                  <a:schemeClr val="tx1"/>
                </a:solidFill>
                <a:effectLst/>
              </a:rPr>
              <a:t>Number of risks by risk level pre and post treatment</a:t>
            </a:r>
            <a:endParaRPr lang="en-GB" sz="1400">
              <a:solidFill>
                <a:schemeClr val="tx1"/>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2">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9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2">
              <a:lumMod val="9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2">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2">
              <a:lumMod val="9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2">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bg2">
              <a:lumMod val="9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bg2">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bg2">
              <a:lumMod val="9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bg2">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bg2">
              <a:lumMod val="9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bg2">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bg2">
              <a:lumMod val="9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'Pre &amp; Post Risks By Level Pivot'!$C$12</c:f>
              <c:strCache>
                <c:ptCount val="1"/>
                <c:pt idx="0">
                  <c:v>Pre-treatment </c:v>
                </c:pt>
              </c:strCache>
            </c:strRef>
          </c:tx>
          <c:spPr>
            <a:solidFill>
              <a:schemeClr val="bg2">
                <a:lumMod val="50000"/>
              </a:schemeClr>
            </a:solidFill>
            <a:ln>
              <a:noFill/>
            </a:ln>
            <a:effectLst/>
            <a:sp3d/>
          </c:spPr>
          <c:invertIfNegative val="0"/>
          <c:cat>
            <c:strRef>
              <c:f>'Pre &amp; Post Risks By Level Pivot'!$B$13:$B$15</c:f>
              <c:strCache>
                <c:ptCount val="3"/>
                <c:pt idx="0">
                  <c:v> Low</c:v>
                </c:pt>
                <c:pt idx="1">
                  <c:v> Medium</c:v>
                </c:pt>
                <c:pt idx="2">
                  <c:v> High</c:v>
                </c:pt>
              </c:strCache>
            </c:strRef>
          </c:cat>
          <c:val>
            <c:numRef>
              <c:f>'Pre &amp; Post Risks By Level Pivot'!$C$13:$C$15</c:f>
              <c:numCache>
                <c:formatCode>General</c:formatCode>
                <c:ptCount val="3"/>
                <c:pt idx="0">
                  <c:v>3</c:v>
                </c:pt>
                <c:pt idx="1">
                  <c:v>2</c:v>
                </c:pt>
                <c:pt idx="2">
                  <c:v>3</c:v>
                </c:pt>
              </c:numCache>
            </c:numRef>
          </c:val>
          <c:extLst>
            <c:ext xmlns:c16="http://schemas.microsoft.com/office/drawing/2014/chart" uri="{C3380CC4-5D6E-409C-BE32-E72D297353CC}">
              <c16:uniqueId val="{00000000-6709-4C55-8CA5-9D11F7B50BC0}"/>
            </c:ext>
          </c:extLst>
        </c:ser>
        <c:ser>
          <c:idx val="1"/>
          <c:order val="1"/>
          <c:tx>
            <c:strRef>
              <c:f>'Pre &amp; Post Risks By Level Pivot'!$D$12</c:f>
              <c:strCache>
                <c:ptCount val="1"/>
                <c:pt idx="0">
                  <c:v>Post-treatment </c:v>
                </c:pt>
              </c:strCache>
            </c:strRef>
          </c:tx>
          <c:spPr>
            <a:solidFill>
              <a:schemeClr val="bg2">
                <a:lumMod val="90000"/>
              </a:schemeClr>
            </a:solidFill>
            <a:ln>
              <a:noFill/>
            </a:ln>
            <a:effectLst/>
            <a:sp3d/>
          </c:spPr>
          <c:invertIfNegative val="0"/>
          <c:cat>
            <c:strRef>
              <c:f>'Pre &amp; Post Risks By Level Pivot'!$B$13:$B$15</c:f>
              <c:strCache>
                <c:ptCount val="3"/>
                <c:pt idx="0">
                  <c:v> Low</c:v>
                </c:pt>
                <c:pt idx="1">
                  <c:v> Medium</c:v>
                </c:pt>
                <c:pt idx="2">
                  <c:v> High</c:v>
                </c:pt>
              </c:strCache>
            </c:strRef>
          </c:cat>
          <c:val>
            <c:numRef>
              <c:f>'Pre &amp; Post Risks By Level Pivot'!$D$13:$D$15</c:f>
              <c:numCache>
                <c:formatCode>General</c:formatCode>
                <c:ptCount val="3"/>
                <c:pt idx="0">
                  <c:v>3</c:v>
                </c:pt>
                <c:pt idx="1">
                  <c:v>4</c:v>
                </c:pt>
                <c:pt idx="2">
                  <c:v>1</c:v>
                </c:pt>
              </c:numCache>
            </c:numRef>
          </c:val>
          <c:extLst>
            <c:ext xmlns:c16="http://schemas.microsoft.com/office/drawing/2014/chart" uri="{C3380CC4-5D6E-409C-BE32-E72D297353CC}">
              <c16:uniqueId val="{00000001-6709-4C55-8CA5-9D11F7B50BC0}"/>
            </c:ext>
          </c:extLst>
        </c:ser>
        <c:dLbls>
          <c:showLegendKey val="0"/>
          <c:showVal val="0"/>
          <c:showCatName val="0"/>
          <c:showSerName val="0"/>
          <c:showPercent val="0"/>
          <c:showBubbleSize val="0"/>
        </c:dLbls>
        <c:gapWidth val="150"/>
        <c:shape val="box"/>
        <c:axId val="891807176"/>
        <c:axId val="891808816"/>
        <c:axId val="0"/>
      </c:bar3DChart>
      <c:catAx>
        <c:axId val="8918071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91808816"/>
        <c:crosses val="autoZero"/>
        <c:auto val="1"/>
        <c:lblAlgn val="ctr"/>
        <c:lblOffset val="100"/>
        <c:noMultiLvlLbl val="0"/>
      </c:catAx>
      <c:valAx>
        <c:axId val="8918088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91807176"/>
        <c:crosses val="autoZero"/>
        <c:crossBetween val="between"/>
        <c:majorUnit val="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[EXAMPLE 1 ROAT Tool.xlsx]Treatment option chosen Pivot!TreatmentChosen</c:name>
    <c:fmtId val="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r>
              <a:rPr lang="en-GB" sz="1400" b="0" i="0" baseline="0">
                <a:solidFill>
                  <a:schemeClr val="tx1"/>
                </a:solidFill>
                <a:effectLst/>
              </a:rPr>
              <a:t>Risks by treatment option chosen</a:t>
            </a:r>
            <a:endParaRPr lang="en-GB" sz="1400">
              <a:solidFill>
                <a:schemeClr val="tx1"/>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50000"/>
            </a:schemeClr>
          </a:solidFill>
          <a:ln w="25400">
            <a:solidFill>
              <a:schemeClr val="lt1"/>
            </a:solidFill>
          </a:ln>
          <a:effectLst/>
          <a:sp3d contourW="25400">
            <a:contourClr>
              <a:schemeClr val="lt1"/>
            </a:contourClr>
          </a:sp3d>
        </c:spPr>
      </c:pivotFmt>
      <c:pivotFmt>
        <c:idx val="2"/>
        <c:spPr>
          <a:solidFill>
            <a:schemeClr val="bg2">
              <a:lumMod val="75000"/>
            </a:schemeClr>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2">
              <a:lumMod val="75000"/>
            </a:schemeClr>
          </a:solidFill>
          <a:ln w="25400">
            <a:solidFill>
              <a:schemeClr val="lt1"/>
            </a:solidFill>
          </a:ln>
          <a:effectLst/>
          <a:sp3d contourW="25400">
            <a:contourClr>
              <a:schemeClr val="lt1"/>
            </a:contourClr>
          </a:sp3d>
        </c:spPr>
      </c:pivotFmt>
      <c:pivotFmt>
        <c:idx val="5"/>
        <c:spPr>
          <a:solidFill>
            <a:schemeClr val="bg2">
              <a:lumMod val="50000"/>
            </a:schemeClr>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2">
              <a:lumMod val="75000"/>
            </a:schemeClr>
          </a:solidFill>
          <a:ln w="25400">
            <a:solidFill>
              <a:schemeClr val="lt1"/>
            </a:solidFill>
          </a:ln>
          <a:effectLst/>
          <a:sp3d contourW="25400">
            <a:contourClr>
              <a:schemeClr val="lt1"/>
            </a:contourClr>
          </a:sp3d>
        </c:spPr>
      </c:pivotFmt>
      <c:pivotFmt>
        <c:idx val="8"/>
        <c:spPr>
          <a:solidFill>
            <a:schemeClr val="bg2">
              <a:lumMod val="50000"/>
            </a:schemeClr>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2">
              <a:lumMod val="75000"/>
            </a:schemeClr>
          </a:solidFill>
          <a:ln w="25400">
            <a:solidFill>
              <a:schemeClr val="lt1"/>
            </a:solidFill>
          </a:ln>
          <a:effectLst/>
          <a:sp3d contourW="25400">
            <a:contourClr>
              <a:schemeClr val="lt1"/>
            </a:contourClr>
          </a:sp3d>
        </c:spPr>
      </c:pivotFmt>
      <c:pivotFmt>
        <c:idx val="11"/>
        <c:spPr>
          <a:solidFill>
            <a:schemeClr val="bg2">
              <a:lumMod val="50000"/>
            </a:schemeClr>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2"/>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'Treatment option chosen Pivot'!$C$7</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F05C-456A-96FF-ABEDD9348E6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F05C-456A-96FF-ABEDD9348E6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'Treatment option chosen Pivot'!$B$8:$B$9</c:f>
              <c:strCache>
                <c:ptCount val="2"/>
                <c:pt idx="0">
                  <c:v>Accept</c:v>
                </c:pt>
                <c:pt idx="1">
                  <c:v>Modify</c:v>
                </c:pt>
              </c:strCache>
            </c:strRef>
          </c:cat>
          <c:val>
            <c:numRef>
              <c:f>'Treatment option chosen Pivot'!$C$8:$C$9</c:f>
              <c:numCache>
                <c:formatCode>General</c:formatCode>
                <c:ptCount val="2"/>
                <c:pt idx="0">
                  <c:v>3</c:v>
                </c:pt>
                <c:pt idx="1">
                  <c:v>5</c:v>
                </c:pt>
              </c:numCache>
            </c:numRef>
          </c:val>
          <c:extLst>
            <c:ext xmlns:c16="http://schemas.microsoft.com/office/drawing/2014/chart" uri="{C3380CC4-5D6E-409C-BE32-E72D297353CC}">
              <c16:uniqueId val="{00000004-F05C-456A-96FF-ABEDD9348E6F}"/>
            </c:ext>
          </c:extLst>
        </c:ser>
        <c:dLbls>
          <c:dLblPos val="outEnd"/>
          <c:showLegendKey val="0"/>
          <c:showVal val="1"/>
          <c:showCatName val="0"/>
          <c:showSerName val="0"/>
          <c:showPercent val="0"/>
          <c:showBubbleSize val="0"/>
          <c:showLeaderLines val="1"/>
        </c:dLbls>
      </c:pie3D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[EXAMPLE 1 ROAT Tool.xlsx]Total treatment costs Pivot!TreatmentCosts</c:name>
    <c:fmtId val="1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r>
              <a:rPr lang="en-US" sz="1400" b="0" i="0" baseline="0">
                <a:solidFill>
                  <a:schemeClr val="tx1"/>
                </a:solidFill>
                <a:effectLst/>
              </a:rPr>
              <a:t>Total treatment cost by risk level</a:t>
            </a:r>
            <a:endParaRPr lang="en-GB" sz="1400">
              <a:solidFill>
                <a:schemeClr val="tx1"/>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a:sp3d/>
        </c:spPr>
      </c:pivotFmt>
      <c:pivotFmt>
        <c:idx val="2"/>
        <c:spPr>
          <a:solidFill>
            <a:srgbClr val="FFC000"/>
          </a:solidFill>
          <a:ln>
            <a:noFill/>
          </a:ln>
          <a:effectLst/>
          <a:sp3d/>
        </c:spPr>
      </c:pivotFmt>
      <c:pivotFmt>
        <c:idx val="3"/>
        <c:spPr>
          <a:solidFill>
            <a:srgbClr val="FF0000"/>
          </a:solidFill>
          <a:ln>
            <a:noFill/>
          </a:ln>
          <a:effectLst/>
          <a:sp3d/>
        </c:spPr>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a:sp3d/>
        </c:spPr>
      </c:pivotFmt>
      <c:pivotFmt>
        <c:idx val="6"/>
        <c:spPr>
          <a:solidFill>
            <a:srgbClr val="FFC000"/>
          </a:solidFill>
          <a:ln>
            <a:noFill/>
          </a:ln>
          <a:effectLst/>
          <a:sp3d/>
        </c:spPr>
      </c:pivotFmt>
      <c:pivotFmt>
        <c:idx val="7"/>
        <c:spPr>
          <a:solidFill>
            <a:srgbClr val="FF0000"/>
          </a:solidFill>
          <a:ln>
            <a:noFill/>
          </a:ln>
          <a:effectLst/>
          <a:sp3d/>
        </c:spPr>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92D050"/>
          </a:solidFill>
          <a:ln>
            <a:noFill/>
          </a:ln>
          <a:effectLst/>
          <a:sp3d/>
        </c:spPr>
      </c:pivotFmt>
      <c:pivotFmt>
        <c:idx val="10"/>
        <c:spPr>
          <a:solidFill>
            <a:srgbClr val="FFC000"/>
          </a:solidFill>
          <a:ln>
            <a:noFill/>
          </a:ln>
          <a:effectLst/>
          <a:sp3d/>
        </c:spPr>
      </c:pivotFmt>
      <c:pivotFmt>
        <c:idx val="11"/>
        <c:spPr>
          <a:solidFill>
            <a:srgbClr val="FF0000"/>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'Total treatment costs Pivot'!$C$7</c:f>
              <c:strCache>
                <c:ptCount val="1"/>
                <c:pt idx="0">
                  <c:v>Total</c:v>
                </c:pt>
              </c:strCache>
            </c:strRef>
          </c:tx>
          <c:spPr>
            <a:solidFill>
              <a:schemeClr val="accent1"/>
            </a:solidFill>
            <a:ln>
              <a:noFill/>
            </a:ln>
            <a:effectLst/>
            <a:sp3d/>
          </c:spPr>
          <c:invertIfNegative val="0"/>
          <c:dPt>
            <c:idx val="0"/>
            <c:invertIfNegative val="0"/>
            <c:bubble3D val="0"/>
            <c:spPr>
              <a:solidFill>
                <a:srgbClr val="92D050"/>
              </a:solidFill>
              <a:ln>
                <a:noFill/>
              </a:ln>
              <a:effectLst/>
              <a:sp3d/>
            </c:spPr>
            <c:extLst>
              <c:ext xmlns:c16="http://schemas.microsoft.com/office/drawing/2014/chart" uri="{C3380CC4-5D6E-409C-BE32-E72D297353CC}">
                <c16:uniqueId val="{00000001-B583-49EB-98EA-49EAB5EE90BF}"/>
              </c:ext>
            </c:extLst>
          </c:dPt>
          <c:dPt>
            <c:idx val="1"/>
            <c:invertIfNegative val="0"/>
            <c:bubble3D val="0"/>
            <c:spPr>
              <a:solidFill>
                <a:srgbClr val="FFC000"/>
              </a:solidFill>
              <a:ln>
                <a:noFill/>
              </a:ln>
              <a:effectLst/>
              <a:sp3d/>
            </c:spPr>
            <c:extLst>
              <c:ext xmlns:c16="http://schemas.microsoft.com/office/drawing/2014/chart" uri="{C3380CC4-5D6E-409C-BE32-E72D297353CC}">
                <c16:uniqueId val="{00000003-B583-49EB-98EA-49EAB5EE90BF}"/>
              </c:ext>
            </c:extLst>
          </c:dPt>
          <c:dPt>
            <c:idx val="2"/>
            <c:invertIfNegative val="0"/>
            <c:bubble3D val="0"/>
            <c:spPr>
              <a:solidFill>
                <a:srgbClr val="FF0000"/>
              </a:solidFill>
              <a:ln>
                <a:noFill/>
              </a:ln>
              <a:effectLst/>
              <a:sp3d/>
            </c:spPr>
            <c:extLst>
              <c:ext xmlns:c16="http://schemas.microsoft.com/office/drawing/2014/chart" uri="{C3380CC4-5D6E-409C-BE32-E72D297353CC}">
                <c16:uniqueId val="{00000005-B583-49EB-98EA-49EAB5EE90BF}"/>
              </c:ext>
            </c:extLst>
          </c:dPt>
          <c:cat>
            <c:strRef>
              <c:f>'Total treatment costs Pivot'!$B$8:$B$10</c:f>
              <c:strCache>
                <c:ptCount val="3"/>
                <c:pt idx="0">
                  <c:v> LOW</c:v>
                </c:pt>
                <c:pt idx="1">
                  <c:v> MEDIUM</c:v>
                </c:pt>
                <c:pt idx="2">
                  <c:v> HIGH</c:v>
                </c:pt>
              </c:strCache>
            </c:strRef>
          </c:cat>
          <c:val>
            <c:numRef>
              <c:f>'Total treatment costs Pivot'!$C$8:$C$10</c:f>
              <c:numCache>
                <c:formatCode>#,##0</c:formatCode>
                <c:ptCount val="3"/>
                <c:pt idx="0">
                  <c:v>0</c:v>
                </c:pt>
                <c:pt idx="1">
                  <c:v>33000</c:v>
                </c:pt>
                <c:pt idx="2">
                  <c:v>135000</c:v>
                </c:pt>
              </c:numCache>
            </c:numRef>
          </c:val>
          <c:extLst>
            <c:ext xmlns:c16="http://schemas.microsoft.com/office/drawing/2014/chart" uri="{C3380CC4-5D6E-409C-BE32-E72D297353CC}">
              <c16:uniqueId val="{00000006-B583-49EB-98EA-49EAB5EE90BF}"/>
            </c:ext>
          </c:extLst>
        </c:ser>
        <c:dLbls>
          <c:showLegendKey val="0"/>
          <c:showVal val="0"/>
          <c:showCatName val="0"/>
          <c:showSerName val="0"/>
          <c:showPercent val="0"/>
          <c:showBubbleSize val="0"/>
        </c:dLbls>
        <c:gapWidth val="150"/>
        <c:shape val="box"/>
        <c:axId val="786893784"/>
        <c:axId val="786891160"/>
        <c:axId val="0"/>
      </c:bar3DChart>
      <c:catAx>
        <c:axId val="7868937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86891160"/>
        <c:crosses val="autoZero"/>
        <c:auto val="1"/>
        <c:lblAlgn val="ctr"/>
        <c:lblOffset val="100"/>
        <c:noMultiLvlLbl val="0"/>
      </c:catAx>
      <c:valAx>
        <c:axId val="78689116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86893784"/>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[EXAMPLE 1 ROAT Tool.xlsx]Treatment Action Owner!TreatmentActionOwner</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baseline="0">
                <a:solidFill>
                  <a:schemeClr val="tx1"/>
                </a:solidFill>
                <a:effectLst/>
              </a:rPr>
              <a:t>Treatment action owner </a:t>
            </a:r>
            <a:endParaRPr lang="en-GB" sz="1400">
              <a:solidFill>
                <a:schemeClr val="tx1"/>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'Treatment Action Owner'!$C$6:$C$7</c:f>
              <c:strCache>
                <c:ptCount val="1"/>
                <c:pt idx="0">
                  <c:v> LOW</c:v>
                </c:pt>
              </c:strCache>
            </c:strRef>
          </c:tx>
          <c:spPr>
            <a:solidFill>
              <a:srgbClr val="92D050"/>
            </a:solidFill>
            <a:ln>
              <a:noFill/>
            </a:ln>
            <a:effectLst/>
            <a:sp3d/>
          </c:spPr>
          <c:invertIfNegative val="0"/>
          <c:cat>
            <c:strRef>
              <c:f>'Treatment Action Owner'!$B$8:$B$12</c:f>
              <c:strCache>
                <c:ptCount val="5"/>
                <c:pt idx="0">
                  <c:v>Facilities Manager</c:v>
                </c:pt>
                <c:pt idx="1">
                  <c:v>IT Manager</c:v>
                </c:pt>
                <c:pt idx="2">
                  <c:v>Maintenance Engineer</c:v>
                </c:pt>
                <c:pt idx="3">
                  <c:v>Operations Manager</c:v>
                </c:pt>
                <c:pt idx="4">
                  <c:v>(blank)</c:v>
                </c:pt>
              </c:strCache>
            </c:strRef>
          </c:cat>
          <c:val>
            <c:numRef>
              <c:f>'Treatment Action Owner'!$C$8:$C$12</c:f>
              <c:numCache>
                <c:formatCode>General</c:formatCode>
                <c:ptCount val="5"/>
              </c:numCache>
            </c:numRef>
          </c:val>
          <c:extLst>
            <c:ext xmlns:c16="http://schemas.microsoft.com/office/drawing/2014/chart" uri="{C3380CC4-5D6E-409C-BE32-E72D297353CC}">
              <c16:uniqueId val="{00000000-C0B0-46C0-9F4A-6003A0618277}"/>
            </c:ext>
          </c:extLst>
        </c:ser>
        <c:ser>
          <c:idx val="1"/>
          <c:order val="1"/>
          <c:tx>
            <c:strRef>
              <c:f>'Treatment Action Owner'!$D$6:$D$7</c:f>
              <c:strCache>
                <c:ptCount val="1"/>
                <c:pt idx="0">
                  <c:v> MEDIUM</c:v>
                </c:pt>
              </c:strCache>
            </c:strRef>
          </c:tx>
          <c:spPr>
            <a:solidFill>
              <a:srgbClr val="FFC000"/>
            </a:solidFill>
            <a:ln>
              <a:noFill/>
            </a:ln>
            <a:effectLst/>
            <a:sp3d/>
          </c:spPr>
          <c:invertIfNegative val="0"/>
          <c:cat>
            <c:strRef>
              <c:f>'Treatment Action Owner'!$B$8:$B$12</c:f>
              <c:strCache>
                <c:ptCount val="5"/>
                <c:pt idx="0">
                  <c:v>Facilities Manager</c:v>
                </c:pt>
                <c:pt idx="1">
                  <c:v>IT Manager</c:v>
                </c:pt>
                <c:pt idx="2">
                  <c:v>Maintenance Engineer</c:v>
                </c:pt>
                <c:pt idx="3">
                  <c:v>Operations Manager</c:v>
                </c:pt>
                <c:pt idx="4">
                  <c:v>(blank)</c:v>
                </c:pt>
              </c:strCache>
            </c:strRef>
          </c:cat>
          <c:val>
            <c:numRef>
              <c:f>'Treatment Action Owner'!$D$8:$D$12</c:f>
              <c:numCache>
                <c:formatCode>General</c:formatCode>
                <c:ptCount val="5"/>
                <c:pt idx="0">
                  <c:v>1</c:v>
                </c:pt>
                <c:pt idx="1">
                  <c:v>1</c:v>
                </c:pt>
              </c:numCache>
            </c:numRef>
          </c:val>
          <c:extLst>
            <c:ext xmlns:c16="http://schemas.microsoft.com/office/drawing/2014/chart" uri="{C3380CC4-5D6E-409C-BE32-E72D297353CC}">
              <c16:uniqueId val="{00000001-C0B0-46C0-9F4A-6003A0618277}"/>
            </c:ext>
          </c:extLst>
        </c:ser>
        <c:ser>
          <c:idx val="2"/>
          <c:order val="2"/>
          <c:tx>
            <c:strRef>
              <c:f>'Treatment Action Owner'!$E$6:$E$7</c:f>
              <c:strCache>
                <c:ptCount val="1"/>
                <c:pt idx="0">
                  <c:v> HIGH</c:v>
                </c:pt>
              </c:strCache>
            </c:strRef>
          </c:tx>
          <c:spPr>
            <a:solidFill>
              <a:srgbClr val="FF0000"/>
            </a:solidFill>
            <a:ln>
              <a:noFill/>
            </a:ln>
            <a:effectLst/>
            <a:sp3d/>
          </c:spPr>
          <c:invertIfNegative val="0"/>
          <c:cat>
            <c:strRef>
              <c:f>'Treatment Action Owner'!$B$8:$B$12</c:f>
              <c:strCache>
                <c:ptCount val="5"/>
                <c:pt idx="0">
                  <c:v>Facilities Manager</c:v>
                </c:pt>
                <c:pt idx="1">
                  <c:v>IT Manager</c:v>
                </c:pt>
                <c:pt idx="2">
                  <c:v>Maintenance Engineer</c:v>
                </c:pt>
                <c:pt idx="3">
                  <c:v>Operations Manager</c:v>
                </c:pt>
                <c:pt idx="4">
                  <c:v>(blank)</c:v>
                </c:pt>
              </c:strCache>
            </c:strRef>
          </c:cat>
          <c:val>
            <c:numRef>
              <c:f>'Treatment Action Owner'!$E$8:$E$12</c:f>
              <c:numCache>
                <c:formatCode>General</c:formatCode>
                <c:ptCount val="5"/>
                <c:pt idx="0">
                  <c:v>1</c:v>
                </c:pt>
                <c:pt idx="2">
                  <c:v>1</c:v>
                </c:pt>
                <c:pt idx="3">
                  <c:v>1</c:v>
                </c:pt>
              </c:numCache>
            </c:numRef>
          </c:val>
          <c:extLst>
            <c:ext xmlns:c16="http://schemas.microsoft.com/office/drawing/2014/chart" uri="{C3380CC4-5D6E-409C-BE32-E72D297353CC}">
              <c16:uniqueId val="{00000002-C0B0-46C0-9F4A-6003A0618277}"/>
            </c:ext>
          </c:extLst>
        </c:ser>
        <c:dLbls>
          <c:showLegendKey val="0"/>
          <c:showVal val="0"/>
          <c:showCatName val="0"/>
          <c:showSerName val="0"/>
          <c:showPercent val="0"/>
          <c:showBubbleSize val="0"/>
        </c:dLbls>
        <c:gapWidth val="150"/>
        <c:shape val="box"/>
        <c:axId val="779601376"/>
        <c:axId val="779598096"/>
        <c:axId val="0"/>
      </c:bar3DChart>
      <c:catAx>
        <c:axId val="7796013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79598096"/>
        <c:crosses val="autoZero"/>
        <c:auto val="1"/>
        <c:lblAlgn val="ctr"/>
        <c:lblOffset val="100"/>
        <c:noMultiLvlLbl val="0"/>
      </c:catAx>
      <c:valAx>
        <c:axId val="7795980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79601376"/>
        <c:crosses val="autoZero"/>
        <c:crossBetween val="between"/>
        <c:majorUnit val="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[EXAMPLE 1 ROAT Tool.xlsx]Opps By Level!OppsByLevel</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Opportunities by level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w="25400">
            <a:solidFill>
              <a:schemeClr val="lt1"/>
            </a:solidFill>
          </a:ln>
          <a:effectLst/>
          <a:sp3d contourW="25400">
            <a:contourClr>
              <a:schemeClr val="lt1"/>
            </a:contourClr>
          </a:sp3d>
        </c:spPr>
      </c:pivotFmt>
      <c:pivotFmt>
        <c:idx val="2"/>
        <c:spPr>
          <a:solidFill>
            <a:srgbClr val="FF0000"/>
          </a:solidFill>
          <a:ln w="25400">
            <a:solidFill>
              <a:schemeClr val="lt1"/>
            </a:solidFill>
          </a:ln>
          <a:effectLst/>
          <a:sp3d contourW="25400">
            <a:contourClr>
              <a:schemeClr val="lt1"/>
            </a:contourClr>
          </a:sp3d>
        </c:spPr>
      </c:pivotFmt>
      <c:pivotFmt>
        <c:idx val="3"/>
        <c:spPr>
          <a:solidFill>
            <a:srgbClr val="92D050"/>
          </a:solidFill>
          <a:ln w="25400">
            <a:solidFill>
              <a:schemeClr val="lt1"/>
            </a:solidFill>
          </a:ln>
          <a:effectLst/>
          <a:sp3d contourW="25400">
            <a:contourClr>
              <a:schemeClr val="lt1"/>
            </a:contourClr>
          </a:sp3d>
        </c:spPr>
      </c:pivotFmt>
      <c:pivotFmt>
        <c:idx val="4"/>
        <c:spPr>
          <a:solidFill>
            <a:srgbClr val="92D050"/>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C000"/>
          </a:solidFill>
          <a:ln w="25400">
            <a:solidFill>
              <a:schemeClr val="lt1"/>
            </a:solidFill>
          </a:ln>
          <a:effectLst/>
          <a:sp3d contourW="25400">
            <a:contourClr>
              <a:schemeClr val="lt1"/>
            </a:contourClr>
          </a:sp3d>
        </c:spPr>
      </c:pivotFmt>
      <c:pivotFmt>
        <c:idx val="7"/>
        <c:spPr>
          <a:solidFill>
            <a:srgbClr val="FF0000"/>
          </a:solidFill>
          <a:ln w="25400">
            <a:solidFill>
              <a:schemeClr val="lt1"/>
            </a:solidFill>
          </a:ln>
          <a:effectLst/>
          <a:sp3d contourW="25400">
            <a:contourClr>
              <a:schemeClr val="lt1"/>
            </a:contourClr>
          </a:sp3d>
        </c:spPr>
      </c:pivotFmt>
      <c:pivotFmt>
        <c:idx val="8"/>
        <c:spPr>
          <a:solidFill>
            <a:srgbClr val="92D050"/>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C000"/>
          </a:solidFill>
          <a:ln w="25400">
            <a:solidFill>
              <a:schemeClr val="lt1"/>
            </a:solidFill>
          </a:ln>
          <a:effectLst/>
          <a:sp3d contourW="25400">
            <a:contourClr>
              <a:schemeClr val="lt1"/>
            </a:contourClr>
          </a:sp3d>
        </c:spPr>
      </c:pivotFmt>
      <c:pivotFmt>
        <c:idx val="11"/>
        <c:spPr>
          <a:solidFill>
            <a:srgbClr val="FF0000"/>
          </a:solidFill>
          <a:ln w="25400">
            <a:solidFill>
              <a:schemeClr val="lt1"/>
            </a:solidFill>
          </a:ln>
          <a:effectLst/>
          <a:sp3d contourW="25400">
            <a:contourClr>
              <a:schemeClr val="lt1"/>
            </a:contourClr>
          </a:sp3d>
        </c:spPr>
      </c:pivotFmt>
      <c:pivotFmt>
        <c:idx val="12"/>
        <c:spPr>
          <a:solidFill>
            <a:srgbClr val="92D050"/>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'Opps By Level'!$C$6</c:f>
              <c:strCache>
                <c:ptCount val="1"/>
                <c:pt idx="0">
                  <c:v>Total</c:v>
                </c:pt>
              </c:strCache>
            </c:strRef>
          </c:tx>
          <c:dPt>
            <c:idx val="0"/>
            <c:bubble3D val="0"/>
            <c:spPr>
              <a:solidFill>
                <a:srgbClr val="FFC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1-9C5F-4693-8087-503A97ABBC98}"/>
              </c:ext>
            </c:extLst>
          </c:dPt>
          <c:dPt>
            <c:idx val="1"/>
            <c:bubble3D val="0"/>
            <c:spPr>
              <a:solidFill>
                <a:srgbClr val="FF0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3-9C5F-4693-8087-503A97ABBC98}"/>
              </c:ext>
            </c:extLst>
          </c:dPt>
          <c:dPt>
            <c:idx val="2"/>
            <c:bubble3D val="0"/>
            <c:spPr>
              <a:solidFill>
                <a:srgbClr val="92D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5-9C5F-4693-8087-503A97ABBC9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'Opps By Level'!$B$7:$B$9</c:f>
              <c:strCache>
                <c:ptCount val="3"/>
                <c:pt idx="0">
                  <c:v> MEDIUM</c:v>
                </c:pt>
                <c:pt idx="1">
                  <c:v> HIGH</c:v>
                </c:pt>
                <c:pt idx="2">
                  <c:v> LOW</c:v>
                </c:pt>
              </c:strCache>
            </c:strRef>
          </c:cat>
          <c:val>
            <c:numRef>
              <c:f>'Opps By Level'!$C$7:$C$9</c:f>
              <c:numCache>
                <c:formatCode>General</c:formatCode>
                <c:ptCount val="3"/>
                <c:pt idx="0">
                  <c:v>1</c:v>
                </c:pt>
                <c:pt idx="1">
                  <c:v>1</c:v>
                </c:pt>
                <c:pt idx="2">
                  <c:v>1</c:v>
                </c:pt>
              </c:numCache>
            </c:numRef>
          </c:val>
          <c:extLst>
            <c:ext xmlns:c16="http://schemas.microsoft.com/office/drawing/2014/chart" uri="{C3380CC4-5D6E-409C-BE32-E72D297353CC}">
              <c16:uniqueId val="{00000006-9C5F-4693-8087-503A97ABBC98}"/>
            </c:ext>
          </c:extLst>
        </c:ser>
        <c:dLbls>
          <c:showLegendKey val="0"/>
          <c:showVal val="0"/>
          <c:showCatName val="0"/>
          <c:showSerName val="0"/>
          <c:showPercent val="0"/>
          <c:showBubbleSize val="0"/>
          <c:showLeaderLines val="1"/>
        </c:dLbls>
      </c:pie3D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[EXAMPLE 1 ROAT Tool.xlsx]Opps By Level &amp; Type!PivotTable7</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r>
              <a:rPr lang="en-US" sz="1400" b="0" i="0" baseline="0">
                <a:solidFill>
                  <a:schemeClr val="tx1"/>
                </a:solidFill>
                <a:effectLst/>
              </a:rPr>
              <a:t>Opportunities by level and type</a:t>
            </a:r>
            <a:endParaRPr lang="en-GB" sz="1400">
              <a:solidFill>
                <a:schemeClr val="tx1"/>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endParaRPr lang="en-US"/>
        </a:p>
      </c:txPr>
    </c:title>
    <c:autoTitleDeleted val="0"/>
    <c:pivotFmts>
      <c:pivotFmt>
        <c:idx val="0"/>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a:sp3d/>
        </c:spPr>
      </c:pivotFmt>
      <c:pivotFmt>
        <c:idx val="2"/>
        <c:spPr>
          <a:solidFill>
            <a:srgbClr val="92D050"/>
          </a:solidFill>
          <a:ln>
            <a:noFill/>
          </a:ln>
          <a:effectLst/>
          <a:sp3d/>
        </c:spPr>
      </c:pivotFmt>
      <c:pivotFmt>
        <c:idx val="3"/>
        <c:spPr>
          <a:solidFill>
            <a:srgbClr val="92D050"/>
          </a:solidFill>
          <a:ln>
            <a:noFill/>
          </a:ln>
          <a:effectLst/>
          <a:sp3d/>
        </c:spPr>
      </c:pivotFmt>
      <c:pivotFmt>
        <c:idx val="4"/>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a:sp3d/>
        </c:spPr>
      </c:pivotFmt>
      <c:pivotFmt>
        <c:idx val="6"/>
        <c:spPr>
          <a:solidFill>
            <a:srgbClr val="92D050"/>
          </a:solidFill>
          <a:ln>
            <a:noFill/>
          </a:ln>
          <a:effectLst/>
          <a:sp3d/>
        </c:spPr>
      </c:pivotFmt>
      <c:pivotFmt>
        <c:idx val="7"/>
        <c:spPr>
          <a:solidFill>
            <a:srgbClr val="FF0000"/>
          </a:solidFill>
          <a:ln>
            <a:noFill/>
          </a:ln>
          <a:effectLst/>
          <a:sp3d/>
        </c:spPr>
      </c:pivotFmt>
      <c:pivotFmt>
        <c:idx val="8"/>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92D050"/>
          </a:solidFill>
          <a:ln>
            <a:noFill/>
          </a:ln>
          <a:effectLst/>
          <a:sp3d/>
        </c:spPr>
      </c:pivotFmt>
      <c:pivotFmt>
        <c:idx val="10"/>
        <c:spPr>
          <a:solidFill>
            <a:srgbClr val="92D050"/>
          </a:solidFill>
          <a:ln>
            <a:noFill/>
          </a:ln>
          <a:effectLst/>
          <a:sp3d/>
        </c:spPr>
      </c:pivotFmt>
      <c:pivotFmt>
        <c:idx val="11"/>
        <c:spPr>
          <a:solidFill>
            <a:srgbClr val="FF0000"/>
          </a:solidFill>
          <a:ln>
            <a:noFill/>
          </a:ln>
          <a:effectLst/>
          <a:sp3d/>
        </c:spPr>
      </c:pivotFmt>
      <c:pivotFmt>
        <c:idx val="12"/>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92D050"/>
          </a:solidFill>
          <a:ln>
            <a:noFill/>
          </a:ln>
          <a:effectLst/>
          <a:sp3d/>
        </c:spPr>
      </c:pivotFmt>
      <c:pivotFmt>
        <c:idx val="14"/>
        <c:spPr>
          <a:solidFill>
            <a:srgbClr val="92D050"/>
          </a:solidFill>
          <a:ln>
            <a:noFill/>
          </a:ln>
          <a:effectLst/>
          <a:sp3d/>
        </c:spPr>
      </c:pivotFmt>
      <c:pivotFmt>
        <c:idx val="15"/>
        <c:spPr>
          <a:solidFill>
            <a:srgbClr val="FF0000"/>
          </a:solidFill>
          <a:ln>
            <a:noFill/>
          </a:ln>
          <a:effectLst/>
          <a:sp3d/>
        </c:spPr>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92D050"/>
          </a:solidFill>
          <a:ln>
            <a:noFill/>
          </a:ln>
          <a:effectLst/>
          <a:sp3d/>
        </c:spPr>
      </c:pivotFmt>
      <c:pivotFmt>
        <c:idx val="18"/>
        <c:spPr>
          <a:solidFill>
            <a:srgbClr val="92D050"/>
          </a:solidFill>
          <a:ln>
            <a:noFill/>
          </a:ln>
          <a:effectLst/>
          <a:sp3d/>
        </c:spPr>
      </c:pivotFmt>
      <c:pivotFmt>
        <c:idx val="19"/>
        <c:spPr>
          <a:solidFill>
            <a:schemeClr val="accent3"/>
          </a:solidFill>
          <a:ln>
            <a:noFill/>
          </a:ln>
          <a:effectLst/>
          <a:sp3d/>
        </c:spPr>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pivotFmt>
      <c:pivotFmt>
        <c:idx val="22"/>
        <c:spPr>
          <a:solidFill>
            <a:schemeClr val="accent1"/>
          </a:solidFill>
          <a:ln>
            <a:noFill/>
          </a:ln>
          <a:effectLst/>
          <a:sp3d/>
        </c:spPr>
      </c:pivotFmt>
      <c:pivotFmt>
        <c:idx val="23"/>
        <c:spPr>
          <a:solidFill>
            <a:schemeClr val="accent1"/>
          </a:solidFill>
          <a:ln>
            <a:noFill/>
          </a:ln>
          <a:effectLst/>
          <a:sp3d/>
        </c:spPr>
      </c:pivotFmt>
      <c:pivotFmt>
        <c:idx val="2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pivotFmt>
      <c:pivotFmt>
        <c:idx val="26"/>
        <c:spPr>
          <a:solidFill>
            <a:schemeClr val="accent1"/>
          </a:solidFill>
          <a:ln>
            <a:noFill/>
          </a:ln>
          <a:effectLst/>
          <a:sp3d/>
        </c:spPr>
      </c:pivotFmt>
      <c:pivotFmt>
        <c:idx val="27"/>
        <c:spPr>
          <a:solidFill>
            <a:schemeClr val="accent1"/>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1"/>
        <c:ser>
          <c:idx val="0"/>
          <c:order val="0"/>
          <c:tx>
            <c:strRef>
              <c:f>'Opps By Level &amp; Type'!$D$6</c:f>
              <c:strCache>
                <c:ptCount val="1"/>
                <c:pt idx="0">
                  <c:v>Total</c:v>
                </c:pt>
              </c:strCache>
            </c:strRef>
          </c:tx>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1-4504-49EC-B8FC-12353ED22DB0}"/>
              </c:ext>
            </c:extLst>
          </c:dPt>
          <c:dPt>
            <c:idx val="1"/>
            <c:invertIfNegative val="0"/>
            <c:bubble3D val="0"/>
            <c:spPr>
              <a:solidFill>
                <a:schemeClr val="accent2"/>
              </a:solidFill>
              <a:ln>
                <a:noFill/>
              </a:ln>
              <a:effectLst/>
              <a:sp3d/>
            </c:spPr>
            <c:extLst>
              <c:ext xmlns:c16="http://schemas.microsoft.com/office/drawing/2014/chart" uri="{C3380CC4-5D6E-409C-BE32-E72D297353CC}">
                <c16:uniqueId val="{00000003-4504-49EC-B8FC-12353ED22DB0}"/>
              </c:ext>
            </c:extLst>
          </c:dPt>
          <c:dPt>
            <c:idx val="2"/>
            <c:invertIfNegative val="0"/>
            <c:bubble3D val="0"/>
            <c:spPr>
              <a:solidFill>
                <a:schemeClr val="accent3"/>
              </a:solidFill>
              <a:ln>
                <a:noFill/>
              </a:ln>
              <a:effectLst/>
              <a:sp3d/>
            </c:spPr>
            <c:extLst>
              <c:ext xmlns:c16="http://schemas.microsoft.com/office/drawing/2014/chart" uri="{C3380CC4-5D6E-409C-BE32-E72D297353CC}">
                <c16:uniqueId val="{00000005-4504-49EC-B8FC-12353ED22DB0}"/>
              </c:ext>
            </c:extLst>
          </c:dPt>
          <c:dPt>
            <c:idx val="3"/>
            <c:invertIfNegative val="0"/>
            <c:bubble3D val="0"/>
            <c:spPr>
              <a:solidFill>
                <a:schemeClr val="accent4"/>
              </a:solidFill>
              <a:ln>
                <a:noFill/>
              </a:ln>
              <a:effectLst/>
              <a:sp3d/>
            </c:spPr>
            <c:extLst>
              <c:ext xmlns:c16="http://schemas.microsoft.com/office/drawing/2014/chart" uri="{C3380CC4-5D6E-409C-BE32-E72D297353CC}">
                <c16:uniqueId val="{00000007-4504-49EC-B8FC-12353ED22DB0}"/>
              </c:ext>
            </c:extLst>
          </c:dPt>
          <c:dPt>
            <c:idx val="4"/>
            <c:invertIfNegative val="0"/>
            <c:bubble3D val="0"/>
            <c:spPr>
              <a:solidFill>
                <a:schemeClr val="accent5"/>
              </a:solidFill>
              <a:ln>
                <a:noFill/>
              </a:ln>
              <a:effectLst/>
              <a:sp3d/>
            </c:spPr>
            <c:extLst>
              <c:ext xmlns:c16="http://schemas.microsoft.com/office/drawing/2014/chart" uri="{C3380CC4-5D6E-409C-BE32-E72D297353CC}">
                <c16:uniqueId val="{00000009-4504-49EC-B8FC-12353ED22DB0}"/>
              </c:ext>
            </c:extLst>
          </c:dPt>
          <c:cat>
            <c:multiLvlStrRef>
              <c:f>'Opps By Level &amp; Type'!$B$7:$C$9</c:f>
              <c:multiLvlStrCache>
                <c:ptCount val="3"/>
                <c:lvl>
                  <c:pt idx="0">
                    <c:v> LOW</c:v>
                  </c:pt>
                  <c:pt idx="1">
                    <c:v> MEDIUM</c:v>
                  </c:pt>
                  <c:pt idx="2">
                    <c:v> HIGH</c:v>
                  </c:pt>
                </c:lvl>
                <c:lvl>
                  <c:pt idx="0">
                    <c:v>Financial</c:v>
                  </c:pt>
                  <c:pt idx="1">
                    <c:v>Organizational</c:v>
                  </c:pt>
                  <c:pt idx="2">
                    <c:v>Technical</c:v>
                  </c:pt>
                </c:lvl>
              </c:multiLvlStrCache>
            </c:multiLvlStrRef>
          </c:cat>
          <c:val>
            <c:numRef>
              <c:f>'Opps By Level &amp; Type'!$D$7:$D$9</c:f>
              <c:numCache>
                <c:formatCode>General</c:formatCode>
                <c:ptCount val="3"/>
                <c:pt idx="0">
                  <c:v>1</c:v>
                </c:pt>
                <c:pt idx="1">
                  <c:v>1</c:v>
                </c:pt>
                <c:pt idx="2">
                  <c:v>1</c:v>
                </c:pt>
              </c:numCache>
            </c:numRef>
          </c:val>
          <c:extLst>
            <c:ext xmlns:c16="http://schemas.microsoft.com/office/drawing/2014/chart" uri="{C3380CC4-5D6E-409C-BE32-E72D297353CC}">
              <c16:uniqueId val="{0000000A-4504-49EC-B8FC-12353ED22DB0}"/>
            </c:ext>
          </c:extLst>
        </c:ser>
        <c:dLbls>
          <c:showLegendKey val="0"/>
          <c:showVal val="0"/>
          <c:showCatName val="0"/>
          <c:showSerName val="0"/>
          <c:showPercent val="0"/>
          <c:showBubbleSize val="0"/>
        </c:dLbls>
        <c:gapWidth val="150"/>
        <c:shape val="box"/>
        <c:axId val="1164330144"/>
        <c:axId val="1164342280"/>
        <c:axId val="0"/>
      </c:bar3DChart>
      <c:catAx>
        <c:axId val="11643301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342280"/>
        <c:crosses val="autoZero"/>
        <c:auto val="1"/>
        <c:lblAlgn val="ctr"/>
        <c:lblOffset val="100"/>
        <c:noMultiLvlLbl val="0"/>
      </c:catAx>
      <c:valAx>
        <c:axId val="1164342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330144"/>
        <c:crosses val="autoZero"/>
        <c:crossBetween val="between"/>
        <c:majorUnit val="2"/>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[EXAMPLE 1 ROAT Tool.xlsx]Opp Levels By Opp Owner!OppLevelsbyOppOwner</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baseline="0">
                <a:solidFill>
                  <a:schemeClr val="tx1"/>
                </a:solidFill>
                <a:effectLst/>
              </a:rPr>
              <a:t>Opportunity levels by opportunity owner</a:t>
            </a:r>
            <a:endParaRPr lang="en-GB" sz="1400">
              <a:solidFill>
                <a:schemeClr val="tx1"/>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pivotFmt>
      <c:pivotFmt>
        <c:idx val="20"/>
        <c:spPr>
          <a:solidFill>
            <a:schemeClr val="accent1"/>
          </a:solidFill>
          <a:ln>
            <a:noFill/>
          </a:ln>
          <a:effectLst/>
          <a:sp3d/>
        </c:spPr>
      </c:pivotFmt>
      <c:pivotFmt>
        <c:idx val="21"/>
        <c:spPr>
          <a:solidFill>
            <a:schemeClr val="accent1"/>
          </a:solidFill>
          <a:ln>
            <a:noFill/>
          </a:ln>
          <a:effectLst/>
          <a:sp3d/>
        </c:spPr>
      </c:pivotFmt>
      <c:pivotFmt>
        <c:idx val="2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pivotFmt>
      <c:pivotFmt>
        <c:idx val="24"/>
        <c:spPr>
          <a:solidFill>
            <a:schemeClr val="accent1"/>
          </a:solidFill>
          <a:ln>
            <a:noFill/>
          </a:ln>
          <a:effectLst/>
          <a:sp3d/>
        </c:spPr>
      </c:pivotFmt>
      <c:pivotFmt>
        <c:idx val="25"/>
        <c:spPr>
          <a:solidFill>
            <a:schemeClr val="accent1"/>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1"/>
        <c:ser>
          <c:idx val="0"/>
          <c:order val="0"/>
          <c:tx>
            <c:strRef>
              <c:f>'Opp Levels By Opp Owner'!$D$6</c:f>
              <c:strCache>
                <c:ptCount val="1"/>
                <c:pt idx="0">
                  <c:v>Total</c:v>
                </c:pt>
              </c:strCache>
            </c:strRef>
          </c:tx>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1-F8E8-4D7C-B175-0D41F34B2FA0}"/>
              </c:ext>
            </c:extLst>
          </c:dPt>
          <c:dPt>
            <c:idx val="1"/>
            <c:invertIfNegative val="0"/>
            <c:bubble3D val="0"/>
            <c:spPr>
              <a:solidFill>
                <a:schemeClr val="accent2"/>
              </a:solidFill>
              <a:ln>
                <a:noFill/>
              </a:ln>
              <a:effectLst/>
              <a:sp3d/>
            </c:spPr>
            <c:extLst>
              <c:ext xmlns:c16="http://schemas.microsoft.com/office/drawing/2014/chart" uri="{C3380CC4-5D6E-409C-BE32-E72D297353CC}">
                <c16:uniqueId val="{00000003-F8E8-4D7C-B175-0D41F34B2FA0}"/>
              </c:ext>
            </c:extLst>
          </c:dPt>
          <c:dPt>
            <c:idx val="2"/>
            <c:invertIfNegative val="0"/>
            <c:bubble3D val="0"/>
            <c:spPr>
              <a:solidFill>
                <a:schemeClr val="accent3"/>
              </a:solidFill>
              <a:ln>
                <a:noFill/>
              </a:ln>
              <a:effectLst/>
              <a:sp3d/>
            </c:spPr>
            <c:extLst>
              <c:ext xmlns:c16="http://schemas.microsoft.com/office/drawing/2014/chart" uri="{C3380CC4-5D6E-409C-BE32-E72D297353CC}">
                <c16:uniqueId val="{00000005-F8E8-4D7C-B175-0D41F34B2FA0}"/>
              </c:ext>
            </c:extLst>
          </c:dPt>
          <c:cat>
            <c:multiLvlStrRef>
              <c:f>'Opp Levels By Opp Owner'!$B$7:$C$9</c:f>
              <c:multiLvlStrCache>
                <c:ptCount val="3"/>
                <c:lvl>
                  <c:pt idx="0">
                    <c:v> LOW</c:v>
                  </c:pt>
                  <c:pt idx="1">
                    <c:v> MEDIUM</c:v>
                  </c:pt>
                  <c:pt idx="2">
                    <c:v> HIGH</c:v>
                  </c:pt>
                </c:lvl>
                <c:lvl>
                  <c:pt idx="0">
                    <c:v>BC Manager</c:v>
                  </c:pt>
                  <c:pt idx="1">
                    <c:v>COO</c:v>
                  </c:pt>
                  <c:pt idx="2">
                    <c:v>Operations Manager</c:v>
                  </c:pt>
                </c:lvl>
              </c:multiLvlStrCache>
            </c:multiLvlStrRef>
          </c:cat>
          <c:val>
            <c:numRef>
              <c:f>'Opp Levels By Opp Owner'!$D$7:$D$9</c:f>
              <c:numCache>
                <c:formatCode>General</c:formatCode>
                <c:ptCount val="3"/>
                <c:pt idx="0">
                  <c:v>1</c:v>
                </c:pt>
                <c:pt idx="1">
                  <c:v>1</c:v>
                </c:pt>
                <c:pt idx="2">
                  <c:v>1</c:v>
                </c:pt>
              </c:numCache>
            </c:numRef>
          </c:val>
          <c:extLst>
            <c:ext xmlns:c16="http://schemas.microsoft.com/office/drawing/2014/chart" uri="{C3380CC4-5D6E-409C-BE32-E72D297353CC}">
              <c16:uniqueId val="{00000006-F8E8-4D7C-B175-0D41F34B2FA0}"/>
            </c:ext>
          </c:extLst>
        </c:ser>
        <c:dLbls>
          <c:showLegendKey val="0"/>
          <c:showVal val="0"/>
          <c:showCatName val="0"/>
          <c:showSerName val="0"/>
          <c:showPercent val="0"/>
          <c:showBubbleSize val="0"/>
        </c:dLbls>
        <c:gapWidth val="150"/>
        <c:shape val="box"/>
        <c:axId val="951352552"/>
        <c:axId val="951351568"/>
        <c:axId val="0"/>
      </c:bar3DChart>
      <c:catAx>
        <c:axId val="9513525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1351568"/>
        <c:crosses val="autoZero"/>
        <c:auto val="1"/>
        <c:lblAlgn val="ctr"/>
        <c:lblOffset val="100"/>
        <c:noMultiLvlLbl val="0"/>
      </c:catAx>
      <c:valAx>
        <c:axId val="9513515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51352552"/>
        <c:crosses val="autoZero"/>
        <c:crossBetween val="between"/>
        <c:majorUnit val="2"/>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[EXAMPLE 1 ROAT Tool.xlsx]Opp Action Owner!PivotTable8</c:name>
    <c:fmtId val="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r>
              <a:rPr lang="en-US" sz="1400" b="0" i="0" baseline="0">
                <a:solidFill>
                  <a:schemeClr val="tx1"/>
                </a:solidFill>
                <a:effectLst/>
              </a:rPr>
              <a:t>Opportunity action owner</a:t>
            </a:r>
            <a:endParaRPr lang="en-GB" sz="1400">
              <a:solidFill>
                <a:schemeClr val="tx1"/>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pivotFmt>
      <c:pivotFmt>
        <c:idx val="6"/>
        <c:spPr>
          <a:solidFill>
            <a:schemeClr val="accent1"/>
          </a:solidFill>
          <a:ln>
            <a:noFill/>
          </a:ln>
          <a:effectLst/>
          <a:sp3d/>
        </c:spPr>
      </c:pivotFmt>
      <c:pivotFmt>
        <c:idx val="7"/>
        <c:spPr>
          <a:solidFill>
            <a:schemeClr val="accent1"/>
          </a:solidFill>
          <a:ln>
            <a:noFill/>
          </a:ln>
          <a:effectLst/>
          <a:sp3d/>
        </c:spPr>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pivotFmt>
      <c:pivotFmt>
        <c:idx val="10"/>
        <c:spPr>
          <a:solidFill>
            <a:schemeClr val="accent1"/>
          </a:solidFill>
          <a:ln>
            <a:noFill/>
          </a:ln>
          <a:effectLst/>
          <a:sp3d/>
        </c:spPr>
      </c:pivotFmt>
      <c:pivotFmt>
        <c:idx val="11"/>
        <c:spPr>
          <a:solidFill>
            <a:schemeClr val="accent1"/>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1"/>
        <c:ser>
          <c:idx val="0"/>
          <c:order val="0"/>
          <c:tx>
            <c:strRef>
              <c:f>'Opp Action Owner'!$D$6</c:f>
              <c:strCache>
                <c:ptCount val="1"/>
                <c:pt idx="0">
                  <c:v>Total</c:v>
                </c:pt>
              </c:strCache>
            </c:strRef>
          </c:tx>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1-38FE-4295-A340-89B487C88EC0}"/>
              </c:ext>
            </c:extLst>
          </c:dPt>
          <c:dPt>
            <c:idx val="1"/>
            <c:invertIfNegative val="0"/>
            <c:bubble3D val="0"/>
            <c:spPr>
              <a:solidFill>
                <a:schemeClr val="accent2"/>
              </a:solidFill>
              <a:ln>
                <a:noFill/>
              </a:ln>
              <a:effectLst/>
              <a:sp3d/>
            </c:spPr>
            <c:extLst>
              <c:ext xmlns:c16="http://schemas.microsoft.com/office/drawing/2014/chart" uri="{C3380CC4-5D6E-409C-BE32-E72D297353CC}">
                <c16:uniqueId val="{00000003-38FE-4295-A340-89B487C88EC0}"/>
              </c:ext>
            </c:extLst>
          </c:dPt>
          <c:dPt>
            <c:idx val="2"/>
            <c:invertIfNegative val="0"/>
            <c:bubble3D val="0"/>
            <c:spPr>
              <a:solidFill>
                <a:schemeClr val="accent3"/>
              </a:solidFill>
              <a:ln>
                <a:noFill/>
              </a:ln>
              <a:effectLst/>
              <a:sp3d/>
            </c:spPr>
            <c:extLst>
              <c:ext xmlns:c16="http://schemas.microsoft.com/office/drawing/2014/chart" uri="{C3380CC4-5D6E-409C-BE32-E72D297353CC}">
                <c16:uniqueId val="{00000005-38FE-4295-A340-89B487C88EC0}"/>
              </c:ext>
            </c:extLst>
          </c:dPt>
          <c:cat>
            <c:multiLvlStrRef>
              <c:f>'Opp Action Owner'!$B$7:$C$9</c:f>
              <c:multiLvlStrCache>
                <c:ptCount val="3"/>
                <c:lvl>
                  <c:pt idx="0">
                    <c:v> LOW</c:v>
                  </c:pt>
                  <c:pt idx="1">
                    <c:v> MEDIUM</c:v>
                  </c:pt>
                  <c:pt idx="2">
                    <c:v> HIGH</c:v>
                  </c:pt>
                </c:lvl>
                <c:lvl>
                  <c:pt idx="0">
                    <c:v>BC Manager</c:v>
                  </c:pt>
                  <c:pt idx="1">
                    <c:v>COO</c:v>
                  </c:pt>
                  <c:pt idx="2">
                    <c:v>Operations Manager</c:v>
                  </c:pt>
                </c:lvl>
              </c:multiLvlStrCache>
            </c:multiLvlStrRef>
          </c:cat>
          <c:val>
            <c:numRef>
              <c:f>'Opp Action Owner'!$D$7:$D$9</c:f>
              <c:numCache>
                <c:formatCode>General</c:formatCode>
                <c:ptCount val="3"/>
                <c:pt idx="0">
                  <c:v>1</c:v>
                </c:pt>
                <c:pt idx="1">
                  <c:v>1</c:v>
                </c:pt>
                <c:pt idx="2">
                  <c:v>1</c:v>
                </c:pt>
              </c:numCache>
            </c:numRef>
          </c:val>
          <c:extLst>
            <c:ext xmlns:c16="http://schemas.microsoft.com/office/drawing/2014/chart" uri="{C3380CC4-5D6E-409C-BE32-E72D297353CC}">
              <c16:uniqueId val="{00000006-38FE-4295-A340-89B487C88EC0}"/>
            </c:ext>
          </c:extLst>
        </c:ser>
        <c:dLbls>
          <c:showLegendKey val="0"/>
          <c:showVal val="0"/>
          <c:showCatName val="0"/>
          <c:showSerName val="0"/>
          <c:showPercent val="0"/>
          <c:showBubbleSize val="0"/>
        </c:dLbls>
        <c:gapWidth val="150"/>
        <c:shape val="box"/>
        <c:axId val="808306232"/>
        <c:axId val="808310824"/>
        <c:axId val="0"/>
      </c:bar3DChart>
      <c:catAx>
        <c:axId val="8083062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310824"/>
        <c:crosses val="autoZero"/>
        <c:auto val="1"/>
        <c:lblAlgn val="ctr"/>
        <c:lblOffset val="100"/>
        <c:noMultiLvlLbl val="0"/>
      </c:catAx>
      <c:valAx>
        <c:axId val="8083108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08306232"/>
        <c:crosses val="autoZero"/>
        <c:crossBetween val="between"/>
        <c:majorUnit val="2"/>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11.xml"/><Relationship Id="rId2" Type="http://schemas.openxmlformats.org/officeDocument/2006/relationships/chart" Target="../charts/chart1.xml"/><Relationship Id="rId1" Type="http://schemas.openxmlformats.org/officeDocument/2006/relationships/image" Target="../media/image2.jpeg"/><Relationship Id="rId6" Type="http://schemas.openxmlformats.org/officeDocument/2006/relationships/chart" Target="../charts/chart5.xml"/><Relationship Id="rId11" Type="http://schemas.openxmlformats.org/officeDocument/2006/relationships/chart" Target="../charts/chart10.xml"/><Relationship Id="rId5" Type="http://schemas.openxmlformats.org/officeDocument/2006/relationships/chart" Target="../charts/chart4.xml"/><Relationship Id="rId10" Type="http://schemas.openxmlformats.org/officeDocument/2006/relationships/chart" Target="../charts/chart9.xml"/><Relationship Id="rId4" Type="http://schemas.openxmlformats.org/officeDocument/2006/relationships/chart" Target="../charts/chart3.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absolute">
    <xdr:from>
      <xdr:col>2</xdr:col>
      <xdr:colOff>971550</xdr:colOff>
      <xdr:row>0</xdr:row>
      <xdr:rowOff>152399</xdr:rowOff>
    </xdr:from>
    <xdr:to>
      <xdr:col>3</xdr:col>
      <xdr:colOff>76200</xdr:colOff>
      <xdr:row>7</xdr:row>
      <xdr:rowOff>28574</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2828925" y="152399"/>
          <a:ext cx="3381375" cy="1209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r" defTabSz="914400" eaLnBrk="1" fontAlgn="auto" latinLnBrk="0" hangingPunct="1">
            <a:lnSpc>
              <a:spcPct val="100000"/>
            </a:lnSpc>
            <a:spcBef>
              <a:spcPts val="0"/>
            </a:spcBef>
            <a:spcAft>
              <a:spcPts val="0"/>
            </a:spcAft>
            <a:buClrTx/>
            <a:buSzTx/>
            <a:buFontTx/>
            <a:buNone/>
            <a:tabLst/>
            <a:defRPr/>
          </a:pPr>
          <a:r>
            <a:rPr kumimoji="0" lang="en-GB" sz="1800" b="1" i="0" u="none" strike="noStrike" kern="0" cap="none" spc="0" normalizeH="0" baseline="0" noProof="0">
              <a:ln>
                <a:noFill/>
              </a:ln>
              <a:solidFill>
                <a:srgbClr val="444444"/>
              </a:solidFill>
              <a:effectLst/>
              <a:uLnTx/>
              <a:uFillTx/>
              <a:latin typeface="+mn-lt"/>
              <a:ea typeface="+mn-ea"/>
              <a:cs typeface="+mn-cs"/>
            </a:rPr>
            <a:t>Risk and Opportunity Assessment and Treatment Tool</a:t>
          </a:r>
        </a:p>
        <a:p>
          <a:pPr marL="0" marR="0" lvl="0" indent="0" algn="r" defTabSz="914400" eaLnBrk="1" fontAlgn="auto" latinLnBrk="0" hangingPunct="1">
            <a:lnSpc>
              <a:spcPct val="100000"/>
            </a:lnSpc>
            <a:spcBef>
              <a:spcPts val="0"/>
            </a:spcBef>
            <a:spcAft>
              <a:spcPts val="0"/>
            </a:spcAft>
            <a:buClrTx/>
            <a:buSzTx/>
            <a:buFontTx/>
            <a:buNone/>
            <a:tabLst/>
            <a:defRPr/>
          </a:pPr>
          <a:r>
            <a:rPr kumimoji="0" lang="en-GB" sz="1200" b="0" i="0" u="none" strike="noStrike" kern="0" cap="none" spc="0" normalizeH="0" baseline="0" noProof="0">
              <a:ln>
                <a:noFill/>
              </a:ln>
              <a:solidFill>
                <a:srgbClr val="444444"/>
              </a:solidFill>
              <a:effectLst/>
              <a:uLnTx/>
              <a:uFillTx/>
              <a:latin typeface="+mn-lt"/>
              <a:ea typeface="+mn-ea"/>
              <a:cs typeface="+mn-cs"/>
            </a:rPr>
            <a:t>BCMS-FORM-08-2</a:t>
          </a:r>
        </a:p>
      </xdr:txBody>
    </xdr:sp>
    <xdr:clientData/>
  </xdr:twoCellAnchor>
  <xdr:twoCellAnchor editAs="oneCell">
    <xdr:from>
      <xdr:col>1</xdr:col>
      <xdr:colOff>0</xdr:colOff>
      <xdr:row>1</xdr:row>
      <xdr:rowOff>0</xdr:rowOff>
    </xdr:from>
    <xdr:to>
      <xdr:col>2</xdr:col>
      <xdr:colOff>860900</xdr:colOff>
      <xdr:row>6</xdr:row>
      <xdr:rowOff>5490</xdr:rowOff>
    </xdr:to>
    <xdr:pic>
      <xdr:nvPicPr>
        <xdr:cNvPr id="5" name="Picture 4" descr="Auto Replace">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527775" cy="9579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1280000</xdr:colOff>
      <xdr:row>6</xdr:row>
      <xdr:rowOff>5490</xdr:rowOff>
    </xdr:to>
    <xdr:pic>
      <xdr:nvPicPr>
        <xdr:cNvPr id="12" name="Picture 11" descr="Auto Replace">
          <a:extLst>
            <a:ext uri="{FF2B5EF4-FFF2-40B4-BE49-F238E27FC236}">
              <a16:creationId xmlns:a16="http://schemas.microsoft.com/office/drawing/2014/main" id="{00000000-0008-0000-0200-00000C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527775" cy="957990"/>
        </a:xfrm>
        <a:prstGeom prst="rect">
          <a:avLst/>
        </a:prstGeom>
      </xdr:spPr>
    </xdr:pic>
    <xdr:clientData/>
  </xdr:twoCellAnchor>
  <xdr:twoCellAnchor editAs="absolute">
    <xdr:from>
      <xdr:col>9</xdr:col>
      <xdr:colOff>723900</xdr:colOff>
      <xdr:row>1</xdr:row>
      <xdr:rowOff>0</xdr:rowOff>
    </xdr:from>
    <xdr:to>
      <xdr:col>11</xdr:col>
      <xdr:colOff>352425</xdr:colOff>
      <xdr:row>10</xdr:row>
      <xdr:rowOff>0</xdr:rowOff>
    </xdr:to>
    <mc:AlternateContent xmlns:mc="http://schemas.openxmlformats.org/markup-compatibility/2006" xmlns:sle15="http://schemas.microsoft.com/office/drawing/2012/slicer">
      <mc:Choice Requires="sle15">
        <xdr:graphicFrame macro="">
          <xdr:nvGraphicFramePr>
            <xdr:cNvPr id="8" name="Risk owner 1">
              <a:extLst>
                <a:ext uri="{FF2B5EF4-FFF2-40B4-BE49-F238E27FC236}">
                  <a16:creationId xmlns:a16="http://schemas.microsoft.com/office/drawing/2014/main" id="{6FA07D93-0C16-40E8-B53F-BA1FDF48E624}"/>
                </a:ext>
              </a:extLst>
            </xdr:cNvPr>
            <xdr:cNvGraphicFramePr/>
          </xdr:nvGraphicFramePr>
          <xdr:xfrm>
            <a:off x="0" y="0"/>
            <a:ext cx="0" cy="0"/>
          </xdr:xfrm>
          <a:graphic>
            <a:graphicData uri="http://schemas.microsoft.com/office/drawing/2010/slicer">
              <sle:slicer xmlns:sle="http://schemas.microsoft.com/office/drawing/2010/slicer" name="Risk owner 1"/>
            </a:graphicData>
          </a:graphic>
        </xdr:graphicFrame>
      </mc:Choice>
      <mc:Fallback xmlns="">
        <xdr:sp macro="" textlink="">
          <xdr:nvSpPr>
            <xdr:cNvPr id="0" name=""/>
            <xdr:cNvSpPr>
              <a:spLocks noTextEdit="1"/>
            </xdr:cNvSpPr>
          </xdr:nvSpPr>
          <xdr:spPr>
            <a:xfrm>
              <a:off x="8610600" y="190500"/>
              <a:ext cx="1828800" cy="17907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352425</xdr:colOff>
      <xdr:row>1</xdr:row>
      <xdr:rowOff>0</xdr:rowOff>
    </xdr:from>
    <xdr:to>
      <xdr:col>13</xdr:col>
      <xdr:colOff>485775</xdr:colOff>
      <xdr:row>10</xdr:row>
      <xdr:rowOff>0</xdr:rowOff>
    </xdr:to>
    <mc:AlternateContent xmlns:mc="http://schemas.openxmlformats.org/markup-compatibility/2006" xmlns:sle15="http://schemas.microsoft.com/office/drawing/2012/slicer">
      <mc:Choice Requires="sle15">
        <xdr:graphicFrame macro="">
          <xdr:nvGraphicFramePr>
            <xdr:cNvPr id="9" name="Risk level 1">
              <a:extLst>
                <a:ext uri="{FF2B5EF4-FFF2-40B4-BE49-F238E27FC236}">
                  <a16:creationId xmlns:a16="http://schemas.microsoft.com/office/drawing/2014/main" id="{FE458DBA-046F-44F7-AF3F-1E4C1FB3E37F}"/>
                </a:ext>
              </a:extLst>
            </xdr:cNvPr>
            <xdr:cNvGraphicFramePr/>
          </xdr:nvGraphicFramePr>
          <xdr:xfrm>
            <a:off x="0" y="0"/>
            <a:ext cx="0" cy="0"/>
          </xdr:xfrm>
          <a:graphic>
            <a:graphicData uri="http://schemas.microsoft.com/office/drawing/2010/slicer">
              <sle:slicer xmlns:sle="http://schemas.microsoft.com/office/drawing/2010/slicer" name="Risk level 1"/>
            </a:graphicData>
          </a:graphic>
        </xdr:graphicFrame>
      </mc:Choice>
      <mc:Fallback xmlns="">
        <xdr:sp macro="" textlink="">
          <xdr:nvSpPr>
            <xdr:cNvPr id="0" name=""/>
            <xdr:cNvSpPr>
              <a:spLocks noTextEdit="1"/>
            </xdr:cNvSpPr>
          </xdr:nvSpPr>
          <xdr:spPr>
            <a:xfrm>
              <a:off x="10439400" y="190500"/>
              <a:ext cx="1828800" cy="17907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13</xdr:col>
      <xdr:colOff>485775</xdr:colOff>
      <xdr:row>1</xdr:row>
      <xdr:rowOff>0</xdr:rowOff>
    </xdr:from>
    <xdr:to>
      <xdr:col>15</xdr:col>
      <xdr:colOff>123825</xdr:colOff>
      <xdr:row>10</xdr:row>
      <xdr:rowOff>0</xdr:rowOff>
    </xdr:to>
    <mc:AlternateContent xmlns:mc="http://schemas.openxmlformats.org/markup-compatibility/2006" xmlns:sle15="http://schemas.microsoft.com/office/drawing/2012/slicer">
      <mc:Choice Requires="sle15">
        <xdr:graphicFrame macro="">
          <xdr:nvGraphicFramePr>
            <xdr:cNvPr id="10" name="Treatment option chosen 1">
              <a:extLst>
                <a:ext uri="{FF2B5EF4-FFF2-40B4-BE49-F238E27FC236}">
                  <a16:creationId xmlns:a16="http://schemas.microsoft.com/office/drawing/2014/main" id="{1383B778-820B-4965-8C46-E987DDD4D1D1}"/>
                </a:ext>
              </a:extLst>
            </xdr:cNvPr>
            <xdr:cNvGraphicFramePr/>
          </xdr:nvGraphicFramePr>
          <xdr:xfrm>
            <a:off x="0" y="0"/>
            <a:ext cx="0" cy="0"/>
          </xdr:xfrm>
          <a:graphic>
            <a:graphicData uri="http://schemas.microsoft.com/office/drawing/2010/slicer">
              <sle:slicer xmlns:sle="http://schemas.microsoft.com/office/drawing/2010/slicer" name="Treatment option chosen 1"/>
            </a:graphicData>
          </a:graphic>
        </xdr:graphicFrame>
      </mc:Choice>
      <mc:Fallback xmlns="">
        <xdr:sp macro="" textlink="">
          <xdr:nvSpPr>
            <xdr:cNvPr id="0" name=""/>
            <xdr:cNvSpPr>
              <a:spLocks noTextEdit="1"/>
            </xdr:cNvSpPr>
          </xdr:nvSpPr>
          <xdr:spPr>
            <a:xfrm>
              <a:off x="12268200" y="190500"/>
              <a:ext cx="1828800" cy="17907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15</xdr:col>
      <xdr:colOff>123825</xdr:colOff>
      <xdr:row>1</xdr:row>
      <xdr:rowOff>0</xdr:rowOff>
    </xdr:from>
    <xdr:to>
      <xdr:col>17</xdr:col>
      <xdr:colOff>295275</xdr:colOff>
      <xdr:row>9</xdr:row>
      <xdr:rowOff>190499</xdr:rowOff>
    </xdr:to>
    <mc:AlternateContent xmlns:mc="http://schemas.openxmlformats.org/markup-compatibility/2006" xmlns:sle15="http://schemas.microsoft.com/office/drawing/2012/slicer">
      <mc:Choice Requires="sle15">
        <xdr:graphicFrame macro="">
          <xdr:nvGraphicFramePr>
            <xdr:cNvPr id="3" name="Treatment Action Owner">
              <a:extLst>
                <a:ext uri="{FF2B5EF4-FFF2-40B4-BE49-F238E27FC236}">
                  <a16:creationId xmlns:a16="http://schemas.microsoft.com/office/drawing/2014/main" id="{5B02905C-7265-4205-B699-63892D3C7BCB}"/>
                </a:ext>
              </a:extLst>
            </xdr:cNvPr>
            <xdr:cNvGraphicFramePr/>
          </xdr:nvGraphicFramePr>
          <xdr:xfrm>
            <a:off x="0" y="0"/>
            <a:ext cx="0" cy="0"/>
          </xdr:xfrm>
          <a:graphic>
            <a:graphicData uri="http://schemas.microsoft.com/office/drawing/2010/slicer">
              <sle:slicer xmlns:sle="http://schemas.microsoft.com/office/drawing/2010/slicer" name="Treatment Action Owner"/>
            </a:graphicData>
          </a:graphic>
        </xdr:graphicFrame>
      </mc:Choice>
      <mc:Fallback xmlns="">
        <xdr:sp macro="" textlink="">
          <xdr:nvSpPr>
            <xdr:cNvPr id="0" name=""/>
            <xdr:cNvSpPr>
              <a:spLocks noTextEdit="1"/>
            </xdr:cNvSpPr>
          </xdr:nvSpPr>
          <xdr:spPr>
            <a:xfrm>
              <a:off x="14097000" y="190500"/>
              <a:ext cx="1828800" cy="1790699"/>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17</xdr:col>
      <xdr:colOff>295275</xdr:colOff>
      <xdr:row>1</xdr:row>
      <xdr:rowOff>0</xdr:rowOff>
    </xdr:from>
    <xdr:to>
      <xdr:col>19</xdr:col>
      <xdr:colOff>104775</xdr:colOff>
      <xdr:row>10</xdr:row>
      <xdr:rowOff>0</xdr:rowOff>
    </xdr:to>
    <mc:AlternateContent xmlns:mc="http://schemas.openxmlformats.org/markup-compatibility/2006" xmlns:sle15="http://schemas.microsoft.com/office/drawing/2012/slicer">
      <mc:Choice Requires="sle15">
        <xdr:graphicFrame macro="">
          <xdr:nvGraphicFramePr>
            <xdr:cNvPr id="4" name="Post-Treatment Risk Level">
              <a:extLst>
                <a:ext uri="{FF2B5EF4-FFF2-40B4-BE49-F238E27FC236}">
                  <a16:creationId xmlns:a16="http://schemas.microsoft.com/office/drawing/2014/main" id="{1BB23C05-3DE3-4A95-8F03-56ED01973B03}"/>
                </a:ext>
              </a:extLst>
            </xdr:cNvPr>
            <xdr:cNvGraphicFramePr/>
          </xdr:nvGraphicFramePr>
          <xdr:xfrm>
            <a:off x="0" y="0"/>
            <a:ext cx="0" cy="0"/>
          </xdr:xfrm>
          <a:graphic>
            <a:graphicData uri="http://schemas.microsoft.com/office/drawing/2010/slicer">
              <sle:slicer xmlns:sle="http://schemas.microsoft.com/office/drawing/2010/slicer" name="Post-Treatment Risk Level"/>
            </a:graphicData>
          </a:graphic>
        </xdr:graphicFrame>
      </mc:Choice>
      <mc:Fallback xmlns="">
        <xdr:sp macro="" textlink="">
          <xdr:nvSpPr>
            <xdr:cNvPr id="0" name=""/>
            <xdr:cNvSpPr>
              <a:spLocks noTextEdit="1"/>
            </xdr:cNvSpPr>
          </xdr:nvSpPr>
          <xdr:spPr>
            <a:xfrm>
              <a:off x="15925800" y="190500"/>
              <a:ext cx="1828800" cy="17907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851375</xdr:colOff>
      <xdr:row>5</xdr:row>
      <xdr:rowOff>91215</xdr:rowOff>
    </xdr:to>
    <xdr:pic>
      <xdr:nvPicPr>
        <xdr:cNvPr id="4" name="Picture 3" descr="Auto Replac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527775" cy="957990"/>
        </a:xfrm>
        <a:prstGeom prst="rect">
          <a:avLst/>
        </a:prstGeom>
      </xdr:spPr>
    </xdr:pic>
    <xdr:clientData/>
  </xdr:twoCellAnchor>
  <xdr:twoCellAnchor editAs="absolute">
    <xdr:from>
      <xdr:col>10</xdr:col>
      <xdr:colOff>219075</xdr:colOff>
      <xdr:row>1</xdr:row>
      <xdr:rowOff>0</xdr:rowOff>
    </xdr:from>
    <xdr:to>
      <xdr:col>12</xdr:col>
      <xdr:colOff>180975</xdr:colOff>
      <xdr:row>9</xdr:row>
      <xdr:rowOff>0</xdr:rowOff>
    </xdr:to>
    <mc:AlternateContent xmlns:mc="http://schemas.openxmlformats.org/markup-compatibility/2006" xmlns:sle15="http://schemas.microsoft.com/office/drawing/2012/slicer">
      <mc:Choice Requires="sle15">
        <xdr:graphicFrame macro="">
          <xdr:nvGraphicFramePr>
            <xdr:cNvPr id="7" name="OPPORTUNITY TYPE">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microsoft.com/office/drawing/2010/slicer">
              <sle:slicer xmlns:sle="http://schemas.microsoft.com/office/drawing/2010/slicer" name="OPPORTUNITY TYPE"/>
            </a:graphicData>
          </a:graphic>
        </xdr:graphicFrame>
      </mc:Choice>
      <mc:Fallback xmlns="">
        <xdr:sp macro="" textlink="">
          <xdr:nvSpPr>
            <xdr:cNvPr id="0" name=""/>
            <xdr:cNvSpPr>
              <a:spLocks noTextEdit="1"/>
            </xdr:cNvSpPr>
          </xdr:nvSpPr>
          <xdr:spPr>
            <a:xfrm>
              <a:off x="10382250" y="190500"/>
              <a:ext cx="1828800" cy="1914525"/>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12</xdr:col>
      <xdr:colOff>180975</xdr:colOff>
      <xdr:row>1</xdr:row>
      <xdr:rowOff>0</xdr:rowOff>
    </xdr:from>
    <xdr:to>
      <xdr:col>12</xdr:col>
      <xdr:colOff>2009775</xdr:colOff>
      <xdr:row>9</xdr:row>
      <xdr:rowOff>0</xdr:rowOff>
    </xdr:to>
    <mc:AlternateContent xmlns:mc="http://schemas.openxmlformats.org/markup-compatibility/2006" xmlns:sle15="http://schemas.microsoft.com/office/drawing/2012/slicer">
      <mc:Choice Requires="sle15">
        <xdr:graphicFrame macro="">
          <xdr:nvGraphicFramePr>
            <xdr:cNvPr id="8" name="OPPORTUNITY OWNER">
              <a:extLst>
                <a:ext uri="{FF2B5EF4-FFF2-40B4-BE49-F238E27FC236}">
                  <a16:creationId xmlns:a16="http://schemas.microsoft.com/office/drawing/2014/main" id="{00000000-0008-0000-0300-000008000000}"/>
                </a:ext>
              </a:extLst>
            </xdr:cNvPr>
            <xdr:cNvGraphicFramePr/>
          </xdr:nvGraphicFramePr>
          <xdr:xfrm>
            <a:off x="0" y="0"/>
            <a:ext cx="0" cy="0"/>
          </xdr:xfrm>
          <a:graphic>
            <a:graphicData uri="http://schemas.microsoft.com/office/drawing/2010/slicer">
              <sle:slicer xmlns:sle="http://schemas.microsoft.com/office/drawing/2010/slicer" name="OPPORTUNITY OWNER"/>
            </a:graphicData>
          </a:graphic>
        </xdr:graphicFrame>
      </mc:Choice>
      <mc:Fallback xmlns="">
        <xdr:sp macro="" textlink="">
          <xdr:nvSpPr>
            <xdr:cNvPr id="0" name=""/>
            <xdr:cNvSpPr>
              <a:spLocks noTextEdit="1"/>
            </xdr:cNvSpPr>
          </xdr:nvSpPr>
          <xdr:spPr>
            <a:xfrm>
              <a:off x="12211050" y="190500"/>
              <a:ext cx="1828800" cy="1914525"/>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12</xdr:col>
      <xdr:colOff>2009775</xdr:colOff>
      <xdr:row>1</xdr:row>
      <xdr:rowOff>0</xdr:rowOff>
    </xdr:from>
    <xdr:to>
      <xdr:col>14</xdr:col>
      <xdr:colOff>704850</xdr:colOff>
      <xdr:row>9</xdr:row>
      <xdr:rowOff>0</xdr:rowOff>
    </xdr:to>
    <mc:AlternateContent xmlns:mc="http://schemas.openxmlformats.org/markup-compatibility/2006" xmlns:sle15="http://schemas.microsoft.com/office/drawing/2012/slicer">
      <mc:Choice Requires="sle15">
        <xdr:graphicFrame macro="">
          <xdr:nvGraphicFramePr>
            <xdr:cNvPr id="9" name="OPPORTUNITY LEVEL">
              <a:extLst>
                <a:ext uri="{FF2B5EF4-FFF2-40B4-BE49-F238E27FC236}">
                  <a16:creationId xmlns:a16="http://schemas.microsoft.com/office/drawing/2014/main" id="{00000000-0008-0000-0300-000009000000}"/>
                </a:ext>
              </a:extLst>
            </xdr:cNvPr>
            <xdr:cNvGraphicFramePr/>
          </xdr:nvGraphicFramePr>
          <xdr:xfrm>
            <a:off x="0" y="0"/>
            <a:ext cx="0" cy="0"/>
          </xdr:xfrm>
          <a:graphic>
            <a:graphicData uri="http://schemas.microsoft.com/office/drawing/2010/slicer">
              <sle:slicer xmlns:sle="http://schemas.microsoft.com/office/drawing/2010/slicer" name="OPPORTUNITY LEVEL"/>
            </a:graphicData>
          </a:graphic>
        </xdr:graphicFrame>
      </mc:Choice>
      <mc:Fallback xmlns="">
        <xdr:sp macro="" textlink="">
          <xdr:nvSpPr>
            <xdr:cNvPr id="0" name=""/>
            <xdr:cNvSpPr>
              <a:spLocks noTextEdit="1"/>
            </xdr:cNvSpPr>
          </xdr:nvSpPr>
          <xdr:spPr>
            <a:xfrm>
              <a:off x="14039850" y="190500"/>
              <a:ext cx="1828800" cy="1914525"/>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14</xdr:col>
      <xdr:colOff>704850</xdr:colOff>
      <xdr:row>1</xdr:row>
      <xdr:rowOff>0</xdr:rowOff>
    </xdr:from>
    <xdr:to>
      <xdr:col>16</xdr:col>
      <xdr:colOff>9525</xdr:colOff>
      <xdr:row>9</xdr:row>
      <xdr:rowOff>0</xdr:rowOff>
    </xdr:to>
    <mc:AlternateContent xmlns:mc="http://schemas.openxmlformats.org/markup-compatibility/2006" xmlns:sle15="http://schemas.microsoft.com/office/drawing/2012/slicer">
      <mc:Choice Requires="sle15">
        <xdr:graphicFrame macro="">
          <xdr:nvGraphicFramePr>
            <xdr:cNvPr id="10" name="ACTION OWNER">
              <a:extLst>
                <a:ext uri="{FF2B5EF4-FFF2-40B4-BE49-F238E27FC236}">
                  <a16:creationId xmlns:a16="http://schemas.microsoft.com/office/drawing/2014/main" id="{00000000-0008-0000-0300-00000A000000}"/>
                </a:ext>
              </a:extLst>
            </xdr:cNvPr>
            <xdr:cNvGraphicFramePr/>
          </xdr:nvGraphicFramePr>
          <xdr:xfrm>
            <a:off x="0" y="0"/>
            <a:ext cx="0" cy="0"/>
          </xdr:xfrm>
          <a:graphic>
            <a:graphicData uri="http://schemas.microsoft.com/office/drawing/2010/slicer">
              <sle:slicer xmlns:sle="http://schemas.microsoft.com/office/drawing/2010/slicer" name="ACTION OWNER"/>
            </a:graphicData>
          </a:graphic>
        </xdr:graphicFrame>
      </mc:Choice>
      <mc:Fallback xmlns="">
        <xdr:sp macro="" textlink="">
          <xdr:nvSpPr>
            <xdr:cNvPr id="0" name=""/>
            <xdr:cNvSpPr>
              <a:spLocks noTextEdit="1"/>
            </xdr:cNvSpPr>
          </xdr:nvSpPr>
          <xdr:spPr>
            <a:xfrm>
              <a:off x="15868650" y="190500"/>
              <a:ext cx="1828800" cy="1914525"/>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1</xdr:row>
      <xdr:rowOff>9525</xdr:rowOff>
    </xdr:from>
    <xdr:to>
      <xdr:col>4</xdr:col>
      <xdr:colOff>204236</xdr:colOff>
      <xdr:row>6</xdr:row>
      <xdr:rowOff>15015</xdr:rowOff>
    </xdr:to>
    <xdr:pic>
      <xdr:nvPicPr>
        <xdr:cNvPr id="2" name="Picture 1" descr="Auto Replace">
          <a:extLst>
            <a:ext uri="{FF2B5EF4-FFF2-40B4-BE49-F238E27FC236}">
              <a16:creationId xmlns:a16="http://schemas.microsoft.com/office/drawing/2014/main" id="{0F65B55E-2D34-4FA2-84D4-DDE720983CE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5" y="200025"/>
          <a:ext cx="2537861" cy="957990"/>
        </a:xfrm>
        <a:prstGeom prst="rect">
          <a:avLst/>
        </a:prstGeom>
      </xdr:spPr>
    </xdr:pic>
    <xdr:clientData/>
  </xdr:twoCellAnchor>
  <xdr:twoCellAnchor>
    <xdr:from>
      <xdr:col>1</xdr:col>
      <xdr:colOff>0</xdr:colOff>
      <xdr:row>12</xdr:row>
      <xdr:rowOff>0</xdr:rowOff>
    </xdr:from>
    <xdr:to>
      <xdr:col>25</xdr:col>
      <xdr:colOff>569925</xdr:colOff>
      <xdr:row>30</xdr:row>
      <xdr:rowOff>171000</xdr:rowOff>
    </xdr:to>
    <xdr:grpSp>
      <xdr:nvGrpSpPr>
        <xdr:cNvPr id="12" name="Group 11">
          <a:extLst>
            <a:ext uri="{FF2B5EF4-FFF2-40B4-BE49-F238E27FC236}">
              <a16:creationId xmlns:a16="http://schemas.microsoft.com/office/drawing/2014/main" id="{6529AB6F-9FAA-4451-8A90-621F84165795}"/>
            </a:ext>
          </a:extLst>
        </xdr:cNvPr>
        <xdr:cNvGrpSpPr/>
      </xdr:nvGrpSpPr>
      <xdr:grpSpPr>
        <a:xfrm>
          <a:off x="190500" y="2419350"/>
          <a:ext cx="16448100" cy="3600000"/>
          <a:chOff x="190500" y="2638425"/>
          <a:chExt cx="16448100" cy="3600000"/>
        </a:xfrm>
      </xdr:grpSpPr>
      <xdr:graphicFrame macro="">
        <xdr:nvGraphicFramePr>
          <xdr:cNvPr id="18" name="Chart 17">
            <a:extLst>
              <a:ext uri="{FF2B5EF4-FFF2-40B4-BE49-F238E27FC236}">
                <a16:creationId xmlns:a16="http://schemas.microsoft.com/office/drawing/2014/main" id="{9A56830C-1403-474A-908F-6196012D3216}"/>
              </a:ext>
            </a:extLst>
          </xdr:cNvPr>
          <xdr:cNvGraphicFramePr>
            <a:graphicFrameLocks/>
          </xdr:cNvGraphicFramePr>
        </xdr:nvGraphicFramePr>
        <xdr:xfrm>
          <a:off x="190500" y="2638425"/>
          <a:ext cx="5086800" cy="36000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9" name="Chart 18">
            <a:extLst>
              <a:ext uri="{FF2B5EF4-FFF2-40B4-BE49-F238E27FC236}">
                <a16:creationId xmlns:a16="http://schemas.microsoft.com/office/drawing/2014/main" id="{5455CE68-CADD-4E18-9CD7-DE768DD0426C}"/>
              </a:ext>
            </a:extLst>
          </xdr:cNvPr>
          <xdr:cNvGraphicFramePr>
            <a:graphicFrameLocks/>
          </xdr:cNvGraphicFramePr>
        </xdr:nvGraphicFramePr>
        <xdr:xfrm>
          <a:off x="5286375" y="2638425"/>
          <a:ext cx="11352225" cy="360000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xdr:col>
      <xdr:colOff>0</xdr:colOff>
      <xdr:row>35</xdr:row>
      <xdr:rowOff>0</xdr:rowOff>
    </xdr:from>
    <xdr:to>
      <xdr:col>26</xdr:col>
      <xdr:colOff>0</xdr:colOff>
      <xdr:row>53</xdr:row>
      <xdr:rowOff>171000</xdr:rowOff>
    </xdr:to>
    <xdr:grpSp>
      <xdr:nvGrpSpPr>
        <xdr:cNvPr id="22" name="Group 21">
          <a:extLst>
            <a:ext uri="{FF2B5EF4-FFF2-40B4-BE49-F238E27FC236}">
              <a16:creationId xmlns:a16="http://schemas.microsoft.com/office/drawing/2014/main" id="{142F0F87-C0B7-45F1-843E-7478CDC173DA}"/>
            </a:ext>
          </a:extLst>
        </xdr:cNvPr>
        <xdr:cNvGrpSpPr/>
      </xdr:nvGrpSpPr>
      <xdr:grpSpPr>
        <a:xfrm>
          <a:off x="190500" y="6858000"/>
          <a:ext cx="16459200" cy="3600000"/>
          <a:chOff x="190500" y="7077075"/>
          <a:chExt cx="16459200" cy="3600000"/>
        </a:xfrm>
      </xdr:grpSpPr>
      <xdr:graphicFrame macro="">
        <xdr:nvGraphicFramePr>
          <xdr:cNvPr id="20" name="Chart 19">
            <a:extLst>
              <a:ext uri="{FF2B5EF4-FFF2-40B4-BE49-F238E27FC236}">
                <a16:creationId xmlns:a16="http://schemas.microsoft.com/office/drawing/2014/main" id="{8DBEE043-A374-4750-9C22-36F8CE8F901C}"/>
              </a:ext>
            </a:extLst>
          </xdr:cNvPr>
          <xdr:cNvGraphicFramePr>
            <a:graphicFrameLocks/>
          </xdr:cNvGraphicFramePr>
        </xdr:nvGraphicFramePr>
        <xdr:xfrm>
          <a:off x="190500" y="7077075"/>
          <a:ext cx="5086350" cy="360000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21" name="Chart 20">
            <a:extLst>
              <a:ext uri="{FF2B5EF4-FFF2-40B4-BE49-F238E27FC236}">
                <a16:creationId xmlns:a16="http://schemas.microsoft.com/office/drawing/2014/main" id="{66F51626-E8B2-4C64-B1BA-FC9588FD9E35}"/>
              </a:ext>
            </a:extLst>
          </xdr:cNvPr>
          <xdr:cNvGraphicFramePr>
            <a:graphicFrameLocks/>
          </xdr:cNvGraphicFramePr>
        </xdr:nvGraphicFramePr>
        <xdr:xfrm>
          <a:off x="5286376" y="7077075"/>
          <a:ext cx="11363324" cy="360000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1</xdr:col>
      <xdr:colOff>0</xdr:colOff>
      <xdr:row>71</xdr:row>
      <xdr:rowOff>180975</xdr:rowOff>
    </xdr:from>
    <xdr:to>
      <xdr:col>26</xdr:col>
      <xdr:colOff>0</xdr:colOff>
      <xdr:row>90</xdr:row>
      <xdr:rowOff>161475</xdr:rowOff>
    </xdr:to>
    <xdr:grpSp>
      <xdr:nvGrpSpPr>
        <xdr:cNvPr id="26" name="Group 25">
          <a:extLst>
            <a:ext uri="{FF2B5EF4-FFF2-40B4-BE49-F238E27FC236}">
              <a16:creationId xmlns:a16="http://schemas.microsoft.com/office/drawing/2014/main" id="{B576382A-BF6C-4074-B7B8-3FB63D9DBDA2}"/>
            </a:ext>
          </a:extLst>
        </xdr:cNvPr>
        <xdr:cNvGrpSpPr/>
      </xdr:nvGrpSpPr>
      <xdr:grpSpPr>
        <a:xfrm>
          <a:off x="190500" y="17240250"/>
          <a:ext cx="16459200" cy="3600000"/>
          <a:chOff x="190500" y="17459325"/>
          <a:chExt cx="16459200" cy="3600000"/>
        </a:xfrm>
      </xdr:grpSpPr>
      <xdr:graphicFrame macro="">
        <xdr:nvGraphicFramePr>
          <xdr:cNvPr id="23" name="Chart 22">
            <a:extLst>
              <a:ext uri="{FF2B5EF4-FFF2-40B4-BE49-F238E27FC236}">
                <a16:creationId xmlns:a16="http://schemas.microsoft.com/office/drawing/2014/main" id="{FF67D56E-CE23-4EEA-9C8F-0E8435E8F270}"/>
              </a:ext>
            </a:extLst>
          </xdr:cNvPr>
          <xdr:cNvGraphicFramePr>
            <a:graphicFrameLocks/>
          </xdr:cNvGraphicFramePr>
        </xdr:nvGraphicFramePr>
        <xdr:xfrm>
          <a:off x="190500" y="17459325"/>
          <a:ext cx="4772025" cy="3600000"/>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24" name="Chart 23">
            <a:extLst>
              <a:ext uri="{FF2B5EF4-FFF2-40B4-BE49-F238E27FC236}">
                <a16:creationId xmlns:a16="http://schemas.microsoft.com/office/drawing/2014/main" id="{40784609-EFA3-4A74-B09E-27AC17ED3DD2}"/>
              </a:ext>
            </a:extLst>
          </xdr:cNvPr>
          <xdr:cNvGraphicFramePr>
            <a:graphicFrameLocks/>
          </xdr:cNvGraphicFramePr>
        </xdr:nvGraphicFramePr>
        <xdr:xfrm>
          <a:off x="4972050" y="17459325"/>
          <a:ext cx="4572000" cy="3600000"/>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25" name="Chart 24">
            <a:extLst>
              <a:ext uri="{FF2B5EF4-FFF2-40B4-BE49-F238E27FC236}">
                <a16:creationId xmlns:a16="http://schemas.microsoft.com/office/drawing/2014/main" id="{A6976060-78C0-4B9C-8C51-BAF1E6FA08A3}"/>
              </a:ext>
            </a:extLst>
          </xdr:cNvPr>
          <xdr:cNvGraphicFramePr>
            <a:graphicFrameLocks/>
          </xdr:cNvGraphicFramePr>
        </xdr:nvGraphicFramePr>
        <xdr:xfrm>
          <a:off x="9553575" y="17459325"/>
          <a:ext cx="7096125" cy="3600000"/>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xdr:from>
      <xdr:col>1</xdr:col>
      <xdr:colOff>0</xdr:colOff>
      <xdr:row>94</xdr:row>
      <xdr:rowOff>180975</xdr:rowOff>
    </xdr:from>
    <xdr:to>
      <xdr:col>25</xdr:col>
      <xdr:colOff>571501</xdr:colOff>
      <xdr:row>113</xdr:row>
      <xdr:rowOff>161475</xdr:rowOff>
    </xdr:to>
    <xdr:grpSp>
      <xdr:nvGrpSpPr>
        <xdr:cNvPr id="3" name="Group 2">
          <a:extLst>
            <a:ext uri="{FF2B5EF4-FFF2-40B4-BE49-F238E27FC236}">
              <a16:creationId xmlns:a16="http://schemas.microsoft.com/office/drawing/2014/main" id="{89EF4491-ED1B-4D1A-AF14-A17CA7B75CFE}"/>
            </a:ext>
          </a:extLst>
        </xdr:cNvPr>
        <xdr:cNvGrpSpPr/>
      </xdr:nvGrpSpPr>
      <xdr:grpSpPr>
        <a:xfrm>
          <a:off x="190500" y="21669375"/>
          <a:ext cx="16449676" cy="3600000"/>
          <a:chOff x="190500" y="21888450"/>
          <a:chExt cx="16449676" cy="3600000"/>
        </a:xfrm>
      </xdr:grpSpPr>
      <xdr:graphicFrame macro="">
        <xdr:nvGraphicFramePr>
          <xdr:cNvPr id="13" name="Chart 12">
            <a:extLst>
              <a:ext uri="{FF2B5EF4-FFF2-40B4-BE49-F238E27FC236}">
                <a16:creationId xmlns:a16="http://schemas.microsoft.com/office/drawing/2014/main" id="{AB598A28-C9D5-41BD-8DA3-7EFE2969079F}"/>
              </a:ext>
            </a:extLst>
          </xdr:cNvPr>
          <xdr:cNvGraphicFramePr>
            <a:graphicFrameLocks/>
          </xdr:cNvGraphicFramePr>
        </xdr:nvGraphicFramePr>
        <xdr:xfrm>
          <a:off x="190500" y="21888450"/>
          <a:ext cx="5086350" cy="3600000"/>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14" name="Chart 13">
            <a:extLst>
              <a:ext uri="{FF2B5EF4-FFF2-40B4-BE49-F238E27FC236}">
                <a16:creationId xmlns:a16="http://schemas.microsoft.com/office/drawing/2014/main" id="{BFD4CEF5-7795-4F09-B360-223B38229F80}"/>
              </a:ext>
            </a:extLst>
          </xdr:cNvPr>
          <xdr:cNvGraphicFramePr>
            <a:graphicFrameLocks/>
          </xdr:cNvGraphicFramePr>
        </xdr:nvGraphicFramePr>
        <xdr:xfrm>
          <a:off x="5819776" y="21888450"/>
          <a:ext cx="10820400" cy="3600000"/>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xdr:from>
      <xdr:col>0</xdr:col>
      <xdr:colOff>190499</xdr:colOff>
      <xdr:row>116</xdr:row>
      <xdr:rowOff>0</xdr:rowOff>
    </xdr:from>
    <xdr:to>
      <xdr:col>25</xdr:col>
      <xdr:colOff>571500</xdr:colOff>
      <xdr:row>134</xdr:row>
      <xdr:rowOff>171000</xdr:rowOff>
    </xdr:to>
    <xdr:grpSp>
      <xdr:nvGrpSpPr>
        <xdr:cNvPr id="4" name="Group 3">
          <a:extLst>
            <a:ext uri="{FF2B5EF4-FFF2-40B4-BE49-F238E27FC236}">
              <a16:creationId xmlns:a16="http://schemas.microsoft.com/office/drawing/2014/main" id="{21D892A1-0314-4059-B63F-CB0B506FA4A0}"/>
            </a:ext>
          </a:extLst>
        </xdr:cNvPr>
        <xdr:cNvGrpSpPr/>
      </xdr:nvGrpSpPr>
      <xdr:grpSpPr>
        <a:xfrm>
          <a:off x="190499" y="25679400"/>
          <a:ext cx="16449676" cy="3600000"/>
          <a:chOff x="190499" y="25898475"/>
          <a:chExt cx="15132376" cy="3600000"/>
        </a:xfrm>
      </xdr:grpSpPr>
      <xdr:graphicFrame macro="">
        <xdr:nvGraphicFramePr>
          <xdr:cNvPr id="16" name="Chart 15">
            <a:extLst>
              <a:ext uri="{FF2B5EF4-FFF2-40B4-BE49-F238E27FC236}">
                <a16:creationId xmlns:a16="http://schemas.microsoft.com/office/drawing/2014/main" id="{713BEFC7-73F3-478A-B565-759A64527579}"/>
              </a:ext>
            </a:extLst>
          </xdr:cNvPr>
          <xdr:cNvGraphicFramePr>
            <a:graphicFrameLocks/>
          </xdr:cNvGraphicFramePr>
        </xdr:nvGraphicFramePr>
        <xdr:xfrm>
          <a:off x="190499" y="25898475"/>
          <a:ext cx="7560000" cy="3600000"/>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17" name="Chart 16">
            <a:extLst>
              <a:ext uri="{FF2B5EF4-FFF2-40B4-BE49-F238E27FC236}">
                <a16:creationId xmlns:a16="http://schemas.microsoft.com/office/drawing/2014/main" id="{E8EA7378-9BD4-4396-AB0C-4F2BA5FAEB28}"/>
              </a:ext>
            </a:extLst>
          </xdr:cNvPr>
          <xdr:cNvGraphicFramePr>
            <a:graphicFrameLocks/>
          </xdr:cNvGraphicFramePr>
        </xdr:nvGraphicFramePr>
        <xdr:xfrm>
          <a:off x="7762875" y="25898475"/>
          <a:ext cx="7560000" cy="3600000"/>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1270475</xdr:colOff>
      <xdr:row>6</xdr:row>
      <xdr:rowOff>5490</xdr:rowOff>
    </xdr:to>
    <xdr:pic>
      <xdr:nvPicPr>
        <xdr:cNvPr id="2" name="Picture 1" descr="Auto Replace">
          <a:extLst>
            <a:ext uri="{FF2B5EF4-FFF2-40B4-BE49-F238E27FC236}">
              <a16:creationId xmlns:a16="http://schemas.microsoft.com/office/drawing/2014/main" id="{4C69E1B3-5A2D-4642-9320-0227D2E5FC92}"/>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527775" cy="95799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660875</xdr:colOff>
      <xdr:row>6</xdr:row>
      <xdr:rowOff>5490</xdr:rowOff>
    </xdr:to>
    <xdr:pic>
      <xdr:nvPicPr>
        <xdr:cNvPr id="3" name="Picture 2" descr="Auto Replace">
          <a:extLst>
            <a:ext uri="{FF2B5EF4-FFF2-40B4-BE49-F238E27FC236}">
              <a16:creationId xmlns:a16="http://schemas.microsoft.com/office/drawing/2014/main" id="{00000000-0008-0000-10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527775" cy="95799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1280000</xdr:colOff>
      <xdr:row>6</xdr:row>
      <xdr:rowOff>5490</xdr:rowOff>
    </xdr:to>
    <xdr:pic>
      <xdr:nvPicPr>
        <xdr:cNvPr id="2" name="Picture 1" descr="Auto Replace">
          <a:extLst>
            <a:ext uri="{FF2B5EF4-FFF2-40B4-BE49-F238E27FC236}">
              <a16:creationId xmlns:a16="http://schemas.microsoft.com/office/drawing/2014/main" id="{398EE3DB-2217-4B15-AF26-C3AAA088296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527775" cy="95799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1280000</xdr:colOff>
      <xdr:row>6</xdr:row>
      <xdr:rowOff>5490</xdr:rowOff>
    </xdr:to>
    <xdr:pic>
      <xdr:nvPicPr>
        <xdr:cNvPr id="2" name="Picture 1" descr="Auto Replace">
          <a:extLst>
            <a:ext uri="{FF2B5EF4-FFF2-40B4-BE49-F238E27FC236}">
              <a16:creationId xmlns:a16="http://schemas.microsoft.com/office/drawing/2014/main" id="{2A97098D-4859-4A64-B02F-457BCC4AC6DC}"/>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527775" cy="95799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k Clifton" refreshedDate="43999.436919328706" missingItemsLimit="0" createdVersion="6" refreshedVersion="6" minRefreshableVersion="3" recordCount="8" xr:uid="{D4528FD9-AD79-4888-BF3A-A1D44A9D054F}">
  <cacheSource type="worksheet">
    <worksheetSource name="RiskAssessment"/>
  </cacheSource>
  <cacheFields count="23">
    <cacheField name="Ref" numFmtId="0">
      <sharedItems containsSemiMixedTypes="0" containsString="0" containsNumber="1" containsInteger="1" minValue="1" maxValue="8"/>
    </cacheField>
    <cacheField name="Risk Summary" numFmtId="0">
      <sharedItems/>
    </cacheField>
    <cacheField name="Risk Description" numFmtId="0">
      <sharedItems/>
    </cacheField>
    <cacheField name="Risk Owner" numFmtId="0">
      <sharedItems count="3">
        <s v="Facilities Manager"/>
        <s v="Operations Manager"/>
        <s v="IT Manager"/>
      </sharedItems>
    </cacheField>
    <cacheField name="Existing Controls" numFmtId="0">
      <sharedItems/>
    </cacheField>
    <cacheField name="Likelihood" numFmtId="0">
      <sharedItems containsSemiMixedTypes="0" containsString="0" containsNumber="1" containsInteger="1" minValue="1" maxValue="4"/>
    </cacheField>
    <cacheField name="Likelihood Rationale" numFmtId="0">
      <sharedItems/>
    </cacheField>
    <cacheField name="Impact" numFmtId="0">
      <sharedItems containsSemiMixedTypes="0" containsString="0" containsNumber="1" containsInteger="1" minValue="2" maxValue="5"/>
    </cacheField>
    <cacheField name="Impact Rationale" numFmtId="0">
      <sharedItems/>
    </cacheField>
    <cacheField name="Risk Score" numFmtId="0">
      <sharedItems containsSemiMixedTypes="0" containsString="0" containsNumber="1" containsInteger="1" minValue="4" maxValue="16"/>
    </cacheField>
    <cacheField name="Risk Level" numFmtId="0">
      <sharedItems count="3">
        <s v=" LOW"/>
        <s v=" HIGH"/>
        <s v=" MEDIUM"/>
      </sharedItems>
    </cacheField>
    <cacheField name="Treatment Option Chosen" numFmtId="0">
      <sharedItems count="2">
        <s v="Accept"/>
        <s v="Modify"/>
      </sharedItems>
    </cacheField>
    <cacheField name="Proposed Treatment Action" numFmtId="0">
      <sharedItems containsBlank="1"/>
    </cacheField>
    <cacheField name="Treatment Cost" numFmtId="164">
      <sharedItems containsString="0" containsBlank="1" containsNumber="1" containsInteger="1" minValue="0" maxValue="100000"/>
    </cacheField>
    <cacheField name="Treatment Action Owner" numFmtId="0">
      <sharedItems containsBlank="1" count="5">
        <m/>
        <s v="Facilities Manager"/>
        <s v="Maintenance Engineer"/>
        <s v="IT Manager"/>
        <s v="Operations Manager"/>
      </sharedItems>
    </cacheField>
    <cacheField name="Treatment Action Timescale" numFmtId="0">
      <sharedItems containsBlank="1"/>
    </cacheField>
    <cacheField name="Post-Treatment Likelihood" numFmtId="0">
      <sharedItems containsSemiMixedTypes="0" containsString="0" containsNumber="1" containsInteger="1" minValue="1" maxValue="3"/>
    </cacheField>
    <cacheField name="Post-Treatment Likelihood Rationale" numFmtId="0">
      <sharedItems containsBlank="1"/>
    </cacheField>
    <cacheField name="Post- Treatment Impact" numFmtId="0">
      <sharedItems containsSemiMixedTypes="0" containsString="0" containsNumber="1" containsInteger="1" minValue="2" maxValue="4"/>
    </cacheField>
    <cacheField name="Post-Treatment Impact Rationale" numFmtId="0">
      <sharedItems containsBlank="1"/>
    </cacheField>
    <cacheField name="Post-Treatment Risk Score" numFmtId="0">
      <sharedItems containsSemiMixedTypes="0" containsString="0" containsNumber="1" containsInteger="1" minValue="4" maxValue="12"/>
    </cacheField>
    <cacheField name="Post-Treatment Risk Level" numFmtId="0">
      <sharedItems/>
    </cacheField>
    <cacheField name="Comments" numFmtId="0">
      <sharedItems containsNonDate="0" containsString="0" containsBlank="1"/>
    </cacheField>
  </cacheFields>
  <extLst>
    <ext xmlns:x14="http://schemas.microsoft.com/office/spreadsheetml/2009/9/main" uri="{725AE2AE-9491-48be-B2B4-4EB974FC3084}">
      <x14:pivotCacheDefinition pivotCacheId="81160349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k Clifton" refreshedDate="43999.436919791668" createdVersion="6" refreshedVersion="6" minRefreshableVersion="3" recordCount="3" xr:uid="{F1C31D0C-5264-409D-9C0D-E389EF1C0F15}">
  <cacheSource type="worksheet">
    <worksheetSource name="PreMitigationRisksByRiskLevel10"/>
  </cacheSource>
  <cacheFields count="3">
    <cacheField name="Risk level" numFmtId="0">
      <sharedItems count="3">
        <s v=" Low"/>
        <s v=" Medium"/>
        <s v=" High"/>
      </sharedItems>
    </cacheField>
    <cacheField name="Pre-treatment" numFmtId="0">
      <sharedItems containsSemiMixedTypes="0" containsString="0" containsNumber="1" containsInteger="1" minValue="2" maxValue="3"/>
    </cacheField>
    <cacheField name="Post-treatment" numFmtId="0">
      <sharedItems containsSemiMixedTypes="0" containsString="0" containsNumber="1" containsInteger="1" minValue="1" maxValue="4"/>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k Clifton" refreshedDate="43999.436919907406" createdVersion="6" refreshedVersion="6" minRefreshableVersion="3" recordCount="3" xr:uid="{375C5F3F-0447-4F05-8871-3339DAEA7481}">
  <cacheSource type="worksheet">
    <worksheetSource name="RisksByRiskLevelPreandPostTreatment10"/>
  </cacheSource>
  <cacheFields count="2">
    <cacheField name="Risk level" numFmtId="0">
      <sharedItems count="3">
        <s v=" Low"/>
        <s v=" Medium"/>
        <s v=" High"/>
      </sharedItems>
    </cacheField>
    <cacheField name="Post-treatment" numFmtId="0">
      <sharedItems containsSemiMixedTypes="0" containsString="0" containsNumber="1" containsInteger="1" minValue="1" maxValue="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k Clifton" refreshedDate="43999.436920138891" createdVersion="6" refreshedVersion="6" minRefreshableVersion="3" recordCount="3" xr:uid="{CFBEB5C1-7912-42EA-A454-F538B8A77562}">
  <cacheSource type="worksheet">
    <worksheetSource name="PreMitigationRisksByRiskLevel"/>
  </cacheSource>
  <cacheFields count="2">
    <cacheField name="Risk level" numFmtId="0">
      <sharedItems count="3">
        <s v=" Low"/>
        <s v=" Medium"/>
        <s v=" High"/>
      </sharedItems>
    </cacheField>
    <cacheField name="Pre-treatment" numFmtId="0">
      <sharedItems containsSemiMixedTypes="0" containsString="0" containsNumber="1" containsInteger="1" minValue="2" maxValue="3"/>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k Clifton" refreshedDate="43999.436920370368" missingItemsLimit="0" createdVersion="6" refreshedVersion="6" minRefreshableVersion="3" recordCount="3" xr:uid="{A324CCD3-0088-4FB0-8D1B-135AEF73965A}">
  <cacheSource type="worksheet">
    <worksheetSource name="RiskAssessment7"/>
  </cacheSource>
  <cacheFields count="15">
    <cacheField name="REF" numFmtId="0">
      <sharedItems containsSemiMixedTypes="0" containsString="0" containsNumber="1" containsInteger="1" minValue="1" maxValue="3"/>
    </cacheField>
    <cacheField name="OPP SUMMARY" numFmtId="0">
      <sharedItems/>
    </cacheField>
    <cacheField name="OPP DESCRIPTION" numFmtId="0">
      <sharedItems/>
    </cacheField>
    <cacheField name="OPP TYPE" numFmtId="0">
      <sharedItems count="3">
        <s v="Financial"/>
        <s v="Technical"/>
        <s v="Organizational"/>
      </sharedItems>
    </cacheField>
    <cacheField name="OPP OWNER" numFmtId="0">
      <sharedItems count="3">
        <s v="BC Manager"/>
        <s v="Operations Manager"/>
        <s v="COO"/>
      </sharedItems>
    </cacheField>
    <cacheField name="LIKELIHOOD" numFmtId="0">
      <sharedItems containsSemiMixedTypes="0" containsString="0" containsNumber="1" containsInteger="1" minValue="3" maxValue="4"/>
    </cacheField>
    <cacheField name="LIKELIHOOD RATIONALE" numFmtId="0">
      <sharedItems/>
    </cacheField>
    <cacheField name="IMPACT" numFmtId="0">
      <sharedItems containsSemiMixedTypes="0" containsString="0" containsNumber="1" containsInteger="1" minValue="1" maxValue="4"/>
    </cacheField>
    <cacheField name="IMPACT RATIONALE" numFmtId="0">
      <sharedItems/>
    </cacheField>
    <cacheField name="OPP SCORE" numFmtId="0">
      <sharedItems containsSemiMixedTypes="0" containsString="0" containsNumber="1" containsInteger="1" minValue="3" maxValue="16"/>
    </cacheField>
    <cacheField name="OPP LEVEL" numFmtId="0">
      <sharedItems count="3">
        <s v=" LOW"/>
        <s v=" HIGH"/>
        <s v=" MEDIUM"/>
      </sharedItems>
    </cacheField>
    <cacheField name="ACTION" numFmtId="0">
      <sharedItems/>
    </cacheField>
    <cacheField name="ACTION OWNER" numFmtId="0">
      <sharedItems count="3">
        <s v="BC Manager"/>
        <s v="Operations Manager"/>
        <s v="COO"/>
      </sharedItems>
    </cacheField>
    <cacheField name="ACTION TIMESCALE" numFmtId="0">
      <sharedItems/>
    </cacheField>
    <cacheField name="COMMENT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n v="1"/>
    <s v="Loss of power to plant"/>
    <s v="Electrical supply to the facility ceases suddenly for unknown and possibly extended period"/>
    <x v="0"/>
    <s v="Facility is fed by two separate sub-stations. A generator capable of supporting the plant is installed and tested regularly"/>
    <n v="2"/>
    <s v="Power has failed twice in the last five years, each time for more than two days"/>
    <n v="2"/>
    <s v="It has been proven that the facility can operate successfully during a power failure"/>
    <n v="4"/>
    <x v="0"/>
    <x v="0"/>
    <m/>
    <n v="0"/>
    <x v="0"/>
    <m/>
    <n v="2"/>
    <m/>
    <n v="2"/>
    <m/>
    <n v="4"/>
    <s v=" LOW"/>
    <m/>
  </r>
  <r>
    <n v="2"/>
    <s v="Hazardous materials incident in surrounding area"/>
    <s v="Emergency is declared on industrial park due to an incident with hazardous materials being handled by a company with premises there"/>
    <x v="0"/>
    <s v="None"/>
    <n v="3"/>
    <s v="There is known to be an increased use of such materials locally"/>
    <n v="4"/>
    <s v="An incident may mean that the plant must be shut down for an extended period"/>
    <n v="12"/>
    <x v="1"/>
    <x v="1"/>
    <s v="Create plan to move production to an alternate facility within 1 week of incident"/>
    <n v="25000"/>
    <x v="1"/>
    <s v="6 months"/>
    <n v="3"/>
    <s v="No change to likelihood"/>
    <n v="3"/>
    <s v="Loss of production would be limited to one week"/>
    <n v="9"/>
    <s v=" MEDIUM"/>
    <m/>
  </r>
  <r>
    <n v="3"/>
    <s v="Fire in plant"/>
    <s v="Significant fire destroys major parts of the facility, rendering it inoperable"/>
    <x v="0"/>
    <s v="Smoke detectors, automatic fire suppression system, 24x7 security"/>
    <n v="2"/>
    <s v="Few sources of ignition for accidental fire; arson is a possibility"/>
    <n v="4"/>
    <s v="Fire would affect the ability of the facility to produce"/>
    <n v="8"/>
    <x v="2"/>
    <x v="1"/>
    <s v="Create plan to move production to an alternate facility within 1 week of incident"/>
    <n v="25000"/>
    <x v="1"/>
    <s v="6 months"/>
    <n v="2"/>
    <s v="No change to likelihood"/>
    <n v="3"/>
    <s v="Loss of production would be limited to one week"/>
    <n v="6"/>
    <s v=" MEDIUM"/>
    <m/>
  </r>
  <r>
    <n v="4"/>
    <s v="Critical equipment failure"/>
    <s v="Machinery essential for the manufacturing process fails and cannot be repaired in a timely fashion"/>
    <x v="1"/>
    <s v="Maintenance contract in place"/>
    <n v="4"/>
    <s v="Some key machines are old and prone to failure; parts are hard to obtain"/>
    <n v="4"/>
    <s v="Production would stop if key machinery failed"/>
    <n v="16"/>
    <x v="1"/>
    <x v="1"/>
    <s v="Create proposal to replace key machinery as soon as possible"/>
    <n v="10000"/>
    <x v="2"/>
    <s v="3 months"/>
    <n v="2"/>
    <s v="New machinery will be less likely to fail"/>
    <n v="4"/>
    <s v="Impact remains the same "/>
    <n v="8"/>
    <s v=" MEDIUM"/>
    <m/>
  </r>
  <r>
    <n v="5"/>
    <s v="Loss of key staff"/>
    <s v="Workers critical to the production process are unable or unwilling to attend site"/>
    <x v="1"/>
    <s v="Cross-training means that most jobs can be done by most people"/>
    <n v="2"/>
    <s v="Health record of staff is historically good and there have been no problems with employee relations in the last 5 years "/>
    <n v="2"/>
    <s v="Much of process is automated and replacement staff can be found easily"/>
    <n v="4"/>
    <x v="0"/>
    <x v="0"/>
    <m/>
    <m/>
    <x v="0"/>
    <m/>
    <n v="2"/>
    <m/>
    <n v="2"/>
    <m/>
    <n v="4"/>
    <s v=" LOW"/>
    <m/>
  </r>
  <r>
    <n v="6"/>
    <s v="Critical IT systems failure"/>
    <s v="IT systems supporting the production process are rendered inoperable by hardware, software or infrastructure failure"/>
    <x v="2"/>
    <s v="Redundant systems are in place"/>
    <n v="3"/>
    <s v="Systems have been hit by hacking attempts and viruses recently"/>
    <n v="3"/>
    <s v="Production can run without IT systems, but reporting is affected"/>
    <n v="9"/>
    <x v="2"/>
    <x v="1"/>
    <s v="Install additional firewall. Increase security awareness training for employees"/>
    <n v="8000"/>
    <x v="3"/>
    <s v="2 months"/>
    <n v="2"/>
    <s v="Hacking will be more difficult and fewer viruses will be introduced"/>
    <n v="3"/>
    <s v="No change to impact"/>
    <n v="6"/>
    <s v=" MEDIUM"/>
    <m/>
  </r>
  <r>
    <n v="7"/>
    <s v="Flooding"/>
    <s v="The site is subject to extensive and extended flooding"/>
    <x v="0"/>
    <s v="None"/>
    <n v="1"/>
    <s v="No natural or man-made water sources in the area"/>
    <n v="4"/>
    <s v="Production would cease until flooding subsided"/>
    <n v="4"/>
    <x v="0"/>
    <x v="0"/>
    <m/>
    <m/>
    <x v="0"/>
    <m/>
    <n v="1"/>
    <m/>
    <n v="4"/>
    <m/>
    <n v="4"/>
    <s v=" LOW"/>
    <m/>
  </r>
  <r>
    <n v="8"/>
    <s v="Global pandemic"/>
    <s v="A situation similar to the COVID-19 pandemic occurs, with very widespread impact on health and business."/>
    <x v="1"/>
    <s v="Cross-training means that most jobs can be done by most people"/>
    <n v="3"/>
    <s v="It has happened before, although it was labelled a one in a century event. "/>
    <n v="5"/>
    <s v="Very significant impact on revenue and production."/>
    <n v="15"/>
    <x v="1"/>
    <x v="1"/>
    <s v="Maintain stocks of PPE, increase online presence "/>
    <n v="100000"/>
    <x v="4"/>
    <s v="12 months"/>
    <n v="3"/>
    <s v="No change to likelihood"/>
    <n v="4"/>
    <s v="There would still be a significant financial impact"/>
    <n v="12"/>
    <s v=" HIGH"/>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3"/>
    <n v="3"/>
  </r>
  <r>
    <x v="1"/>
    <n v="2"/>
    <n v="4"/>
  </r>
  <r>
    <x v="2"/>
    <n v="3"/>
    <n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3"/>
  </r>
  <r>
    <x v="1"/>
    <n v="4"/>
  </r>
  <r>
    <x v="2"/>
    <n v="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3"/>
  </r>
  <r>
    <x v="1"/>
    <n v="2"/>
  </r>
  <r>
    <x v="2"/>
    <n v="3"/>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n v="1"/>
    <s v="Increase in funding for business continuity"/>
    <s v="Possibly due to an internal or external event, more money is made available to address business continuity within the organization."/>
    <x v="0"/>
    <x v="0"/>
    <n v="3"/>
    <s v="The expectation of a major event within our industry is high."/>
    <n v="1"/>
    <s v="Several control areas are currently underfunded and would benefit from more money."/>
    <n v="3"/>
    <x v="0"/>
    <s v="Obtain quotes and costings for additional controls e.g. software that would have a beneficial effect on business continuity if purchased. This will allow us to move quickly if this opportunity occurs."/>
    <x v="0"/>
    <s v="3 months"/>
    <m/>
  </r>
  <r>
    <n v="2"/>
    <s v="Better AI improves failure detection and prevention"/>
    <s v="Advances in Artificial Intelligence may make mechanical failures less likely."/>
    <x v="1"/>
    <x v="1"/>
    <n v="4"/>
    <s v="The pace of change in AI has accelerated recently."/>
    <n v="4"/>
    <s v="One of our biggest problems is determining when a machine is likely to fail."/>
    <n v="16"/>
    <x v="1"/>
    <s v="Subscribe to vendor's newsletters; attend industry events."/>
    <x v="1"/>
    <s v="1 month"/>
    <m/>
  </r>
  <r>
    <n v="3"/>
    <s v="Merger or Acquisition"/>
    <s v="Our organization merges with another that has newer infrastructure and is less prone to failures."/>
    <x v="2"/>
    <x v="2"/>
    <n v="3"/>
    <s v="Several deals are rumoured to be under discussion."/>
    <n v="3"/>
    <s v="There may be better access to tools and skills."/>
    <n v="9"/>
    <x v="2"/>
    <s v="Perform an early assessment of any potential mergers to identify potential benefits."/>
    <x v="2"/>
    <s v="2 weeks"/>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B73F38-B3CF-49EB-BEAD-25D5B14C6658}" name="Pre-treatmentRisksPivot" cacheId="18"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9">
  <location ref="B12:C15" firstHeaderRow="1" firstDataRow="1" firstDataCol="1"/>
  <pivotFields count="2">
    <pivotField axis="axisRow" compact="0" outline="0" showAll="0" defaultSubtotal="0">
      <items count="3">
        <item x="0"/>
        <item x="1"/>
        <item x="2"/>
      </items>
    </pivotField>
    <pivotField dataField="1" compact="0" outline="0" showAll="0" defaultSubtotal="0"/>
  </pivotFields>
  <rowFields count="1">
    <field x="0"/>
  </rowFields>
  <rowItems count="3">
    <i>
      <x/>
    </i>
    <i>
      <x v="1"/>
    </i>
    <i>
      <x v="2"/>
    </i>
  </rowItems>
  <colItems count="1">
    <i/>
  </colItems>
  <dataFields count="1">
    <dataField name="Pre-treatment " fld="1" baseField="0" baseItem="0"/>
  </dataFields>
  <formats count="4">
    <format dxfId="120">
      <pivotArea field="0" type="button" dataOnly="0" labelOnly="1" outline="0" axis="axisRow" fieldPosition="0"/>
    </format>
    <format dxfId="119">
      <pivotArea dataOnly="0" labelOnly="1" outline="0" axis="axisValues" fieldPosition="0"/>
    </format>
    <format dxfId="118">
      <pivotArea field="0" type="button" dataOnly="0" labelOnly="1" outline="0" axis="axisRow" fieldPosition="0"/>
    </format>
    <format dxfId="117">
      <pivotArea dataOnly="0" labelOnly="1" outline="0" axis="axisValues" fieldPosition="0"/>
    </format>
  </formats>
  <chartFormats count="8">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0" count="1" selected="0">
            <x v="0"/>
          </reference>
        </references>
      </pivotArea>
    </chartFormat>
    <chartFormat chart="3" format="10">
      <pivotArea type="data" outline="0" fieldPosition="0">
        <references count="2">
          <reference field="4294967294" count="1" selected="0">
            <x v="0"/>
          </reference>
          <reference field="0" count="1" selected="0">
            <x v="1"/>
          </reference>
        </references>
      </pivotArea>
    </chartFormat>
    <chartFormat chart="3" format="11">
      <pivotArea type="data" outline="0" fieldPosition="0">
        <references count="2">
          <reference field="4294967294" count="1" selected="0">
            <x v="0"/>
          </reference>
          <reference field="0" count="1" selected="0">
            <x v="2"/>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0" count="1" selected="0">
            <x v="0"/>
          </reference>
        </references>
      </pivotArea>
    </chartFormat>
    <chartFormat chart="8" format="10">
      <pivotArea type="data" outline="0" fieldPosition="0">
        <references count="2">
          <reference field="4294967294" count="1" selected="0">
            <x v="0"/>
          </reference>
          <reference field="0" count="1" selected="0">
            <x v="1"/>
          </reference>
        </references>
      </pivotArea>
    </chartFormat>
    <chartFormat chart="8" format="1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5F9BBD-2219-4F60-AA9D-B26015A152B7}" name="Pre-treatmentRiskOwnersPivot" cacheId="15" applyNumberFormats="0" applyBorderFormats="0" applyFontFormats="0" applyPatternFormats="0" applyAlignmentFormats="0" applyWidthHeightFormats="1" dataCaption="Values" updatedVersion="6" minRefreshableVersion="3" showDrill="0" useAutoFormatting="1" rowGrandTotals="0" colGrandTotals="0" itemPrintTitles="1" createdVersion="6" indent="0" compact="0" compactData="0" multipleFieldFilters="0" chartFormat="11">
  <location ref="B6:D12" firstHeaderRow="1" firstDataRow="1" firstDataCol="2"/>
  <pivotFields count="23">
    <pivotField compact="0" outline="0" showAll="0" defaultSubtotal="0"/>
    <pivotField compact="0" outline="0" showAll="0" defaultSubtotal="0"/>
    <pivotField compact="0" outline="0" showAll="0" defaultSubtotal="0"/>
    <pivotField axis="axisRow" compact="0" outline="0" showAll="0" defaultSubtotal="0">
      <items count="3">
        <item x="2"/>
        <item x="0"/>
        <item x="1"/>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dataField="1" compact="0" outline="0" showAll="0" defaultSubtotal="0">
      <items count="3">
        <item x="0"/>
        <item x="2"/>
        <item x="1"/>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2">
    <field x="10"/>
    <field x="3"/>
  </rowFields>
  <rowItems count="6">
    <i>
      <x/>
      <x v="1"/>
    </i>
    <i r="1">
      <x v="2"/>
    </i>
    <i>
      <x v="1"/>
      <x/>
    </i>
    <i r="1">
      <x v="1"/>
    </i>
    <i>
      <x v="2"/>
      <x v="1"/>
    </i>
    <i r="1">
      <x v="2"/>
    </i>
  </rowItems>
  <colItems count="1">
    <i/>
  </colItems>
  <dataFields count="1">
    <dataField name="Count of Risk Level" fld="10" subtotal="count" baseField="0" baseItem="0"/>
  </dataFields>
  <formats count="18">
    <format dxfId="114">
      <pivotArea type="origin" dataOnly="0" labelOnly="1" outline="0" fieldPosition="0"/>
    </format>
    <format dxfId="113">
      <pivotArea field="10" type="button" dataOnly="0" labelOnly="1" outline="0" axis="axisRow" fieldPosition="0"/>
    </format>
    <format dxfId="112">
      <pivotArea type="topRight" dataOnly="0" labelOnly="1" outline="0" fieldPosition="0"/>
    </format>
    <format dxfId="111">
      <pivotArea field="3" type="button" dataOnly="0" labelOnly="1" outline="0" axis="axisRow" fieldPosition="1"/>
    </format>
    <format dxfId="110">
      <pivotArea dataOnly="0" labelOnly="1" outline="0" fieldPosition="0">
        <references count="1">
          <reference field="10" count="0"/>
        </references>
      </pivotArea>
    </format>
    <format dxfId="109">
      <pivotArea dataOnly="0" labelOnly="1" grandCol="1" outline="0" fieldPosition="0"/>
    </format>
    <format dxfId="108">
      <pivotArea type="origin" dataOnly="0" labelOnly="1" outline="0" fieldPosition="0"/>
    </format>
    <format dxfId="107">
      <pivotArea field="10" type="button" dataOnly="0" labelOnly="1" outline="0" axis="axisRow" fieldPosition="0"/>
    </format>
    <format dxfId="106">
      <pivotArea type="topRight" dataOnly="0" labelOnly="1" outline="0" fieldPosition="0"/>
    </format>
    <format dxfId="105">
      <pivotArea field="3" type="button" dataOnly="0" labelOnly="1" outline="0" axis="axisRow" fieldPosition="1"/>
    </format>
    <format dxfId="104">
      <pivotArea dataOnly="0" labelOnly="1" outline="0" fieldPosition="0">
        <references count="1">
          <reference field="10" count="0"/>
        </references>
      </pivotArea>
    </format>
    <format dxfId="103">
      <pivotArea dataOnly="0" labelOnly="1" grandCol="1" outline="0" fieldPosition="0"/>
    </format>
    <format dxfId="102">
      <pivotArea grandRow="1" outline="0" collapsedLevelsAreSubtotals="1" fieldPosition="0"/>
    </format>
    <format dxfId="101">
      <pivotArea dataOnly="0" labelOnly="1" grandRow="1" outline="0" fieldPosition="0"/>
    </format>
    <format dxfId="100">
      <pivotArea grandRow="1" outline="0" collapsedLevelsAreSubtotals="1" fieldPosition="0"/>
    </format>
    <format dxfId="99">
      <pivotArea dataOnly="0" labelOnly="1" grandRow="1" outline="0" fieldPosition="0"/>
    </format>
    <format dxfId="98">
      <pivotArea field="3" type="button" dataOnly="0" labelOnly="1" outline="0" axis="axisRow" fieldPosition="1"/>
    </format>
    <format dxfId="97">
      <pivotArea field="3" type="button" dataOnly="0" labelOnly="1" outline="0" axis="axisRow" fieldPosition="1"/>
    </format>
  </formats>
  <chartFormats count="18">
    <chartFormat chart="2" format="9" series="1">
      <pivotArea type="data" outline="0" fieldPosition="0">
        <references count="1">
          <reference field="4294967294" count="1" selected="0">
            <x v="0"/>
          </reference>
        </references>
      </pivotArea>
    </chartFormat>
    <chartFormat chart="2" format="10" series="1">
      <pivotArea type="data" outline="0" fieldPosition="0">
        <references count="2">
          <reference field="4294967294" count="1" selected="0">
            <x v="0"/>
          </reference>
          <reference field="10" count="1" selected="0">
            <x v="0"/>
          </reference>
        </references>
      </pivotArea>
    </chartFormat>
    <chartFormat chart="2" format="11" series="1">
      <pivotArea type="data" outline="0" fieldPosition="0">
        <references count="2">
          <reference field="4294967294" count="1" selected="0">
            <x v="0"/>
          </reference>
          <reference field="10" count="1" selected="0">
            <x v="1"/>
          </reference>
        </references>
      </pivotArea>
    </chartFormat>
    <chartFormat chart="2" format="12" series="1">
      <pivotArea type="data" outline="0" fieldPosition="0">
        <references count="2">
          <reference field="4294967294" count="1" selected="0">
            <x v="0"/>
          </reference>
          <reference field="10" count="1" selected="0">
            <x v="2"/>
          </reference>
        </references>
      </pivotArea>
    </chartFormat>
    <chartFormat chart="6" format="17" series="1">
      <pivotArea type="data" outline="0" fieldPosition="0">
        <references count="1">
          <reference field="4294967294" count="1" selected="0">
            <x v="0"/>
          </reference>
        </references>
      </pivotArea>
    </chartFormat>
    <chartFormat chart="6" format="18">
      <pivotArea type="data" outline="0" fieldPosition="0">
        <references count="3">
          <reference field="4294967294" count="1" selected="0">
            <x v="0"/>
          </reference>
          <reference field="3" count="1" selected="0">
            <x v="1"/>
          </reference>
          <reference field="10" count="1" selected="0">
            <x v="0"/>
          </reference>
        </references>
      </pivotArea>
    </chartFormat>
    <chartFormat chart="6" format="19">
      <pivotArea type="data" outline="0" fieldPosition="0">
        <references count="3">
          <reference field="4294967294" count="1" selected="0">
            <x v="0"/>
          </reference>
          <reference field="3" count="1" selected="0">
            <x v="2"/>
          </reference>
          <reference field="10" count="1" selected="0">
            <x v="0"/>
          </reference>
        </references>
      </pivotArea>
    </chartFormat>
    <chartFormat chart="6" format="20">
      <pivotArea type="data" outline="0" fieldPosition="0">
        <references count="3">
          <reference field="4294967294" count="1" selected="0">
            <x v="0"/>
          </reference>
          <reference field="3" count="1" selected="0">
            <x v="0"/>
          </reference>
          <reference field="10" count="1" selected="0">
            <x v="1"/>
          </reference>
        </references>
      </pivotArea>
    </chartFormat>
    <chartFormat chart="6" format="21">
      <pivotArea type="data" outline="0" fieldPosition="0">
        <references count="3">
          <reference field="4294967294" count="1" selected="0">
            <x v="0"/>
          </reference>
          <reference field="3" count="1" selected="0">
            <x v="1"/>
          </reference>
          <reference field="10" count="1" selected="0">
            <x v="1"/>
          </reference>
        </references>
      </pivotArea>
    </chartFormat>
    <chartFormat chart="6" format="22">
      <pivotArea type="data" outline="0" fieldPosition="0">
        <references count="3">
          <reference field="4294967294" count="1" selected="0">
            <x v="0"/>
          </reference>
          <reference field="3" count="1" selected="0">
            <x v="1"/>
          </reference>
          <reference field="10" count="1" selected="0">
            <x v="2"/>
          </reference>
        </references>
      </pivotArea>
    </chartFormat>
    <chartFormat chart="6" format="23">
      <pivotArea type="data" outline="0" fieldPosition="0">
        <references count="3">
          <reference field="4294967294" count="1" selected="0">
            <x v="0"/>
          </reference>
          <reference field="3" count="1" selected="0">
            <x v="2"/>
          </reference>
          <reference field="10" count="1" selected="0">
            <x v="2"/>
          </reference>
        </references>
      </pivotArea>
    </chartFormat>
    <chartFormat chart="10" format="45" series="1">
      <pivotArea type="data" outline="0" fieldPosition="0">
        <references count="1">
          <reference field="4294967294" count="1" selected="0">
            <x v="0"/>
          </reference>
        </references>
      </pivotArea>
    </chartFormat>
    <chartFormat chart="10" format="46">
      <pivotArea type="data" outline="0" fieldPosition="0">
        <references count="3">
          <reference field="4294967294" count="1" selected="0">
            <x v="0"/>
          </reference>
          <reference field="3" count="1" selected="0">
            <x v="1"/>
          </reference>
          <reference field="10" count="1" selected="0">
            <x v="0"/>
          </reference>
        </references>
      </pivotArea>
    </chartFormat>
    <chartFormat chart="10" format="47">
      <pivotArea type="data" outline="0" fieldPosition="0">
        <references count="3">
          <reference field="4294967294" count="1" selected="0">
            <x v="0"/>
          </reference>
          <reference field="3" count="1" selected="0">
            <x v="2"/>
          </reference>
          <reference field="10" count="1" selected="0">
            <x v="0"/>
          </reference>
        </references>
      </pivotArea>
    </chartFormat>
    <chartFormat chart="10" format="48">
      <pivotArea type="data" outline="0" fieldPosition="0">
        <references count="3">
          <reference field="4294967294" count="1" selected="0">
            <x v="0"/>
          </reference>
          <reference field="3" count="1" selected="0">
            <x v="0"/>
          </reference>
          <reference field="10" count="1" selected="0">
            <x v="1"/>
          </reference>
        </references>
      </pivotArea>
    </chartFormat>
    <chartFormat chart="10" format="49">
      <pivotArea type="data" outline="0" fieldPosition="0">
        <references count="3">
          <reference field="4294967294" count="1" selected="0">
            <x v="0"/>
          </reference>
          <reference field="3" count="1" selected="0">
            <x v="1"/>
          </reference>
          <reference field="10" count="1" selected="0">
            <x v="1"/>
          </reference>
        </references>
      </pivotArea>
    </chartFormat>
    <chartFormat chart="10" format="50">
      <pivotArea type="data" outline="0" fieldPosition="0">
        <references count="3">
          <reference field="4294967294" count="1" selected="0">
            <x v="0"/>
          </reference>
          <reference field="3" count="1" selected="0">
            <x v="1"/>
          </reference>
          <reference field="10" count="1" selected="0">
            <x v="2"/>
          </reference>
        </references>
      </pivotArea>
    </chartFormat>
    <chartFormat chart="10" format="51">
      <pivotArea type="data" outline="0" fieldPosition="0">
        <references count="3">
          <reference field="4294967294" count="1" selected="0">
            <x v="0"/>
          </reference>
          <reference field="3" count="1" selected="0">
            <x v="2"/>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356A96-C74F-4783-8B21-B557BEB90D30}" name="Post-treatmentRisksPivot" cacheId="17" applyNumberFormats="0" applyBorderFormats="0" applyFontFormats="0" applyPatternFormats="0" applyAlignmentFormats="0" applyWidthHeightFormats="1" dataCaption="Values" updatedVersion="6" minRefreshableVersion="3" showDrill="0" useAutoFormatting="1" rowGrandTotals="0" colGrandTotals="0" itemPrintTitles="1" createdVersion="6" indent="0" compact="0" compactData="0" multipleFieldFilters="0" chartFormat="9">
  <location ref="B12:C15" firstHeaderRow="1" firstDataRow="1" firstDataCol="1"/>
  <pivotFields count="2">
    <pivotField axis="axisRow" compact="0" outline="0" showAll="0" defaultSubtotal="0">
      <items count="3">
        <item x="0"/>
        <item x="1"/>
        <item x="2"/>
      </items>
    </pivotField>
    <pivotField dataField="1" compact="0" outline="0" showAll="0" defaultSubtotal="0"/>
  </pivotFields>
  <rowFields count="1">
    <field x="0"/>
  </rowFields>
  <rowItems count="3">
    <i>
      <x/>
    </i>
    <i>
      <x v="1"/>
    </i>
    <i>
      <x v="2"/>
    </i>
  </rowItems>
  <colItems count="1">
    <i/>
  </colItems>
  <dataFields count="1">
    <dataField name="Post-treatment " fld="1" baseField="0" baseItem="0"/>
  </dataFields>
  <formats count="4">
    <format dxfId="96">
      <pivotArea field="0" type="button" dataOnly="0" labelOnly="1" outline="0" axis="axisRow" fieldPosition="0"/>
    </format>
    <format dxfId="95">
      <pivotArea dataOnly="0" labelOnly="1" outline="0" axis="axisValues" fieldPosition="0"/>
    </format>
    <format dxfId="94">
      <pivotArea field="0" type="button" dataOnly="0" labelOnly="1" outline="0" axis="axisRow" fieldPosition="0"/>
    </format>
    <format dxfId="93">
      <pivotArea dataOnly="0" labelOnly="1" outline="0" axis="axisValues" fieldPosition="0"/>
    </format>
  </formats>
  <chartFormats count="8">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0" count="1" selected="0">
            <x v="0"/>
          </reference>
        </references>
      </pivotArea>
    </chartFormat>
    <chartFormat chart="3" format="10">
      <pivotArea type="data" outline="0" fieldPosition="0">
        <references count="2">
          <reference field="4294967294" count="1" selected="0">
            <x v="0"/>
          </reference>
          <reference field="0" count="1" selected="0">
            <x v="1"/>
          </reference>
        </references>
      </pivotArea>
    </chartFormat>
    <chartFormat chart="3" format="11">
      <pivotArea type="data" outline="0" fieldPosition="0">
        <references count="2">
          <reference field="4294967294" count="1" selected="0">
            <x v="0"/>
          </reference>
          <reference field="0" count="1" selected="0">
            <x v="2"/>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0" count="1" selected="0">
            <x v="0"/>
          </reference>
        </references>
      </pivotArea>
    </chartFormat>
    <chartFormat chart="8" format="10">
      <pivotArea type="data" outline="0" fieldPosition="0">
        <references count="2">
          <reference field="4294967294" count="1" selected="0">
            <x v="0"/>
          </reference>
          <reference field="0" count="1" selected="0">
            <x v="1"/>
          </reference>
        </references>
      </pivotArea>
    </chartFormat>
    <chartFormat chart="8" format="1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8CC7692-2C38-4466-95B5-F6E62A088E49}" name="Pre&amp;PostRisksByLevel" cacheId="16"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10">
  <location ref="B12:D15" firstHeaderRow="0" firstDataRow="1" firstDataCol="1"/>
  <pivotFields count="3">
    <pivotField axis="axisRow" compact="0" outline="0" showAll="0">
      <items count="4">
        <item x="0"/>
        <item x="1"/>
        <item x="2"/>
        <item t="default"/>
      </items>
    </pivotField>
    <pivotField dataField="1" compact="0" outline="0" showAll="0"/>
    <pivotField dataField="1" compact="0" outline="0" showAll="0"/>
  </pivotFields>
  <rowFields count="1">
    <field x="0"/>
  </rowFields>
  <rowItems count="3">
    <i>
      <x/>
    </i>
    <i>
      <x v="1"/>
    </i>
    <i>
      <x v="2"/>
    </i>
  </rowItems>
  <colFields count="1">
    <field x="-2"/>
  </colFields>
  <colItems count="2">
    <i>
      <x/>
    </i>
    <i i="1">
      <x v="1"/>
    </i>
  </colItems>
  <dataFields count="2">
    <dataField name="Pre-treatment " fld="1" baseField="0" baseItem="0"/>
    <dataField name="Post-treatment " fld="2" baseField="0" baseItem="0"/>
  </dataFields>
  <formats count="8">
    <format dxfId="90">
      <pivotArea field="0" type="button" dataOnly="0" labelOnly="1" outline="0" axis="axisRow" fieldPosition="0"/>
    </format>
    <format dxfId="89">
      <pivotArea field="0" type="button" dataOnly="0" labelOnly="1" outline="0" axis="axisRow" fieldPosition="0"/>
    </format>
    <format dxfId="88">
      <pivotArea grandRow="1" outline="0" collapsedLevelsAreSubtotals="1" fieldPosition="0"/>
    </format>
    <format dxfId="87">
      <pivotArea dataOnly="0" labelOnly="1" grandRow="1" outline="0" fieldPosition="0"/>
    </format>
    <format dxfId="86">
      <pivotArea grandRow="1" outline="0" collapsedLevelsAreSubtotals="1" fieldPosition="0"/>
    </format>
    <format dxfId="85">
      <pivotArea dataOnly="0" labelOnly="1" grandRow="1" outline="0" fieldPosition="0"/>
    </format>
    <format dxfId="84">
      <pivotArea dataOnly="0" labelOnly="1" outline="0" fieldPosition="0">
        <references count="1">
          <reference field="4294967294" count="2">
            <x v="0"/>
            <x v="1"/>
          </reference>
        </references>
      </pivotArea>
    </format>
    <format dxfId="83">
      <pivotArea dataOnly="0" labelOnly="1" outline="0" fieldPosition="0">
        <references count="1">
          <reference field="4294967294" count="2">
            <x v="0"/>
            <x v="1"/>
          </reference>
        </references>
      </pivotArea>
    </format>
  </formats>
  <chartFormats count="4">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9" format="12" series="1">
      <pivotArea type="data" outline="0" fieldPosition="0">
        <references count="1">
          <reference field="4294967294" count="1" selected="0">
            <x v="0"/>
          </reference>
        </references>
      </pivotArea>
    </chartFormat>
    <chartFormat chart="9"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D9DBF0D-34D4-4536-9A86-C593CEF5CB76}" name="TreatmentChosen" cacheId="15" applyNumberFormats="0" applyBorderFormats="0" applyFontFormats="0" applyPatternFormats="0" applyAlignmentFormats="0" applyWidthHeightFormats="1" dataCaption="Values" updatedVersion="6" minRefreshableVersion="3" showDrill="0" useAutoFormatting="1" rowGrandTotals="0" colGrandTotals="0" itemPrintTitles="1" createdVersion="6" indent="0" compact="0" compactData="0" multipleFieldFilters="0" chartFormat="10">
  <location ref="B7:C9" firstHeaderRow="1" firstDataRow="1" firstDataCol="1"/>
  <pivotFields count="23">
    <pivotField compact="0" outline="0" showAll="0" defaultSubtotal="0"/>
    <pivotField dataField="1" compact="0"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ubtotalTop="0" showAll="0" defaultSubtotal="0">
      <items count="2">
        <item x="0"/>
        <item x="1"/>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s>
  <rowFields count="1">
    <field x="11"/>
  </rowFields>
  <rowItems count="2">
    <i>
      <x/>
    </i>
    <i>
      <x v="1"/>
    </i>
  </rowItems>
  <colItems count="1">
    <i/>
  </colItems>
  <dataFields count="1">
    <dataField name="Count of Risk Summary" fld="1" subtotal="count" baseField="0" baseItem="0"/>
  </dataFields>
  <formats count="4">
    <format dxfId="79">
      <pivotArea dataOnly="0" labelOnly="1" outline="0" axis="axisValues" fieldPosition="0"/>
    </format>
    <format dxfId="78">
      <pivotArea dataOnly="0" labelOnly="1" outline="0" axis="axisValues" fieldPosition="0"/>
    </format>
    <format dxfId="77">
      <pivotArea field="11" type="button" dataOnly="0" labelOnly="1" outline="0" axis="axisRow" fieldPosition="0"/>
    </format>
    <format dxfId="76">
      <pivotArea field="11" type="button" dataOnly="0" labelOnly="1" outline="0" axis="axisRow" fieldPosition="0"/>
    </format>
  </formats>
  <chartFormats count="6">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1" count="1" selected="0">
            <x v="0"/>
          </reference>
        </references>
      </pivotArea>
    </chartFormat>
    <chartFormat chart="5" format="8">
      <pivotArea type="data" outline="0" fieldPosition="0">
        <references count="2">
          <reference field="4294967294" count="1" selected="0">
            <x v="0"/>
          </reference>
          <reference field="11" count="1" selected="0">
            <x v="1"/>
          </reference>
        </references>
      </pivotArea>
    </chartFormat>
    <chartFormat chart="9" format="18" series="1">
      <pivotArea type="data" outline="0" fieldPosition="0">
        <references count="1">
          <reference field="4294967294" count="1" selected="0">
            <x v="0"/>
          </reference>
        </references>
      </pivotArea>
    </chartFormat>
    <chartFormat chart="9" format="19">
      <pivotArea type="data" outline="0" fieldPosition="0">
        <references count="2">
          <reference field="4294967294" count="1" selected="0">
            <x v="0"/>
          </reference>
          <reference field="11" count="1" selected="0">
            <x v="0"/>
          </reference>
        </references>
      </pivotArea>
    </chartFormat>
    <chartFormat chart="9" format="20">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B5CBDF1-060B-45F9-9380-E8F7C57660FD}" name="TreatmentCosts" cacheId="15"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11">
  <location ref="B7:C10" firstHeaderRow="1" firstDataRow="1" firstDataCol="1"/>
  <pivotFields count="23">
    <pivotField compact="0" outline="0" showAll="0" defaultSubtotal="0"/>
    <pivotField compact="0"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3">
        <item x="0"/>
        <item x="2"/>
        <item x="1"/>
      </items>
    </pivotField>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s>
  <rowFields count="1">
    <field x="10"/>
  </rowFields>
  <rowItems count="3">
    <i>
      <x/>
    </i>
    <i>
      <x v="1"/>
    </i>
    <i>
      <x v="2"/>
    </i>
  </rowItems>
  <colItems count="1">
    <i/>
  </colItems>
  <dataFields count="1">
    <dataField name="Sum of Treatment Cost" fld="13" baseField="10" baseItem="1" numFmtId="3"/>
  </dataFields>
  <formats count="5">
    <format dxfId="75">
      <pivotArea field="10" type="button" dataOnly="0" labelOnly="1" outline="0" axis="axisRow" fieldPosition="0"/>
    </format>
    <format dxfId="74">
      <pivotArea dataOnly="0" labelOnly="1" outline="0" axis="axisValues" fieldPosition="0"/>
    </format>
    <format dxfId="73">
      <pivotArea field="10" type="button" dataOnly="0" labelOnly="1" outline="0" axis="axisRow" fieldPosition="0"/>
    </format>
    <format dxfId="72">
      <pivotArea dataOnly="0" labelOnly="1" outline="0" axis="axisValues" fieldPosition="0"/>
    </format>
    <format dxfId="71">
      <pivotArea outline="0" fieldPosition="0">
        <references count="1">
          <reference field="4294967294" count="1">
            <x v="0"/>
          </reference>
        </references>
      </pivotArea>
    </format>
  </formats>
  <chartFormats count="8">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0" count="1" selected="0">
            <x v="0"/>
          </reference>
        </references>
      </pivotArea>
    </chartFormat>
    <chartFormat chart="5" format="10">
      <pivotArea type="data" outline="0" fieldPosition="0">
        <references count="2">
          <reference field="4294967294" count="1" selected="0">
            <x v="0"/>
          </reference>
          <reference field="10" count="1" selected="0">
            <x v="1"/>
          </reference>
        </references>
      </pivotArea>
    </chartFormat>
    <chartFormat chart="5" format="11">
      <pivotArea type="data" outline="0" fieldPosition="0">
        <references count="2">
          <reference field="4294967294" count="1" selected="0">
            <x v="0"/>
          </reference>
          <reference field="10" count="1" selected="0">
            <x v="2"/>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10" count="1" selected="0">
            <x v="0"/>
          </reference>
        </references>
      </pivotArea>
    </chartFormat>
    <chartFormat chart="10" format="10">
      <pivotArea type="data" outline="0" fieldPosition="0">
        <references count="2">
          <reference field="4294967294" count="1" selected="0">
            <x v="0"/>
          </reference>
          <reference field="10" count="1" selected="0">
            <x v="1"/>
          </reference>
        </references>
      </pivotArea>
    </chartFormat>
    <chartFormat chart="10" format="1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A19C0FA-C44B-4B9B-A088-C2EFA6AD906B}" name="TreatmentActionOwner" cacheId="15" applyNumberFormats="0" applyBorderFormats="0" applyFontFormats="0" applyPatternFormats="0" applyAlignmentFormats="0" applyWidthHeightFormats="1" dataCaption="Values" updatedVersion="6" minRefreshableVersion="3" showDrill="0" useAutoFormatting="1" rowGrandTotals="0" colGrandTotals="0" itemPrintTitles="1" createdVersion="6" indent="0" compact="0" compactData="0" multipleFieldFilters="0" chartFormat="8">
  <location ref="B6:E12" firstHeaderRow="1" firstDataRow="2" firstDataCol="1"/>
  <pivotFields count="23">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3">
        <item x="0"/>
        <item x="2"/>
        <item x="1"/>
      </items>
    </pivotField>
    <pivotField compact="0" outline="0" showAll="0" defaultSubtotal="0"/>
    <pivotField compact="0" outline="0" showAll="0" defaultSubtotal="0"/>
    <pivotField compact="0" outline="0" showAll="0" defaultSubtotal="0"/>
    <pivotField axis="axisRow" dataField="1" compact="0" outline="0" showAll="0" defaultSubtotal="0">
      <items count="5">
        <item x="1"/>
        <item x="3"/>
        <item x="2"/>
        <item x="4"/>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14"/>
  </rowFields>
  <rowItems count="5">
    <i>
      <x/>
    </i>
    <i>
      <x v="1"/>
    </i>
    <i>
      <x v="2"/>
    </i>
    <i>
      <x v="3"/>
    </i>
    <i>
      <x v="4"/>
    </i>
  </rowItems>
  <colFields count="1">
    <field x="10"/>
  </colFields>
  <colItems count="3">
    <i>
      <x/>
    </i>
    <i>
      <x v="1"/>
    </i>
    <i>
      <x v="2"/>
    </i>
  </colItems>
  <dataFields count="1">
    <dataField name="Count of Treatment Action Owner" fld="14" subtotal="count" baseField="0" baseItem="0"/>
  </dataFields>
  <formats count="10">
    <format dxfId="70">
      <pivotArea type="origin" dataOnly="0" labelOnly="1" outline="0" fieldPosition="0"/>
    </format>
    <format dxfId="69">
      <pivotArea field="10" type="button" dataOnly="0" labelOnly="1" outline="0" axis="axisCol" fieldPosition="0"/>
    </format>
    <format dxfId="68">
      <pivotArea type="topRight" dataOnly="0" labelOnly="1" outline="0" fieldPosition="0"/>
    </format>
    <format dxfId="67">
      <pivotArea field="14" type="button" dataOnly="0" labelOnly="1" outline="0" axis="axisRow" fieldPosition="0"/>
    </format>
    <format dxfId="66">
      <pivotArea dataOnly="0" labelOnly="1" outline="0" fieldPosition="0">
        <references count="1">
          <reference field="10" count="0"/>
        </references>
      </pivotArea>
    </format>
    <format dxfId="65">
      <pivotArea type="origin" dataOnly="0" labelOnly="1" outline="0" fieldPosition="0"/>
    </format>
    <format dxfId="64">
      <pivotArea field="10" type="button" dataOnly="0" labelOnly="1" outline="0" axis="axisCol" fieldPosition="0"/>
    </format>
    <format dxfId="63">
      <pivotArea type="topRight" dataOnly="0" labelOnly="1" outline="0" fieldPosition="0"/>
    </format>
    <format dxfId="62">
      <pivotArea field="14" type="button" dataOnly="0" labelOnly="1" outline="0" axis="axisRow" fieldPosition="0"/>
    </format>
    <format dxfId="61">
      <pivotArea dataOnly="0" labelOnly="1" outline="0" fieldPosition="0">
        <references count="1">
          <reference field="10" count="0"/>
        </references>
      </pivotArea>
    </format>
  </formats>
  <chartFormats count="9">
    <chartFormat chart="2" format="6" series="1">
      <pivotArea type="data" outline="0" fieldPosition="0">
        <references count="2">
          <reference field="4294967294" count="1" selected="0">
            <x v="0"/>
          </reference>
          <reference field="10" count="1" selected="0">
            <x v="0"/>
          </reference>
        </references>
      </pivotArea>
    </chartFormat>
    <chartFormat chart="2" format="7" series="1">
      <pivotArea type="data" outline="0" fieldPosition="0">
        <references count="2">
          <reference field="4294967294" count="1" selected="0">
            <x v="0"/>
          </reference>
          <reference field="10" count="1" selected="0">
            <x v="1"/>
          </reference>
        </references>
      </pivotArea>
    </chartFormat>
    <chartFormat chart="2" format="8" series="1">
      <pivotArea type="data" outline="0" fieldPosition="0">
        <references count="2">
          <reference field="4294967294" count="1" selected="0">
            <x v="0"/>
          </reference>
          <reference field="10" count="1" selected="0">
            <x v="2"/>
          </reference>
        </references>
      </pivotArea>
    </chartFormat>
    <chartFormat chart="6" format="3" series="1">
      <pivotArea type="data" outline="0" fieldPosition="0">
        <references count="2">
          <reference field="4294967294" count="1" selected="0">
            <x v="0"/>
          </reference>
          <reference field="10" count="1" selected="0">
            <x v="0"/>
          </reference>
        </references>
      </pivotArea>
    </chartFormat>
    <chartFormat chart="6" format="4" series="1">
      <pivotArea type="data" outline="0" fieldPosition="0">
        <references count="2">
          <reference field="4294967294" count="1" selected="0">
            <x v="0"/>
          </reference>
          <reference field="10" count="1" selected="0">
            <x v="1"/>
          </reference>
        </references>
      </pivotArea>
    </chartFormat>
    <chartFormat chart="6" format="5" series="1">
      <pivotArea type="data" outline="0" fieldPosition="0">
        <references count="2">
          <reference field="4294967294" count="1" selected="0">
            <x v="0"/>
          </reference>
          <reference field="10" count="1" selected="0">
            <x v="2"/>
          </reference>
        </references>
      </pivotArea>
    </chartFormat>
    <chartFormat chart="7" format="6" series="1">
      <pivotArea type="data" outline="0" fieldPosition="0">
        <references count="2">
          <reference field="4294967294" count="1" selected="0">
            <x v="0"/>
          </reference>
          <reference field="10" count="1" selected="0">
            <x v="0"/>
          </reference>
        </references>
      </pivotArea>
    </chartFormat>
    <chartFormat chart="7" format="7" series="1">
      <pivotArea type="data" outline="0" fieldPosition="0">
        <references count="2">
          <reference field="4294967294" count="1" selected="0">
            <x v="0"/>
          </reference>
          <reference field="10" count="1" selected="0">
            <x v="1"/>
          </reference>
        </references>
      </pivotArea>
    </chartFormat>
    <chartFormat chart="7"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B21E587-AC28-4A6F-AE49-2159AC5D8AEE}" name="OppsByLevel" cacheId="19"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3">
  <location ref="B6:C9" firstHeaderRow="1" firstDataRow="1" firstDataCol="1"/>
  <pivotFields count="15">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dataField="1" compact="0" outline="0" showAll="0" defaultSubtotal="0">
      <items count="3">
        <item x="2"/>
        <item x="1"/>
        <item x="0"/>
      </items>
    </pivotField>
    <pivotField compact="0" outline="0" showAll="0" defaultSubtotal="0"/>
    <pivotField compact="0" outline="0" showAll="0" defaultSubtotal="0"/>
    <pivotField compact="0" outline="0" showAll="0" defaultSubtotal="0"/>
    <pivotField compact="0" outline="0" showAll="0" defaultSubtotal="0"/>
  </pivotFields>
  <rowFields count="1">
    <field x="10"/>
  </rowFields>
  <rowItems count="3">
    <i>
      <x/>
    </i>
    <i>
      <x v="1"/>
    </i>
    <i>
      <x v="2"/>
    </i>
  </rowItems>
  <colItems count="1">
    <i/>
  </colItems>
  <dataFields count="1">
    <dataField name="Count of OPP LEVEL" fld="10" subtotal="count" baseField="0" baseItem="0"/>
  </dataFields>
  <formats count="4">
    <format dxfId="60">
      <pivotArea field="10" type="button" dataOnly="0" labelOnly="1" outline="0" axis="axisRow" fieldPosition="0"/>
    </format>
    <format dxfId="59">
      <pivotArea dataOnly="0" labelOnly="1" outline="0" axis="axisValues" fieldPosition="0"/>
    </format>
    <format dxfId="58">
      <pivotArea field="10" type="button" dataOnly="0" labelOnly="1" outline="0" axis="axisRow" fieldPosition="0"/>
    </format>
    <format dxfId="57">
      <pivotArea dataOnly="0" labelOnly="1" outline="0" axis="axisValues" fieldPosition="0"/>
    </format>
  </formats>
  <chartFormats count="4">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10" count="1" selected="0">
            <x v="0"/>
          </reference>
        </references>
      </pivotArea>
    </chartFormat>
    <chartFormat chart="2" format="11">
      <pivotArea type="data" outline="0" fieldPosition="0">
        <references count="2">
          <reference field="4294967294" count="1" selected="0">
            <x v="0"/>
          </reference>
          <reference field="10" count="1" selected="0">
            <x v="1"/>
          </reference>
        </references>
      </pivotArea>
    </chartFormat>
    <chartFormat chart="2" format="12">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A5E0185-EA72-49D2-AACA-8E9F0CD3EB29}" name="PivotTable7" cacheId="19" applyNumberFormats="0" applyBorderFormats="0" applyFontFormats="0" applyPatternFormats="0" applyAlignmentFormats="0" applyWidthHeightFormats="1" dataCaption="Values" updatedVersion="6" minRefreshableVersion="3" showDrill="0" useAutoFormatting="1" rowGrandTotals="0" colGrandTotals="0" itemPrintTitles="1" createdVersion="6" indent="0" compact="0" compactData="0" multipleFieldFilters="0" chartFormat="8">
  <location ref="B6:D9" firstHeaderRow="1" firstDataRow="1" firstDataCol="2"/>
  <pivotFields count="15">
    <pivotField dataField="1" compact="0" outline="0" showAll="0" defaultSubtotal="0"/>
    <pivotField compact="0" outline="0" showAll="0" defaultSubtotal="0"/>
    <pivotField compact="0" outline="0" showAll="0" defaultSubtotal="0"/>
    <pivotField axis="axisRow" compact="0" outline="0" showAll="0" defaultSubtotal="0">
      <items count="3">
        <item x="0"/>
        <item x="2"/>
        <item x="1"/>
      </items>
    </pivotField>
    <pivotField compact="0" outline="0" showAll="0" defaultSubtotal="0">
      <items count="3">
        <item x="0"/>
        <item x="2"/>
        <item x="1"/>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3">
        <item x="1"/>
        <item x="2"/>
        <item x="0"/>
      </items>
    </pivotField>
    <pivotField compact="0" outline="0" showAll="0" defaultSubtotal="0"/>
    <pivotField compact="0" outline="0" showAll="0" defaultSubtotal="0"/>
    <pivotField compact="0" outline="0" showAll="0" defaultSubtotal="0"/>
    <pivotField compact="0" outline="0" showAll="0" defaultSubtotal="0"/>
  </pivotFields>
  <rowFields count="2">
    <field x="3"/>
    <field x="10"/>
  </rowFields>
  <rowItems count="3">
    <i>
      <x/>
      <x v="2"/>
    </i>
    <i>
      <x v="1"/>
      <x v="1"/>
    </i>
    <i>
      <x v="2"/>
      <x/>
    </i>
  </rowItems>
  <colItems count="1">
    <i/>
  </colItems>
  <dataFields count="1">
    <dataField name="Count of REF" fld="0" subtotal="count" baseField="3" baseItem="0"/>
  </dataFields>
  <formats count="31">
    <format dxfId="56">
      <pivotArea type="origin" dataOnly="0" labelOnly="1" outline="0" fieldPosition="0"/>
    </format>
    <format dxfId="55">
      <pivotArea field="10" type="button" dataOnly="0" labelOnly="1" outline="0" axis="axisRow" fieldPosition="1"/>
    </format>
    <format dxfId="54">
      <pivotArea type="topRight" dataOnly="0" labelOnly="1" outline="0" fieldPosition="0"/>
    </format>
    <format dxfId="53">
      <pivotArea field="4" type="button" dataOnly="0" labelOnly="1" outline="0"/>
    </format>
    <format dxfId="52">
      <pivotArea dataOnly="0" labelOnly="1" outline="0" fieldPosition="0">
        <references count="1">
          <reference field="10" count="0"/>
        </references>
      </pivotArea>
    </format>
    <format dxfId="51">
      <pivotArea type="origin" dataOnly="0" labelOnly="1" outline="0" fieldPosition="0"/>
    </format>
    <format dxfId="50">
      <pivotArea type="topRight" dataOnly="0" labelOnly="1" outline="0" fieldPosition="0"/>
    </format>
    <format dxfId="49">
      <pivotArea field="4" type="button" dataOnly="0" labelOnly="1" outline="0"/>
    </format>
    <format dxfId="48">
      <pivotArea dataOnly="0" labelOnly="1" outline="0" fieldPosition="0">
        <references count="1">
          <reference field="10" count="0"/>
        </references>
      </pivotArea>
    </format>
    <format dxfId="47">
      <pivotArea field="3" type="button" dataOnly="0" labelOnly="1" outline="0" axis="axisRow" fieldPosition="0"/>
    </format>
    <format dxfId="46">
      <pivotArea type="all" dataOnly="0" outline="0" fieldPosition="0"/>
    </format>
    <format dxfId="45">
      <pivotArea outline="0" collapsedLevelsAreSubtotals="1" fieldPosition="0"/>
    </format>
    <format dxfId="44">
      <pivotArea field="3" type="button" dataOnly="0" labelOnly="1" outline="0" axis="axisRow" fieldPosition="0"/>
    </format>
    <format dxfId="43">
      <pivotArea field="10" type="button" dataOnly="0" labelOnly="1" outline="0" axis="axisRow" fieldPosition="1"/>
    </format>
    <format dxfId="42">
      <pivotArea dataOnly="0" labelOnly="1" outline="0" fieldPosition="0">
        <references count="1">
          <reference field="3" count="0"/>
        </references>
      </pivotArea>
    </format>
    <format dxfId="41">
      <pivotArea dataOnly="0" labelOnly="1" outline="0" fieldPosition="0">
        <references count="2">
          <reference field="3" count="1" selected="0">
            <x v="0"/>
          </reference>
          <reference field="10" count="1">
            <x v="1"/>
          </reference>
        </references>
      </pivotArea>
    </format>
    <format dxfId="40">
      <pivotArea dataOnly="0" labelOnly="1" outline="0" fieldPosition="0">
        <references count="2">
          <reference field="3" count="1" selected="0">
            <x v="1"/>
          </reference>
          <reference field="10" count="1">
            <x v="1"/>
          </reference>
        </references>
      </pivotArea>
    </format>
    <format dxfId="39">
      <pivotArea dataOnly="0" labelOnly="1" outline="0" fieldPosition="0">
        <references count="2">
          <reference field="3" count="1" selected="0">
            <x v="2"/>
          </reference>
          <reference field="10" count="1">
            <x v="0"/>
          </reference>
        </references>
      </pivotArea>
    </format>
    <format dxfId="38">
      <pivotArea dataOnly="0" labelOnly="1" outline="0" axis="axisValues" fieldPosition="0"/>
    </format>
    <format dxfId="37">
      <pivotArea type="all" dataOnly="0" outline="0" fieldPosition="0"/>
    </format>
    <format dxfId="36">
      <pivotArea outline="0" collapsedLevelsAreSubtotals="1" fieldPosition="0"/>
    </format>
    <format dxfId="35">
      <pivotArea dataOnly="0" labelOnly="1" outline="0" fieldPosition="0">
        <references count="1">
          <reference field="3" count="0"/>
        </references>
      </pivotArea>
    </format>
    <format dxfId="34">
      <pivotArea dataOnly="0" labelOnly="1" outline="0" fieldPosition="0">
        <references count="2">
          <reference field="3" count="1" selected="0">
            <x v="0"/>
          </reference>
          <reference field="10" count="1">
            <x v="1"/>
          </reference>
        </references>
      </pivotArea>
    </format>
    <format dxfId="33">
      <pivotArea dataOnly="0" labelOnly="1" outline="0" fieldPosition="0">
        <references count="2">
          <reference field="3" count="1" selected="0">
            <x v="1"/>
          </reference>
          <reference field="10" count="1">
            <x v="1"/>
          </reference>
        </references>
      </pivotArea>
    </format>
    <format dxfId="32">
      <pivotArea dataOnly="0" labelOnly="1" outline="0" fieldPosition="0">
        <references count="2">
          <reference field="3" count="1" selected="0">
            <x v="2"/>
          </reference>
          <reference field="10" count="1">
            <x v="0"/>
          </reference>
        </references>
      </pivotArea>
    </format>
    <format dxfId="31">
      <pivotArea field="3" type="button" dataOnly="0" labelOnly="1" outline="0" axis="axisRow" fieldPosition="0"/>
    </format>
    <format dxfId="30">
      <pivotArea field="10" type="button" dataOnly="0" labelOnly="1" outline="0" axis="axisRow" fieldPosition="1"/>
    </format>
    <format dxfId="29">
      <pivotArea dataOnly="0" labelOnly="1" outline="0" axis="axisValues" fieldPosition="0"/>
    </format>
    <format dxfId="28">
      <pivotArea field="3" type="button" dataOnly="0" labelOnly="1" outline="0" axis="axisRow" fieldPosition="0"/>
    </format>
    <format dxfId="27">
      <pivotArea field="10" type="button" dataOnly="0" labelOnly="1" outline="0" axis="axisRow" fieldPosition="1"/>
    </format>
    <format dxfId="26">
      <pivotArea dataOnly="0" labelOnly="1" outline="0" axis="axisValues" fieldPosition="0"/>
    </format>
  </formats>
  <chartFormats count="6">
    <chartFormat chart="3" format="8"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3" count="1" selected="0">
            <x v="2"/>
          </reference>
        </references>
      </pivotArea>
    </chartFormat>
    <chartFormat chart="7" format="24" series="1">
      <pivotArea type="data" outline="0" fieldPosition="0">
        <references count="1">
          <reference field="4294967294" count="1" selected="0">
            <x v="0"/>
          </reference>
        </references>
      </pivotArea>
    </chartFormat>
    <chartFormat chart="7" format="25">
      <pivotArea type="data" outline="0" fieldPosition="0">
        <references count="3">
          <reference field="4294967294" count="1" selected="0">
            <x v="0"/>
          </reference>
          <reference field="3" count="1" selected="0">
            <x v="0"/>
          </reference>
          <reference field="10" count="1" selected="0">
            <x v="2"/>
          </reference>
        </references>
      </pivotArea>
    </chartFormat>
    <chartFormat chart="7" format="26">
      <pivotArea type="data" outline="0" fieldPosition="0">
        <references count="3">
          <reference field="4294967294" count="1" selected="0">
            <x v="0"/>
          </reference>
          <reference field="3" count="1" selected="0">
            <x v="1"/>
          </reference>
          <reference field="10" count="1" selected="0">
            <x v="1"/>
          </reference>
        </references>
      </pivotArea>
    </chartFormat>
    <chartFormat chart="7" format="27">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6C106C3-6D8D-495C-9F91-6891519411A9}" name="OppLevelsbyOppOwner" cacheId="19" applyNumberFormats="0" applyBorderFormats="0" applyFontFormats="0" applyPatternFormats="0" applyAlignmentFormats="0" applyWidthHeightFormats="1" dataCaption="Values" updatedVersion="6" minRefreshableVersion="3" showDrill="0" useAutoFormatting="1" rowGrandTotals="0" colGrandTotals="0" itemPrintTitles="1" createdVersion="6" indent="0" compact="0" compactData="0" multipleFieldFilters="0" chartFormat="7">
  <location ref="B6:D9" firstHeaderRow="1" firstDataRow="1" firstDataCol="2"/>
  <pivotFields count="15">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3">
        <item x="0"/>
        <item x="2"/>
        <item x="1"/>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dataField="1" compact="0" outline="0" showAll="0" defaultSubtotal="0">
      <items count="3">
        <item x="1"/>
        <item x="2"/>
        <item x="0"/>
      </items>
    </pivotField>
    <pivotField compact="0" outline="0" showAll="0" defaultSubtotal="0"/>
    <pivotField compact="0" outline="0" showAll="0" defaultSubtotal="0"/>
    <pivotField compact="0" outline="0" showAll="0" defaultSubtotal="0"/>
    <pivotField compact="0" outline="0" showAll="0" defaultSubtotal="0"/>
  </pivotFields>
  <rowFields count="2">
    <field x="4"/>
    <field x="10"/>
  </rowFields>
  <rowItems count="3">
    <i>
      <x/>
      <x v="2"/>
    </i>
    <i>
      <x v="1"/>
      <x v="1"/>
    </i>
    <i>
      <x v="2"/>
      <x/>
    </i>
  </rowItems>
  <colItems count="1">
    <i/>
  </colItems>
  <dataFields count="1">
    <dataField name="Count of OPP LEVEL" fld="10" subtotal="count" baseField="0" baseItem="0"/>
  </dataFields>
  <formats count="10">
    <format dxfId="25">
      <pivotArea type="origin" dataOnly="0" labelOnly="1" outline="0" fieldPosition="0"/>
    </format>
    <format dxfId="24">
      <pivotArea field="10" type="button" dataOnly="0" labelOnly="1" outline="0" axis="axisRow" fieldPosition="1"/>
    </format>
    <format dxfId="23">
      <pivotArea type="topRight" dataOnly="0" labelOnly="1" outline="0" fieldPosition="0"/>
    </format>
    <format dxfId="22">
      <pivotArea field="4" type="button" dataOnly="0" labelOnly="1" outline="0" axis="axisRow" fieldPosition="0"/>
    </format>
    <format dxfId="21">
      <pivotArea dataOnly="0" labelOnly="1" outline="0" fieldPosition="0">
        <references count="1">
          <reference field="10" count="0"/>
        </references>
      </pivotArea>
    </format>
    <format dxfId="20">
      <pivotArea type="origin" dataOnly="0" labelOnly="1" outline="0" fieldPosition="0"/>
    </format>
    <format dxfId="19">
      <pivotArea field="10" type="button" dataOnly="0" labelOnly="1" outline="0" axis="axisRow" fieldPosition="1"/>
    </format>
    <format dxfId="18">
      <pivotArea type="topRight" dataOnly="0" labelOnly="1" outline="0" fieldPosition="0"/>
    </format>
    <format dxfId="17">
      <pivotArea field="4" type="button" dataOnly="0" labelOnly="1" outline="0" axis="axisRow" fieldPosition="0"/>
    </format>
    <format dxfId="16">
      <pivotArea dataOnly="0" labelOnly="1" outline="0" fieldPosition="0">
        <references count="1">
          <reference field="10" count="0"/>
        </references>
      </pivotArea>
    </format>
  </formats>
  <chartFormats count="6">
    <chartFormat chart="2" format="6" series="1">
      <pivotArea type="data" outline="0" fieldPosition="0">
        <references count="2">
          <reference field="4294967294" count="1" selected="0">
            <x v="0"/>
          </reference>
          <reference field="10" count="1" selected="0">
            <x v="0"/>
          </reference>
        </references>
      </pivotArea>
    </chartFormat>
    <chartFormat chart="2" format="8" series="1">
      <pivotArea type="data" outline="0" fieldPosition="0">
        <references count="2">
          <reference field="4294967294" count="1" selected="0">
            <x v="0"/>
          </reference>
          <reference field="10" count="1" selected="0">
            <x v="1"/>
          </reference>
        </references>
      </pivotArea>
    </chartFormat>
    <chartFormat chart="6" format="22" series="1">
      <pivotArea type="data" outline="0" fieldPosition="0">
        <references count="1">
          <reference field="4294967294" count="1" selected="0">
            <x v="0"/>
          </reference>
        </references>
      </pivotArea>
    </chartFormat>
    <chartFormat chart="6" format="23">
      <pivotArea type="data" outline="0" fieldPosition="0">
        <references count="3">
          <reference field="4294967294" count="1" selected="0">
            <x v="0"/>
          </reference>
          <reference field="4" count="1" selected="0">
            <x v="0"/>
          </reference>
          <reference field="10" count="1" selected="0">
            <x v="2"/>
          </reference>
        </references>
      </pivotArea>
    </chartFormat>
    <chartFormat chart="6" format="24">
      <pivotArea type="data" outline="0" fieldPosition="0">
        <references count="3">
          <reference field="4294967294" count="1" selected="0">
            <x v="0"/>
          </reference>
          <reference field="4" count="1" selected="0">
            <x v="1"/>
          </reference>
          <reference field="10" count="1" selected="0">
            <x v="1"/>
          </reference>
        </references>
      </pivotArea>
    </chartFormat>
    <chartFormat chart="6" format="25">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E63CC3D-6C72-4A85-A670-F2F727C2666D}" name="PivotTable8" cacheId="19" applyNumberFormats="0" applyBorderFormats="0" applyFontFormats="0" applyPatternFormats="0" applyAlignmentFormats="0" applyWidthHeightFormats="1" dataCaption="Values" updatedVersion="6" minRefreshableVersion="3" showDrill="0" useAutoFormatting="1" rowGrandTotals="0" colGrandTotals="0" itemPrintTitles="1" createdVersion="6" indent="0" compact="0" compactData="0" multipleFieldFilters="0" chartFormat="9">
  <location ref="B6:D9" firstHeaderRow="1" firstDataRow="1" firstDataCol="2"/>
  <pivotFields count="15">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items count="3">
        <item x="0"/>
        <item x="2"/>
        <item x="1"/>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3">
        <item x="1"/>
        <item x="2"/>
        <item x="0"/>
      </items>
    </pivotField>
    <pivotField compact="0" outline="0" showAll="0" defaultSubtotal="0"/>
    <pivotField axis="axisRow" compact="0" outline="0" showAll="0" defaultSubtotal="0">
      <items count="3">
        <item x="0"/>
        <item x="2"/>
        <item x="1"/>
      </items>
    </pivotField>
    <pivotField compact="0" outline="0" showAll="0" defaultSubtotal="0"/>
    <pivotField compact="0" outline="0" showAll="0" defaultSubtotal="0"/>
  </pivotFields>
  <rowFields count="2">
    <field x="12"/>
    <field x="10"/>
  </rowFields>
  <rowItems count="3">
    <i>
      <x/>
      <x v="2"/>
    </i>
    <i>
      <x v="1"/>
      <x v="1"/>
    </i>
    <i>
      <x v="2"/>
      <x/>
    </i>
  </rowItems>
  <colItems count="1">
    <i/>
  </colItems>
  <dataFields count="1">
    <dataField name="Count of REF" fld="0" subtotal="count" baseField="12" baseItem="0"/>
  </dataFields>
  <formats count="12">
    <format dxfId="15">
      <pivotArea type="origin" dataOnly="0" labelOnly="1" outline="0" fieldPosition="0"/>
    </format>
    <format dxfId="14">
      <pivotArea field="10" type="button" dataOnly="0" labelOnly="1" outline="0" axis="axisRow" fieldPosition="1"/>
    </format>
    <format dxfId="13">
      <pivotArea type="topRight" dataOnly="0" labelOnly="1" outline="0" fieldPosition="0"/>
    </format>
    <format dxfId="12">
      <pivotArea field="4" type="button" dataOnly="0" labelOnly="1" outline="0"/>
    </format>
    <format dxfId="11">
      <pivotArea type="origin" dataOnly="0" labelOnly="1" outline="0" fieldPosition="0"/>
    </format>
    <format dxfId="10">
      <pivotArea field="10" type="button" dataOnly="0" labelOnly="1" outline="0" axis="axisRow" fieldPosition="1"/>
    </format>
    <format dxfId="9">
      <pivotArea type="topRight" dataOnly="0" labelOnly="1" outline="0" fieldPosition="0"/>
    </format>
    <format dxfId="8">
      <pivotArea field="4" type="button" dataOnly="0" labelOnly="1" outline="0"/>
    </format>
    <format dxfId="7">
      <pivotArea field="12" type="button" dataOnly="0" labelOnly="1" outline="0" axis="axisRow" fieldPosition="0"/>
    </format>
    <format dxfId="6">
      <pivotArea dataOnly="0" labelOnly="1" outline="0" fieldPosition="0">
        <references count="1">
          <reference field="10" count="0"/>
        </references>
      </pivotArea>
    </format>
    <format dxfId="5">
      <pivotArea field="12" type="button" dataOnly="0" labelOnly="1" outline="0" axis="axisRow" fieldPosition="0"/>
    </format>
    <format dxfId="4">
      <pivotArea dataOnly="0" labelOnly="1" outline="0" fieldPosition="0">
        <references count="1">
          <reference field="10" count="0"/>
        </references>
      </pivotArea>
    </format>
  </formats>
  <chartFormats count="12">
    <chartFormat chart="2" format="3" series="1">
      <pivotArea type="data" outline="0" fieldPosition="0">
        <references count="2">
          <reference field="4294967294" count="1" selected="0">
            <x v="0"/>
          </reference>
          <reference field="10" count="1" selected="0">
            <x v="0"/>
          </reference>
        </references>
      </pivotArea>
    </chartFormat>
    <chartFormat chart="2" format="5" series="1">
      <pivotArea type="data" outline="0" fieldPosition="0">
        <references count="2">
          <reference field="4294967294" count="1" selected="0">
            <x v="0"/>
          </reference>
          <reference field="10" count="1" selected="0">
            <x v="1"/>
          </reference>
        </references>
      </pivotArea>
    </chartFormat>
    <chartFormat chart="3" format="6" series="1">
      <pivotArea type="data" outline="0" fieldPosition="0">
        <references count="2">
          <reference field="4294967294" count="1" selected="0">
            <x v="0"/>
          </reference>
          <reference field="10" count="1" selected="0">
            <x v="0"/>
          </reference>
        </references>
      </pivotArea>
    </chartFormat>
    <chartFormat chart="3" format="8" series="1">
      <pivotArea type="data" outline="0" fieldPosition="0">
        <references count="2">
          <reference field="4294967294" count="1" selected="0">
            <x v="0"/>
          </reference>
          <reference field="10"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3">
          <reference field="4294967294" count="1" selected="0">
            <x v="0"/>
          </reference>
          <reference field="10" count="1" selected="0">
            <x v="2"/>
          </reference>
          <reference field="12" count="1" selected="0">
            <x v="0"/>
          </reference>
        </references>
      </pivotArea>
    </chartFormat>
    <chartFormat chart="7" format="6">
      <pivotArea type="data" outline="0" fieldPosition="0">
        <references count="3">
          <reference field="4294967294" count="1" selected="0">
            <x v="0"/>
          </reference>
          <reference field="10" count="1" selected="0">
            <x v="1"/>
          </reference>
          <reference field="12" count="1" selected="0">
            <x v="1"/>
          </reference>
        </references>
      </pivotArea>
    </chartFormat>
    <chartFormat chart="7" format="7">
      <pivotArea type="data" outline="0" fieldPosition="0">
        <references count="2">
          <reference field="4294967294" count="1" selected="0">
            <x v="0"/>
          </reference>
          <reference field="12" count="1" selected="0">
            <x v="2"/>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3">
          <reference field="4294967294" count="1" selected="0">
            <x v="0"/>
          </reference>
          <reference field="10" count="1" selected="0">
            <x v="2"/>
          </reference>
          <reference field="12" count="1" selected="0">
            <x v="0"/>
          </reference>
        </references>
      </pivotArea>
    </chartFormat>
    <chartFormat chart="8" format="10">
      <pivotArea type="data" outline="0" fieldPosition="0">
        <references count="3">
          <reference field="4294967294" count="1" selected="0">
            <x v="0"/>
          </reference>
          <reference field="10" count="1" selected="0">
            <x v="1"/>
          </reference>
          <reference field="12" count="1" selected="0">
            <x v="1"/>
          </reference>
        </references>
      </pivotArea>
    </chartFormat>
    <chartFormat chart="8" format="1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owner" xr10:uid="{921E164C-7E4B-4D58-8669-337FF955E160}" sourceName="Risk Owner">
  <extLst>
    <x:ext xmlns:x15="http://schemas.microsoft.com/office/spreadsheetml/2010/11/main" uri="{2F2917AC-EB37-4324-AD4E-5DD8C200BD13}">
      <x15:tableSlicerCache tableId="7" column="14"/>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level" xr10:uid="{44D9DC60-06F1-405A-9B62-BA9DABF4FC0D}" sourceName="Risk Level">
  <extLst>
    <x:ext xmlns:x15="http://schemas.microsoft.com/office/spreadsheetml/2010/11/main" uri="{2F2917AC-EB37-4324-AD4E-5DD8C200BD13}">
      <x15:tableSlicerCache tableId="7" column="26"/>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eatment_option_chosen" xr10:uid="{56A1E080-9C2A-432B-A7AE-577A9E3F6510}" sourceName="Treatment Option Chosen">
  <extLst>
    <x:ext xmlns:x15="http://schemas.microsoft.com/office/spreadsheetml/2010/11/main" uri="{2F2917AC-EB37-4324-AD4E-5DD8C200BD13}">
      <x15:tableSlicerCache tableId="7" column="25"/>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PORTUNITY_TYPE" xr10:uid="{08202F61-46E5-4E74-B4B7-78BA09F48AF0}" sourceName="OPP TYPE">
  <extLst>
    <x:ext xmlns:x15="http://schemas.microsoft.com/office/spreadsheetml/2010/11/main" uri="{2F2917AC-EB37-4324-AD4E-5DD8C200BD13}">
      <x15:tableSlicerCache tableId="6" column="2"/>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PORTUNITY_OWNER" xr10:uid="{136D3E5C-5041-4DD1-9617-F0237E63391A}" sourceName="OPP OWNER">
  <extLst>
    <x:ext xmlns:x15="http://schemas.microsoft.com/office/spreadsheetml/2010/11/main" uri="{2F2917AC-EB37-4324-AD4E-5DD8C200BD13}">
      <x15:tableSlicerCache tableId="6" column="6"/>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PORTUNITY_LEVEL" xr10:uid="{C8D2DFEF-7BD3-4697-A351-34AB15543DE6}" sourceName="OPP LEVEL">
  <extLst>
    <x:ext xmlns:x15="http://schemas.microsoft.com/office/spreadsheetml/2010/11/main" uri="{2F2917AC-EB37-4324-AD4E-5DD8C200BD13}">
      <x15:tableSlicerCache tableId="6" column="26"/>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TION_OWNER" xr10:uid="{6A252F6B-01A9-431A-B19E-434777026A43}" sourceName="ACTION OWNER">
  <extLst>
    <x:ext xmlns:x15="http://schemas.microsoft.com/office/spreadsheetml/2010/11/main" uri="{2F2917AC-EB37-4324-AD4E-5DD8C200BD13}">
      <x15:tableSlicerCache tableId="6" column="13"/>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eatment_Action_Owner" xr10:uid="{EE17F3E2-4BDF-4055-9D13-1E9B36B68A8B}" sourceName="Treatment Action Owner">
  <extLst>
    <x:ext xmlns:x15="http://schemas.microsoft.com/office/spreadsheetml/2010/11/main" uri="{2F2917AC-EB37-4324-AD4E-5DD8C200BD13}">
      <x15:tableSlicerCache tableId="7" column="4"/>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t_Treatment_Risk_Level" xr10:uid="{6EA9597E-9D59-4267-8D21-509089573208}" sourceName="Post-Treatment Risk Level">
  <extLst>
    <x:ext xmlns:x15="http://schemas.microsoft.com/office/spreadsheetml/2010/11/main" uri="{2F2917AC-EB37-4324-AD4E-5DD8C200BD13}">
      <x15:tableSlicerCache tableId="7" column="3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isk owner 1" xr10:uid="{3DB1AB7E-D3A2-43BE-8560-DD7F7C25B552}" cache="Slicer_Risk_owner" caption="Risk Owner" style="CertiKit Slicer 2" rowHeight="241300"/>
  <slicer name="Risk level 1" xr10:uid="{A4E83D5A-CCCA-4129-9EA6-4E9D38CB4409}" cache="Slicer_Risk_level" caption="Risk Level" style="CertiKit Slicer 2" rowHeight="241300"/>
  <slicer name="Treatment option chosen 1" xr10:uid="{6B9C8FDA-F6ED-43E9-B1CA-D569462292CB}" cache="Slicer_Treatment_option_chosen" caption="Treatment Option Chosen" style="CertiKit Slicer 2" rowHeight="241300"/>
  <slicer name="Treatment Action Owner" xr10:uid="{DD24C5AB-810E-41BC-81D4-4DEA209E0B36}" cache="Slicer_Treatment_Action_Owner" caption="Treatment Action Owner" style="CertiKit Slicer 2" rowHeight="241300"/>
  <slicer name="Post-Treatment Risk Level" xr10:uid="{666BDF38-7C5A-4675-B563-CFA1A17D6049}" cache="Slicer_Post_Treatment_Risk_Level" caption="Post-Treatment Risk Level" style="CertiKit Slicer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PPORTUNITY TYPE" xr10:uid="{D29288DC-930A-46E7-82FD-28D42A86AE46}" cache="Slicer_OPPORTUNITY_TYPE" caption="OPP TYPE" style="CertiKit Slicer 2" rowHeight="241300"/>
  <slicer name="OPPORTUNITY OWNER" xr10:uid="{E8A50345-5E30-4891-9361-79C7542387D7}" cache="Slicer_OPPORTUNITY_OWNER" caption="OPP OWNER" style="CertiKit Slicer 2" rowHeight="241300"/>
  <slicer name="OPPORTUNITY LEVEL" xr10:uid="{CDD71A7E-B51F-4397-93BA-EEFFC3E831C7}" cache="Slicer_OPPORTUNITY_LEVEL" caption="OPP LEVEL" style="CertiKit Slicer 2" rowHeight="241300"/>
  <slicer name="ACTION OWNER" xr10:uid="{914797C4-E974-485D-A3EC-036DF027B65C}" cache="Slicer_ACTION_OWNER" caption="ACTION OWNER" style="CertiKit Slicer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20A5B6B-6645-4BB4-B179-1BBF22613F16}" name="RiskAssessment" displayName="RiskAssessment" ref="B14:X22" totalsRowShown="0" headerRowDxfId="165" dataDxfId="164">
  <autoFilter ref="B14:X22" xr:uid="{331DA5F4-9C06-4134-AE8F-9805BF57E53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autoFilter>
  <tableColumns count="23">
    <tableColumn id="1" xr3:uid="{7780B8FA-8743-4524-865B-12BD63D2056E}" name="Ref" dataDxfId="163"/>
    <tableColumn id="2" xr3:uid="{3278FB7C-91F3-417D-B3D1-6874CF833910}" name="Risk Summary" dataDxfId="162"/>
    <tableColumn id="19" xr3:uid="{4E15988A-2261-4CAC-BF91-59F1BA730F4D}" name="Risk Description" dataDxfId="161"/>
    <tableColumn id="14" xr3:uid="{A53DA3AA-36F7-400B-A24B-61AFD64480AC}" name="Risk Owner" dataDxfId="160"/>
    <tableColumn id="7" xr3:uid="{88F4F6C4-C558-4511-BD94-F92314B01A77}" name="Existing Controls" dataDxfId="159"/>
    <tableColumn id="8" xr3:uid="{0AA282DC-3088-4338-80C5-2EF25A907C36}" name="Likelihood" dataDxfId="158"/>
    <tableColumn id="9" xr3:uid="{84AE39E5-D4CF-48F2-AE20-B65A24BC706B}" name="Likelihood Rationale" dataDxfId="157"/>
    <tableColumn id="10" xr3:uid="{CA483CC8-0A9F-49F4-8467-9C42A0694C13}" name="Impact" dataDxfId="156"/>
    <tableColumn id="11" xr3:uid="{CFD1BC19-E865-4532-B678-79A520B128C6}" name="Impact Rationale" dataDxfId="155"/>
    <tableColumn id="12" xr3:uid="{B7F199D4-99F3-4A9C-9D92-102D2EF262D7}" name="Risk Score" dataDxfId="154">
      <calculatedColumnFormula>IFERROR(RiskAssessment[[#This Row],[Likelihood]]*RiskAssessment[[#This Row],[Impact]],"Calculated")</calculatedColumnFormula>
    </tableColumn>
    <tableColumn id="26" xr3:uid="{92D3F116-E810-44D0-9D9E-7FBEB1DEB8D8}" name="Risk Level" dataDxfId="153">
      <calculatedColumnFormula>IF(K15="Calculated", "Calculated", IF(K15&gt;11, " HIGH",IF(K15&gt;4," MEDIUM"," LOW")))</calculatedColumnFormula>
    </tableColumn>
    <tableColumn id="25" xr3:uid="{4A288FE7-5236-47D2-A80C-C3EFE89D249B}" name="Treatment Option Chosen" dataDxfId="152"/>
    <tableColumn id="24" xr3:uid="{E68F9F93-9B81-4C6A-A901-3CB89BBDB0C3}" name="Proposed Treatment Action" dataDxfId="151"/>
    <tableColumn id="3" xr3:uid="{C467135A-7F74-4D80-82ED-D5D5BFC469B5}" name="Treatment Cost" dataDxfId="150"/>
    <tableColumn id="4" xr3:uid="{D61374C6-84C0-4D88-83CB-C627AAFDFF99}" name="Treatment Action Owner" dataDxfId="149"/>
    <tableColumn id="5" xr3:uid="{44BD9CAA-A7C5-489D-A156-DB7C0D350F7B}" name="Treatment Action Timescale" dataDxfId="148"/>
    <tableColumn id="23" xr3:uid="{0C955E08-3829-43CE-AD97-7CAC6D3BE74A}" name="Post-Treatment Likelihood" dataDxfId="147"/>
    <tableColumn id="22" xr3:uid="{FC0F7D48-D51C-4F43-B569-3F3866789458}" name="Post-Treatment Likelihood Rationale" dataDxfId="146"/>
    <tableColumn id="20" xr3:uid="{8099D3FF-BFC9-4F1E-8F43-237A9CAEC5F4}" name="Post- Treatment Impact" dataDxfId="145"/>
    <tableColumn id="34" xr3:uid="{A042F55B-EB28-4B01-BDE5-0C5066129EAD}" name="Post-Treatment Impact Rationale" dataDxfId="144"/>
    <tableColumn id="33" xr3:uid="{77FF60DC-16CE-4E05-B011-A7DAE2503C53}" name="Post-Treatment Risk Score" dataDxfId="143">
      <calculatedColumnFormula>IFERROR(RiskAssessment[[#This Row],[Post-Treatment Likelihood]]*RiskAssessment[[#This Row],[Post- Treatment Impact]],"Calculated")</calculatedColumnFormula>
    </tableColumn>
    <tableColumn id="32" xr3:uid="{02FDD454-ECC7-411C-896E-F510AA417304}" name="Post-Treatment Risk Level" dataDxfId="142">
      <calculatedColumnFormula>IF(V15="Calculated", "Calculated", IF(V15&gt;11, " HIGH",IF(V15&gt;4," MEDIUM"," LOW")))</calculatedColumnFormula>
    </tableColumn>
    <tableColumn id="31" xr3:uid="{6F81B6AE-B322-464A-9CA3-F6649B4E74FA}" name="Comments" dataDxfId="141"/>
  </tableColumns>
  <tableStyleInfo name="CertiKit table style 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ED78021-C44C-4BC5-A2FE-DEB966C17D14}" name="RiskAssessment7" displayName="RiskAssessment7" ref="B12:P15" totalsRowShown="0" headerRowDxfId="137" dataDxfId="136">
  <autoFilter ref="B12:P15" xr:uid="{5D7DF766-2681-418F-ADFD-5A2BFBC888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0ADC232A-48BC-42C0-9448-ABE967CCC3CD}" name="REF" dataDxfId="135"/>
    <tableColumn id="19" xr3:uid="{66403503-948D-41EF-8E8E-158B01BFACE0}" name="OPP SUMMARY" dataDxfId="134"/>
    <tableColumn id="14" xr3:uid="{9918A0AE-F3C4-4B78-A19F-113890B8A67A}" name="OPP DESCRIPTION" dataDxfId="133"/>
    <tableColumn id="2" xr3:uid="{C442DE06-7E5D-4DBF-AF7C-FFBFB0BD9197}" name="OPP TYPE" dataDxfId="132"/>
    <tableColumn id="6" xr3:uid="{892DD284-55F7-47FB-ADA6-4E601E704BFA}" name="OPP OWNER" dataDxfId="131"/>
    <tableColumn id="8" xr3:uid="{F15BE828-4E77-4441-BAAC-C771A45CB5B3}" name="LIKELIHOOD" dataDxfId="130"/>
    <tableColumn id="9" xr3:uid="{82225DE9-4930-4527-A378-EACF6F50784C}" name="LIKELIHOOD RATIONALE" dataDxfId="129"/>
    <tableColumn id="10" xr3:uid="{5A1C6488-599A-4206-904E-A90B282C0F94}" name="IMPACT" dataDxfId="128"/>
    <tableColumn id="11" xr3:uid="{575EE671-CA0A-4B80-98BF-054A37EBB603}" name="IMPACT RATIONALE" dataDxfId="127"/>
    <tableColumn id="12" xr3:uid="{E04492E2-6196-421E-9E41-2FEDC2C946A5}" name="OPP SCORE" dataDxfId="126">
      <calculatedColumnFormula>IFERROR(RiskAssessment7[[#This Row],[LIKELIHOOD]]*RiskAssessment7[[#This Row],[IMPACT]],"Calculated")</calculatedColumnFormula>
    </tableColumn>
    <tableColumn id="26" xr3:uid="{975ED494-94F1-4E9A-BACB-3D765DA09309}" name="OPP LEVEL" dataDxfId="125">
      <calculatedColumnFormula>IF(K13="Calculated", "Calculated", IF(K13&gt;11, " HIGH",IF(K13&gt;4," MEDIUM"," LOW")))</calculatedColumnFormula>
    </tableColumn>
    <tableColumn id="24" xr3:uid="{17DD0E65-E624-407E-8F97-79703D7311D7}" name="ACTION" dataDxfId="124"/>
    <tableColumn id="13" xr3:uid="{122E2A97-B60F-4CD1-8C11-575B11978880}" name="ACTION OWNER" dataDxfId="123"/>
    <tableColumn id="4" xr3:uid="{8F87123A-B4D4-4BF6-8954-2A44FF24706E}" name="ACTION TIMESCALE" dataDxfId="122"/>
    <tableColumn id="3" xr3:uid="{6664EE67-CDF0-422B-8991-187B3F844EEF}" name="COMMENTS" dataDxfId="121"/>
  </tableColumns>
  <tableStyleInfo name="CertiKit table style 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FA7CC534-ADA4-4328-BFA0-54C30C0809A7}" name="PreMitigationRisksByRiskLevel" displayName="PreMitigationRisksByRiskLevel" ref="B6:C9" totalsRowShown="0" headerRowDxfId="116">
  <autoFilter ref="B6:C9" xr:uid="{1D6CCEE6-D9D6-4BC3-B436-C42E19EE8D08}"/>
  <tableColumns count="2">
    <tableColumn id="1" xr3:uid="{096C5AC1-64C0-4288-A62F-29A247EFB295}" name="Risk level"/>
    <tableColumn id="2" xr3:uid="{F3F2A240-5A2E-4D43-92B0-5B6A8B447CE1}" name="Pre-treatment" dataDxfId="115">
      <calculatedColumnFormula>COUNTIF(RiskAssessment[Risk Level],PreMitigationRisksByRiskLevel[[#This Row],[Risk level]])</calculatedColumnFormula>
    </tableColumn>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0A03EDF-5E7B-4F44-92AB-3B7758D7A510}" name="RisksByRiskLevelPreandPostTreatment10" displayName="RisksByRiskLevelPreandPostTreatment10" ref="B6:C9" totalsRowShown="0" headerRowDxfId="92">
  <autoFilter ref="B6:C9" xr:uid="{2D70BB3E-58CA-4064-91BE-429DFD31A440}"/>
  <tableColumns count="2">
    <tableColumn id="1" xr3:uid="{21EBEA84-F002-4434-9668-E3C52BB7F83E}" name="Risk level"/>
    <tableColumn id="3" xr3:uid="{7813F6E6-2C81-4B3C-AA95-40A381E9DBBF}" name="Post-treatment" dataDxfId="91">
      <calculatedColumnFormula>COUNTIF(RiskAssessment[Post-Treatment Risk Level],RisksByRiskLevelPreandPostTreatment10[[#This Row],[Risk level]])</calculatedColumnFormula>
    </tableColumn>
  </tableColumns>
  <tableStyleInfo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97B5E16-368C-46C4-A85E-75B034856876}" name="PreMitigationRisksByRiskLevel10" displayName="PreMitigationRisksByRiskLevel10" ref="B6:D9" totalsRowShown="0" headerRowDxfId="82">
  <autoFilter ref="B6:D9" xr:uid="{6EE7FA35-2C0E-4811-8A8E-BF10ADBAC7EA}"/>
  <tableColumns count="3">
    <tableColumn id="1" xr3:uid="{EBE5C9C9-75AF-4CD7-A10F-AD5C9E7BB11B}" name="Risk level"/>
    <tableColumn id="2" xr3:uid="{F6E82F6F-D087-45A2-9116-28F8384C4625}" name="Pre-treatment" dataDxfId="81">
      <calculatedColumnFormula>COUNTIF(RiskAssessment[Risk Level],PreMitigationRisksByRiskLevel10[[#This Row],[Risk level]])</calculatedColumnFormula>
    </tableColumn>
    <tableColumn id="3" xr3:uid="{07C41EE8-4EBE-4E16-8836-0F312AF76C65}" name="Post-treatment" dataDxfId="80">
      <calculatedColumnFormula>COUNTIF(RiskAssessment[Post-Treatment Risk Level],PreMitigationRisksByRiskLevel10[[#This Row],[Risk level]])</calculatedColumnFormula>
    </tableColumn>
  </tableColumns>
  <tableStyleInfo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627D71F-7096-44AD-865E-C4E925D95B25}" name="OnetoFive" displayName="OnetoFive" ref="B6:B12" totalsRowShown="0" headerRowDxfId="3" dataDxfId="2">
  <autoFilter ref="B6:B12" xr:uid="{53E7F917-CE3C-45CA-BA10-709121A44293}">
    <filterColumn colId="0" hiddenButton="1"/>
  </autoFilter>
  <tableColumns count="1">
    <tableColumn id="1" xr3:uid="{5364270F-A323-40A1-A90B-30119CD587D5}" name="ONE TO FIVE" dataDxfId="1"/>
  </tableColumns>
  <tableStyleInfo name="CertiKit table style 2"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CC6DD06-659A-4CDF-A327-841FDA7D159C}" name="Options" displayName="Options" ref="D6:D11" totalsRowShown="0" headerRowDxfId="0">
  <autoFilter ref="D6:D11" xr:uid="{45576131-8111-4F4B-847C-3395F8FC4342}">
    <filterColumn colId="0" hiddenButton="1"/>
  </autoFilter>
  <tableColumns count="1">
    <tableColumn id="1" xr3:uid="{40850E87-988C-4D35-BD9B-533BCAD5ED19}" name="TREATMENT OPTIONS"/>
  </tableColumns>
  <tableStyleInfo name="CertiKit table style 2" showFirstColumn="0" showLastColumn="0" showRowStripes="0" showColumnStripes="0"/>
</table>
</file>

<file path=xl/theme/theme1.xml><?xml version="1.0" encoding="utf-8"?>
<a:theme xmlns:a="http://schemas.openxmlformats.org/drawingml/2006/main" name="CertiKit Theme">
  <a:themeElements>
    <a:clrScheme name="CertiKit Excel Colours">
      <a:dk1>
        <a:srgbClr val="444444"/>
      </a:dk1>
      <a:lt1>
        <a:sysClr val="window" lastClr="FFFFFF"/>
      </a:lt1>
      <a:dk2>
        <a:srgbClr val="CCC900"/>
      </a:dk2>
      <a:lt2>
        <a:srgbClr val="D0EAEB"/>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1.xml"/><Relationship Id="rId5" Type="http://schemas.microsoft.com/office/2007/relationships/slicer" Target="../slicers/slicer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openxmlformats.org/officeDocument/2006/relationships/comments" Target="../comments2.xml"/><Relationship Id="rId5" Type="http://schemas.microsoft.com/office/2007/relationships/slicer" Target="../slicers/slicer2.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8.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20.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337E4-FD53-43E3-968B-36F790106177}">
  <sheetPr codeName="Sheet2"/>
  <dimension ref="A2:C19"/>
  <sheetViews>
    <sheetView showGridLines="0" tabSelected="1" zoomScaleNormal="100" workbookViewId="0"/>
  </sheetViews>
  <sheetFormatPr defaultRowHeight="15" x14ac:dyDescent="0.25"/>
  <cols>
    <col min="1" max="1" width="2.85546875" style="3" customWidth="1"/>
    <col min="2" max="2" width="25" style="3" customWidth="1"/>
    <col min="3" max="3" width="64.140625" style="3" customWidth="1"/>
    <col min="4" max="16384" width="9.140625" style="3"/>
  </cols>
  <sheetData>
    <row r="2" spans="1:3" x14ac:dyDescent="0.25">
      <c r="B2" s="4"/>
    </row>
    <row r="3" spans="1:3" x14ac:dyDescent="0.25">
      <c r="B3" s="4"/>
    </row>
    <row r="4" spans="1:3" x14ac:dyDescent="0.25">
      <c r="B4" s="4"/>
    </row>
    <row r="5" spans="1:3" x14ac:dyDescent="0.25">
      <c r="B5" s="4"/>
    </row>
    <row r="6" spans="1:3" x14ac:dyDescent="0.25">
      <c r="B6" s="4"/>
    </row>
    <row r="8" spans="1:3" ht="21" x14ac:dyDescent="0.25">
      <c r="B8" s="8" t="s">
        <v>1</v>
      </c>
    </row>
    <row r="10" spans="1:3" ht="30" x14ac:dyDescent="0.25">
      <c r="A10" s="12"/>
      <c r="B10" s="27" t="s">
        <v>221</v>
      </c>
      <c r="C10" s="52" t="s">
        <v>228</v>
      </c>
    </row>
    <row r="11" spans="1:3" ht="30" x14ac:dyDescent="0.25">
      <c r="A11" s="29"/>
      <c r="B11" s="27" t="s">
        <v>222</v>
      </c>
      <c r="C11" s="52" t="s">
        <v>229</v>
      </c>
    </row>
    <row r="12" spans="1:3" ht="45" x14ac:dyDescent="0.25">
      <c r="A12" s="29"/>
      <c r="B12" s="28" t="s">
        <v>223</v>
      </c>
      <c r="C12" s="52" t="s">
        <v>230</v>
      </c>
    </row>
    <row r="13" spans="1:3" x14ac:dyDescent="0.25">
      <c r="A13" s="29"/>
      <c r="B13" s="30" t="s">
        <v>56</v>
      </c>
      <c r="C13" s="52" t="s">
        <v>231</v>
      </c>
    </row>
    <row r="14" spans="1:3" ht="30" x14ac:dyDescent="0.25">
      <c r="A14" s="29"/>
      <c r="B14" s="27" t="s">
        <v>57</v>
      </c>
      <c r="C14" s="52">
        <v>1</v>
      </c>
    </row>
    <row r="15" spans="1:3" ht="30" x14ac:dyDescent="0.25">
      <c r="A15" s="29"/>
      <c r="B15" s="30" t="s">
        <v>58</v>
      </c>
      <c r="C15" s="52" t="s">
        <v>232</v>
      </c>
    </row>
    <row r="16" spans="1:3" ht="30" x14ac:dyDescent="0.25">
      <c r="A16" s="29"/>
      <c r="B16" s="27" t="s">
        <v>224</v>
      </c>
      <c r="C16" s="52" t="s">
        <v>233</v>
      </c>
    </row>
    <row r="17" spans="1:3" ht="30" x14ac:dyDescent="0.25">
      <c r="A17" s="29"/>
      <c r="B17" s="27" t="s">
        <v>225</v>
      </c>
      <c r="C17" s="52" t="s">
        <v>234</v>
      </c>
    </row>
    <row r="18" spans="1:3" ht="30" x14ac:dyDescent="0.25">
      <c r="A18" s="29"/>
      <c r="B18" s="30" t="s">
        <v>59</v>
      </c>
      <c r="C18" s="52" t="s">
        <v>235</v>
      </c>
    </row>
    <row r="19" spans="1:3" ht="30" x14ac:dyDescent="0.25">
      <c r="A19" s="29"/>
      <c r="B19" s="27" t="s">
        <v>60</v>
      </c>
      <c r="C19" s="52" t="s">
        <v>236</v>
      </c>
    </row>
  </sheetData>
  <sheetProtection selectLockedCells="1"/>
  <pageMargins left="0.70866141732283472" right="0.70866141732283472" top="0.74803149606299213" bottom="0.74803149606299213" header="0.31496062992125984" footer="0.31496062992125984"/>
  <pageSetup paperSize="9" scale="94" orientation="portrait" horizontalDpi="1200" verticalDpi="1200" r:id="rId1"/>
  <headerFooter>
    <oddFooter>&amp;L&amp;D&amp;CPage &amp;P of &amp;N</oddFooter>
  </headerFooter>
  <colBreaks count="1" manualBreakCount="1">
    <brk id="3" max="1048575" man="1"/>
  </colBreaks>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710DC-A629-4296-81D8-97D7450DC101}">
  <sheetPr codeName="Sheet3">
    <pageSetUpPr fitToPage="1"/>
  </sheetPr>
  <dimension ref="B2:AL40"/>
  <sheetViews>
    <sheetView showGridLines="0" zoomScaleNormal="100" workbookViewId="0"/>
  </sheetViews>
  <sheetFormatPr defaultRowHeight="15" x14ac:dyDescent="0.25"/>
  <cols>
    <col min="1" max="1" width="2.85546875" style="16" customWidth="1"/>
    <col min="2" max="2" width="4.28515625" style="16" customWidth="1"/>
    <col min="3" max="3" width="14.42578125" style="16" customWidth="1"/>
    <col min="4" max="4" width="24.85546875" style="16" customWidth="1"/>
    <col min="5" max="5" width="10.7109375" style="16" bestFit="1" customWidth="1"/>
    <col min="6" max="6" width="22" style="16" customWidth="1"/>
    <col min="7" max="7" width="13.140625" style="16" customWidth="1"/>
    <col min="8" max="8" width="18.140625" style="16" customWidth="1"/>
    <col min="9" max="9" width="7.85546875" style="16" bestFit="1" customWidth="1"/>
    <col min="10" max="10" width="22.140625" style="16" customWidth="1"/>
    <col min="11" max="11" width="10.85546875" style="16" customWidth="1"/>
    <col min="12" max="12" width="11.7109375" style="16" customWidth="1"/>
    <col min="13" max="13" width="13.7109375" style="16" bestFit="1" customWidth="1"/>
    <col min="14" max="14" width="21.42578125" style="16" customWidth="1"/>
    <col min="15" max="15" width="11.42578125" style="16" bestFit="1" customWidth="1"/>
    <col min="16" max="16" width="13" style="16" customWidth="1"/>
    <col min="17" max="17" width="11.85546875" style="16" customWidth="1"/>
    <col min="18" max="18" width="15.5703125" style="16" bestFit="1" customWidth="1"/>
    <col min="19" max="19" width="14.7109375" style="16" bestFit="1" customWidth="1"/>
    <col min="20" max="20" width="10.28515625" style="16" bestFit="1" customWidth="1"/>
    <col min="21" max="21" width="15" style="16" bestFit="1" customWidth="1"/>
    <col min="22" max="22" width="11.28515625" style="16" customWidth="1"/>
    <col min="23" max="23" width="12.5703125" style="16" customWidth="1"/>
    <col min="24" max="24" width="11.42578125" style="16" customWidth="1"/>
    <col min="25" max="25" width="15.5703125" style="16" customWidth="1"/>
    <col min="26" max="26" width="12.85546875" style="16" customWidth="1"/>
    <col min="27" max="27" width="10.85546875" style="16" customWidth="1"/>
    <col min="28" max="28" width="11.7109375" style="16" customWidth="1"/>
    <col min="29" max="16384" width="9.140625" style="16"/>
  </cols>
  <sheetData>
    <row r="2" spans="2:38" ht="15" customHeight="1" x14ac:dyDescent="0.25">
      <c r="D2" s="17"/>
      <c r="E2" s="18"/>
      <c r="F2" s="17"/>
      <c r="G2" s="17"/>
      <c r="H2" s="17"/>
      <c r="J2" s="17"/>
      <c r="K2" s="17"/>
      <c r="L2" s="17"/>
      <c r="M2" s="17"/>
      <c r="N2" s="17"/>
      <c r="O2" s="17"/>
      <c r="P2" s="17"/>
    </row>
    <row r="4" spans="2:38" x14ac:dyDescent="0.25">
      <c r="D4" s="17"/>
      <c r="E4" s="19"/>
      <c r="F4" s="17"/>
      <c r="G4" s="17"/>
      <c r="H4" s="17"/>
      <c r="I4" s="17"/>
      <c r="J4" s="17"/>
      <c r="K4" s="17"/>
      <c r="L4" s="17"/>
      <c r="M4" s="17"/>
      <c r="N4" s="17"/>
      <c r="O4" s="17"/>
      <c r="P4" s="17"/>
    </row>
    <row r="5" spans="2:38" x14ac:dyDescent="0.25">
      <c r="D5" s="17"/>
      <c r="E5" s="19"/>
      <c r="F5" s="17"/>
      <c r="G5" s="17"/>
      <c r="H5" s="17"/>
      <c r="I5" s="17"/>
      <c r="J5" s="17"/>
      <c r="K5" s="17"/>
      <c r="L5" s="17"/>
      <c r="M5" s="17"/>
      <c r="N5" s="17"/>
      <c r="O5" s="17"/>
      <c r="P5" s="17"/>
    </row>
    <row r="6" spans="2:38" x14ac:dyDescent="0.25">
      <c r="D6" s="17"/>
      <c r="E6" s="19"/>
      <c r="F6" s="17"/>
      <c r="G6" s="17"/>
      <c r="H6" s="17"/>
      <c r="I6" s="17"/>
      <c r="J6" s="17"/>
      <c r="K6" s="17"/>
      <c r="L6" s="17"/>
      <c r="M6" s="17"/>
      <c r="N6" s="17"/>
      <c r="O6" s="17"/>
      <c r="P6" s="17"/>
    </row>
    <row r="7" spans="2:38" x14ac:dyDescent="0.25">
      <c r="D7" s="17"/>
      <c r="E7" s="19"/>
      <c r="F7" s="17"/>
      <c r="G7" s="17"/>
      <c r="H7" s="17"/>
      <c r="I7" s="17"/>
      <c r="J7" s="17"/>
      <c r="K7" s="17"/>
      <c r="L7" s="17"/>
      <c r="M7" s="17"/>
      <c r="N7" s="17"/>
      <c r="O7" s="17"/>
      <c r="P7" s="17"/>
    </row>
    <row r="8" spans="2:38" x14ac:dyDescent="0.25">
      <c r="D8" s="17"/>
      <c r="E8" s="19"/>
      <c r="F8" s="17"/>
      <c r="G8" s="17"/>
      <c r="H8" s="17"/>
      <c r="I8" s="17"/>
      <c r="J8" s="17"/>
      <c r="K8" s="17"/>
      <c r="L8" s="17"/>
      <c r="M8" s="17"/>
      <c r="N8" s="17"/>
      <c r="O8" s="17"/>
      <c r="P8" s="17"/>
    </row>
    <row r="9" spans="2:38" ht="21" x14ac:dyDescent="0.25">
      <c r="B9" s="20" t="s">
        <v>67</v>
      </c>
      <c r="D9" s="17"/>
      <c r="E9" s="19"/>
      <c r="F9" s="17"/>
      <c r="G9" s="17"/>
      <c r="H9" s="17"/>
      <c r="I9" s="17"/>
      <c r="J9" s="17"/>
      <c r="K9" s="17"/>
      <c r="L9" s="17"/>
      <c r="M9" s="17"/>
      <c r="N9" s="17"/>
      <c r="O9" s="17"/>
      <c r="P9" s="17"/>
    </row>
    <row r="10" spans="2:38" ht="15" customHeight="1" x14ac:dyDescent="0.25">
      <c r="B10" s="102" t="s">
        <v>68</v>
      </c>
      <c r="C10" s="102"/>
      <c r="D10" s="102"/>
      <c r="E10" s="102"/>
      <c r="F10" s="102"/>
      <c r="G10" s="102"/>
      <c r="H10" s="17"/>
      <c r="I10" s="25"/>
      <c r="J10" s="17"/>
      <c r="K10" s="17"/>
      <c r="L10" s="23"/>
      <c r="M10" s="24"/>
      <c r="N10" s="24"/>
      <c r="O10" s="17"/>
      <c r="P10" s="17"/>
    </row>
    <row r="11" spans="2:38" s="22" customFormat="1" ht="15" customHeight="1" x14ac:dyDescent="0.25">
      <c r="B11" s="107" t="s">
        <v>313</v>
      </c>
      <c r="C11" s="107"/>
      <c r="D11" s="107"/>
      <c r="E11" s="107"/>
      <c r="F11" s="107"/>
      <c r="G11" s="107"/>
      <c r="H11" s="77"/>
      <c r="I11" s="25"/>
      <c r="J11" s="77"/>
      <c r="K11" s="77"/>
      <c r="L11" s="78"/>
      <c r="M11" s="79"/>
      <c r="N11" s="79"/>
      <c r="O11" s="77"/>
      <c r="P11" s="77"/>
    </row>
    <row r="12" spans="2:38" ht="10.5" customHeight="1" x14ac:dyDescent="0.25">
      <c r="D12" s="17"/>
      <c r="E12" s="19"/>
      <c r="F12" s="17"/>
      <c r="G12" s="17"/>
      <c r="H12" s="17"/>
      <c r="I12" s="17"/>
      <c r="J12" s="17"/>
      <c r="K12" s="17"/>
      <c r="L12" s="17"/>
      <c r="M12" s="17"/>
      <c r="N12" s="17"/>
      <c r="O12" s="17"/>
      <c r="P12" s="17"/>
    </row>
    <row r="13" spans="2:38" ht="21" customHeight="1" x14ac:dyDescent="0.25">
      <c r="B13" s="103" t="s">
        <v>7</v>
      </c>
      <c r="C13" s="103"/>
      <c r="D13" s="103"/>
      <c r="E13" s="104"/>
      <c r="F13" s="105" t="s">
        <v>197</v>
      </c>
      <c r="G13" s="106"/>
      <c r="H13" s="106"/>
      <c r="I13" s="106"/>
      <c r="J13" s="106"/>
      <c r="K13" s="106"/>
      <c r="L13" s="104"/>
      <c r="M13" s="105" t="s">
        <v>210</v>
      </c>
      <c r="N13" s="106"/>
      <c r="O13" s="106"/>
      <c r="P13" s="106"/>
      <c r="Q13" s="106"/>
      <c r="R13" s="105" t="s">
        <v>198</v>
      </c>
      <c r="S13" s="106"/>
      <c r="T13" s="106"/>
      <c r="U13" s="106"/>
      <c r="V13" s="106"/>
      <c r="W13" s="106"/>
      <c r="X13" s="106"/>
    </row>
    <row r="14" spans="2:38" ht="51" customHeight="1" x14ac:dyDescent="0.25">
      <c r="B14" s="44" t="s">
        <v>2</v>
      </c>
      <c r="C14" s="44" t="s">
        <v>202</v>
      </c>
      <c r="D14" s="44" t="s">
        <v>203</v>
      </c>
      <c r="E14" s="44" t="s">
        <v>204</v>
      </c>
      <c r="F14" s="44" t="s">
        <v>61</v>
      </c>
      <c r="G14" s="44" t="s">
        <v>3</v>
      </c>
      <c r="H14" s="44" t="s">
        <v>205</v>
      </c>
      <c r="I14" s="44" t="s">
        <v>4</v>
      </c>
      <c r="J14" s="44" t="s">
        <v>206</v>
      </c>
      <c r="K14" s="44" t="s">
        <v>207</v>
      </c>
      <c r="L14" s="44" t="s">
        <v>145</v>
      </c>
      <c r="M14" s="44" t="s">
        <v>208</v>
      </c>
      <c r="N14" s="44" t="s">
        <v>209</v>
      </c>
      <c r="O14" s="44" t="s">
        <v>199</v>
      </c>
      <c r="P14" s="44" t="s">
        <v>200</v>
      </c>
      <c r="Q14" s="44" t="s">
        <v>201</v>
      </c>
      <c r="R14" s="44" t="s">
        <v>211</v>
      </c>
      <c r="S14" s="44" t="s">
        <v>212</v>
      </c>
      <c r="T14" s="44" t="s">
        <v>213</v>
      </c>
      <c r="U14" s="44" t="s">
        <v>214</v>
      </c>
      <c r="V14" s="44" t="s">
        <v>215</v>
      </c>
      <c r="W14" s="44" t="s">
        <v>216</v>
      </c>
      <c r="X14" s="44" t="s">
        <v>6</v>
      </c>
      <c r="Y14" s="21"/>
      <c r="Z14" s="21"/>
      <c r="AA14" s="21"/>
      <c r="AB14" s="21"/>
      <c r="AC14" s="21"/>
      <c r="AD14" s="21"/>
      <c r="AE14" s="21"/>
      <c r="AF14" s="21"/>
      <c r="AG14" s="21"/>
      <c r="AH14" s="22"/>
      <c r="AI14" s="22"/>
      <c r="AJ14" s="22"/>
      <c r="AK14" s="22"/>
      <c r="AL14" s="22"/>
    </row>
    <row r="15" spans="2:38" ht="90" x14ac:dyDescent="0.25">
      <c r="B15" s="14">
        <v>1</v>
      </c>
      <c r="C15" s="53" t="s">
        <v>237</v>
      </c>
      <c r="D15" s="53" t="s">
        <v>238</v>
      </c>
      <c r="E15" s="53" t="s">
        <v>239</v>
      </c>
      <c r="F15" s="53" t="s">
        <v>240</v>
      </c>
      <c r="G15" s="53">
        <v>2</v>
      </c>
      <c r="H15" s="53" t="s">
        <v>260</v>
      </c>
      <c r="I15" s="53">
        <v>2</v>
      </c>
      <c r="J15" s="53" t="s">
        <v>261</v>
      </c>
      <c r="K15" s="15">
        <f>IFERROR(RiskAssessment[[#This Row],[Likelihood]]*RiskAssessment[[#This Row],[Impact]],"Calculated")</f>
        <v>4</v>
      </c>
      <c r="L15" s="15" t="str">
        <f>IF(K15="Calculated", "Calculated", IF(K15&gt;11, " HIGH",IF(K15&gt;4," MEDIUM"," LOW")))</f>
        <v xml:space="preserve"> LOW</v>
      </c>
      <c r="M15" s="53" t="s">
        <v>9</v>
      </c>
      <c r="N15" s="47"/>
      <c r="O15" s="55">
        <v>0</v>
      </c>
      <c r="P15" s="53"/>
      <c r="Q15" s="14"/>
      <c r="R15" s="14">
        <v>2</v>
      </c>
      <c r="S15" s="14"/>
      <c r="T15" s="14">
        <v>2</v>
      </c>
      <c r="U15" s="14"/>
      <c r="V15" s="15">
        <f>IFERROR(RiskAssessment[[#This Row],[Post-Treatment Likelihood]]*RiskAssessment[[#This Row],[Post- Treatment Impact]],"Calculated")</f>
        <v>4</v>
      </c>
      <c r="W15" s="15" t="str">
        <f t="shared" ref="W15:W21" si="0">IF(V15="Calculated", "Calculated", IF(V15&gt;11, " HIGH",IF(V15&gt;4," MEDIUM"," LOW")))</f>
        <v xml:space="preserve"> LOW</v>
      </c>
      <c r="X15" s="14"/>
      <c r="Y15" s="22"/>
      <c r="Z15" s="22"/>
      <c r="AA15" s="22"/>
      <c r="AB15" s="22"/>
      <c r="AC15" s="22"/>
      <c r="AD15" s="22"/>
      <c r="AE15" s="22"/>
      <c r="AF15" s="22"/>
      <c r="AG15" s="22"/>
      <c r="AH15" s="22"/>
      <c r="AI15" s="22"/>
      <c r="AJ15" s="22"/>
      <c r="AK15" s="22"/>
      <c r="AL15" s="22"/>
    </row>
    <row r="16" spans="2:38" ht="90" x14ac:dyDescent="0.25">
      <c r="B16" s="14">
        <v>2</v>
      </c>
      <c r="C16" s="53" t="s">
        <v>241</v>
      </c>
      <c r="D16" s="53" t="s">
        <v>242</v>
      </c>
      <c r="E16" s="53" t="s">
        <v>239</v>
      </c>
      <c r="F16" s="53" t="s">
        <v>243</v>
      </c>
      <c r="G16" s="53">
        <v>3</v>
      </c>
      <c r="H16" s="53" t="s">
        <v>262</v>
      </c>
      <c r="I16" s="53">
        <v>4</v>
      </c>
      <c r="J16" s="53" t="s">
        <v>263</v>
      </c>
      <c r="K16" s="15">
        <f>IFERROR(RiskAssessment[[#This Row],[Likelihood]]*RiskAssessment[[#This Row],[Impact]],"Calculated")</f>
        <v>12</v>
      </c>
      <c r="L16" s="15" t="str">
        <f t="shared" ref="L16:L21" si="1">IF(K16="Calculated", "Calculated", IF(K16&gt;11, " HIGH",IF(K16&gt;4," MEDIUM"," LOW")))</f>
        <v xml:space="preserve"> HIGH</v>
      </c>
      <c r="M16" s="53" t="s">
        <v>11</v>
      </c>
      <c r="N16" s="53" t="s">
        <v>274</v>
      </c>
      <c r="O16" s="55">
        <v>25000</v>
      </c>
      <c r="P16" s="53" t="s">
        <v>239</v>
      </c>
      <c r="Q16" s="14" t="s">
        <v>308</v>
      </c>
      <c r="R16" s="53">
        <v>3</v>
      </c>
      <c r="S16" s="53" t="s">
        <v>277</v>
      </c>
      <c r="T16" s="53">
        <v>3</v>
      </c>
      <c r="U16" s="53" t="s">
        <v>278</v>
      </c>
      <c r="V16" s="15">
        <f>IFERROR(RiskAssessment[[#This Row],[Post-Treatment Likelihood]]*RiskAssessment[[#This Row],[Post- Treatment Impact]],"Calculated")</f>
        <v>9</v>
      </c>
      <c r="W16" s="15" t="str">
        <f t="shared" si="0"/>
        <v xml:space="preserve"> MEDIUM</v>
      </c>
      <c r="X16" s="14"/>
      <c r="Y16" s="22"/>
      <c r="Z16" s="22"/>
      <c r="AA16" s="22"/>
      <c r="AB16" s="22"/>
      <c r="AC16" s="22"/>
      <c r="AD16" s="22"/>
      <c r="AE16" s="22"/>
      <c r="AF16" s="22"/>
      <c r="AG16" s="22"/>
      <c r="AH16" s="22"/>
      <c r="AI16" s="22"/>
      <c r="AJ16" s="22"/>
      <c r="AK16" s="22"/>
      <c r="AL16" s="22"/>
    </row>
    <row r="17" spans="2:38" ht="75" x14ac:dyDescent="0.25">
      <c r="B17" s="14">
        <v>3</v>
      </c>
      <c r="C17" s="53" t="s">
        <v>244</v>
      </c>
      <c r="D17" s="53" t="s">
        <v>245</v>
      </c>
      <c r="E17" s="53" t="s">
        <v>239</v>
      </c>
      <c r="F17" s="53" t="s">
        <v>246</v>
      </c>
      <c r="G17" s="53">
        <v>2</v>
      </c>
      <c r="H17" s="53" t="s">
        <v>264</v>
      </c>
      <c r="I17" s="53">
        <v>4</v>
      </c>
      <c r="J17" s="53" t="s">
        <v>265</v>
      </c>
      <c r="K17" s="15">
        <f>IFERROR(RiskAssessment[[#This Row],[Likelihood]]*RiskAssessment[[#This Row],[Impact]],"Calculated")</f>
        <v>8</v>
      </c>
      <c r="L17" s="15" t="str">
        <f t="shared" si="1"/>
        <v xml:space="preserve"> MEDIUM</v>
      </c>
      <c r="M17" s="53" t="s">
        <v>11</v>
      </c>
      <c r="N17" s="53" t="s">
        <v>274</v>
      </c>
      <c r="O17" s="55">
        <v>25000</v>
      </c>
      <c r="P17" s="53" t="s">
        <v>239</v>
      </c>
      <c r="Q17" s="14" t="s">
        <v>308</v>
      </c>
      <c r="R17" s="53">
        <v>2</v>
      </c>
      <c r="S17" s="53" t="s">
        <v>277</v>
      </c>
      <c r="T17" s="53">
        <v>3</v>
      </c>
      <c r="U17" s="53" t="s">
        <v>278</v>
      </c>
      <c r="V17" s="15">
        <f>IFERROR(RiskAssessment[[#This Row],[Post-Treatment Likelihood]]*RiskAssessment[[#This Row],[Post- Treatment Impact]],"Calculated")</f>
        <v>6</v>
      </c>
      <c r="W17" s="15" t="str">
        <f t="shared" si="0"/>
        <v xml:space="preserve"> MEDIUM</v>
      </c>
      <c r="X17" s="14"/>
      <c r="Y17" s="22"/>
      <c r="Z17" s="22"/>
      <c r="AA17" s="22"/>
      <c r="AB17" s="22"/>
      <c r="AC17" s="22"/>
      <c r="AD17" s="22"/>
      <c r="AE17" s="22"/>
      <c r="AF17" s="22"/>
      <c r="AG17" s="22"/>
      <c r="AH17" s="22"/>
      <c r="AI17" s="22"/>
      <c r="AJ17" s="22"/>
      <c r="AK17" s="22"/>
      <c r="AL17" s="22"/>
    </row>
    <row r="18" spans="2:38" ht="75" x14ac:dyDescent="0.25">
      <c r="B18" s="14">
        <v>4</v>
      </c>
      <c r="C18" s="53" t="s">
        <v>247</v>
      </c>
      <c r="D18" s="53" t="s">
        <v>248</v>
      </c>
      <c r="E18" s="53" t="s">
        <v>249</v>
      </c>
      <c r="F18" s="53" t="s">
        <v>250</v>
      </c>
      <c r="G18" s="53">
        <v>4</v>
      </c>
      <c r="H18" s="53" t="s">
        <v>266</v>
      </c>
      <c r="I18" s="53">
        <v>4</v>
      </c>
      <c r="J18" s="53" t="s">
        <v>267</v>
      </c>
      <c r="K18" s="15">
        <f>IFERROR(RiskAssessment[[#This Row],[Likelihood]]*RiskAssessment[[#This Row],[Impact]],"Calculated")</f>
        <v>16</v>
      </c>
      <c r="L18" s="15" t="str">
        <f t="shared" si="1"/>
        <v xml:space="preserve"> HIGH</v>
      </c>
      <c r="M18" s="53" t="s">
        <v>11</v>
      </c>
      <c r="N18" s="53" t="s">
        <v>275</v>
      </c>
      <c r="O18" s="55">
        <v>10000</v>
      </c>
      <c r="P18" s="14" t="s">
        <v>310</v>
      </c>
      <c r="Q18" s="14" t="s">
        <v>305</v>
      </c>
      <c r="R18" s="53">
        <v>2</v>
      </c>
      <c r="S18" s="53" t="s">
        <v>279</v>
      </c>
      <c r="T18" s="53">
        <v>4</v>
      </c>
      <c r="U18" s="53" t="s">
        <v>280</v>
      </c>
      <c r="V18" s="15">
        <f>IFERROR(RiskAssessment[[#This Row],[Post-Treatment Likelihood]]*RiskAssessment[[#This Row],[Post- Treatment Impact]],"Calculated")</f>
        <v>8</v>
      </c>
      <c r="W18" s="15" t="str">
        <f t="shared" si="0"/>
        <v xml:space="preserve"> MEDIUM</v>
      </c>
      <c r="X18" s="14"/>
      <c r="Y18" s="22"/>
      <c r="Z18" s="22"/>
      <c r="AA18" s="22"/>
      <c r="AB18" s="22"/>
      <c r="AC18" s="22"/>
      <c r="AD18" s="22"/>
      <c r="AE18" s="22"/>
      <c r="AF18" s="22"/>
      <c r="AG18" s="22"/>
      <c r="AH18" s="22"/>
      <c r="AI18" s="22"/>
      <c r="AJ18" s="22"/>
      <c r="AK18" s="22"/>
      <c r="AL18" s="22"/>
    </row>
    <row r="19" spans="2:38" ht="120" x14ac:dyDescent="0.25">
      <c r="B19" s="14">
        <v>5</v>
      </c>
      <c r="C19" s="53" t="s">
        <v>251</v>
      </c>
      <c r="D19" s="53" t="s">
        <v>252</v>
      </c>
      <c r="E19" s="53" t="s">
        <v>249</v>
      </c>
      <c r="F19" s="53" t="s">
        <v>253</v>
      </c>
      <c r="G19" s="53">
        <v>2</v>
      </c>
      <c r="H19" s="53" t="s">
        <v>268</v>
      </c>
      <c r="I19" s="53">
        <v>2</v>
      </c>
      <c r="J19" s="53" t="s">
        <v>269</v>
      </c>
      <c r="K19" s="15">
        <f>IFERROR(RiskAssessment[[#This Row],[Likelihood]]*RiskAssessment[[#This Row],[Impact]],"Calculated")</f>
        <v>4</v>
      </c>
      <c r="L19" s="15" t="str">
        <f t="shared" si="1"/>
        <v xml:space="preserve"> LOW</v>
      </c>
      <c r="M19" s="53" t="s">
        <v>9</v>
      </c>
      <c r="N19" s="14"/>
      <c r="O19" s="55"/>
      <c r="P19" s="14"/>
      <c r="Q19" s="14"/>
      <c r="R19" s="14">
        <v>2</v>
      </c>
      <c r="S19" s="14"/>
      <c r="T19" s="14">
        <v>2</v>
      </c>
      <c r="U19" s="14"/>
      <c r="V19" s="15">
        <f>IFERROR(RiskAssessment[[#This Row],[Post-Treatment Likelihood]]*RiskAssessment[[#This Row],[Post- Treatment Impact]],"Calculated")</f>
        <v>4</v>
      </c>
      <c r="W19" s="15" t="str">
        <f t="shared" si="0"/>
        <v xml:space="preserve"> LOW</v>
      </c>
      <c r="X19" s="14"/>
      <c r="Y19" s="22"/>
      <c r="Z19" s="22"/>
      <c r="AA19" s="22"/>
      <c r="AB19" s="22"/>
      <c r="AC19" s="22"/>
      <c r="AD19" s="22"/>
      <c r="AE19" s="22"/>
      <c r="AF19" s="22"/>
      <c r="AG19" s="22"/>
      <c r="AH19" s="22"/>
      <c r="AI19" s="22"/>
      <c r="AJ19" s="22"/>
      <c r="AK19" s="22"/>
      <c r="AL19" s="22"/>
    </row>
    <row r="20" spans="2:38" ht="75" x14ac:dyDescent="0.25">
      <c r="B20" s="14">
        <v>6</v>
      </c>
      <c r="C20" s="53" t="s">
        <v>254</v>
      </c>
      <c r="D20" s="53" t="s">
        <v>255</v>
      </c>
      <c r="E20" s="53" t="s">
        <v>256</v>
      </c>
      <c r="F20" s="53" t="s">
        <v>257</v>
      </c>
      <c r="G20" s="53">
        <v>3</v>
      </c>
      <c r="H20" s="53" t="s">
        <v>270</v>
      </c>
      <c r="I20" s="53">
        <v>3</v>
      </c>
      <c r="J20" s="53" t="s">
        <v>271</v>
      </c>
      <c r="K20" s="15">
        <f>IFERROR(RiskAssessment[[#This Row],[Likelihood]]*RiskAssessment[[#This Row],[Impact]],"Calculated")</f>
        <v>9</v>
      </c>
      <c r="L20" s="15" t="str">
        <f t="shared" si="1"/>
        <v xml:space="preserve"> MEDIUM</v>
      </c>
      <c r="M20" s="53" t="s">
        <v>11</v>
      </c>
      <c r="N20" s="53" t="s">
        <v>276</v>
      </c>
      <c r="O20" s="55">
        <v>8000</v>
      </c>
      <c r="P20" s="53" t="s">
        <v>256</v>
      </c>
      <c r="Q20" s="14" t="s">
        <v>309</v>
      </c>
      <c r="R20" s="53">
        <v>2</v>
      </c>
      <c r="S20" s="53" t="s">
        <v>281</v>
      </c>
      <c r="T20" s="53">
        <v>3</v>
      </c>
      <c r="U20" s="53" t="s">
        <v>282</v>
      </c>
      <c r="V20" s="15">
        <f>IFERROR(RiskAssessment[[#This Row],[Post-Treatment Likelihood]]*RiskAssessment[[#This Row],[Post- Treatment Impact]],"Calculated")</f>
        <v>6</v>
      </c>
      <c r="W20" s="15" t="str">
        <f t="shared" si="0"/>
        <v xml:space="preserve"> MEDIUM</v>
      </c>
      <c r="X20" s="14"/>
      <c r="Y20" s="22"/>
      <c r="Z20" s="22"/>
      <c r="AA20" s="22"/>
      <c r="AB20" s="22"/>
      <c r="AC20" s="22"/>
      <c r="AD20" s="22"/>
      <c r="AE20" s="22"/>
      <c r="AF20" s="22"/>
      <c r="AG20" s="22"/>
      <c r="AH20" s="22"/>
      <c r="AI20" s="22"/>
      <c r="AJ20" s="22"/>
      <c r="AK20" s="22"/>
      <c r="AL20" s="22"/>
    </row>
    <row r="21" spans="2:38" ht="45" x14ac:dyDescent="0.25">
      <c r="B21" s="14">
        <v>7</v>
      </c>
      <c r="C21" s="53" t="s">
        <v>258</v>
      </c>
      <c r="D21" s="53" t="s">
        <v>259</v>
      </c>
      <c r="E21" s="53" t="s">
        <v>239</v>
      </c>
      <c r="F21" s="53" t="s">
        <v>243</v>
      </c>
      <c r="G21" s="53">
        <v>1</v>
      </c>
      <c r="H21" s="53" t="s">
        <v>272</v>
      </c>
      <c r="I21" s="53">
        <v>4</v>
      </c>
      <c r="J21" s="53" t="s">
        <v>273</v>
      </c>
      <c r="K21" s="15">
        <f>IFERROR(RiskAssessment[[#This Row],[Likelihood]]*RiskAssessment[[#This Row],[Impact]],"Calculated")</f>
        <v>4</v>
      </c>
      <c r="L21" s="15" t="str">
        <f t="shared" si="1"/>
        <v xml:space="preserve"> LOW</v>
      </c>
      <c r="M21" s="53" t="s">
        <v>9</v>
      </c>
      <c r="N21" s="14"/>
      <c r="O21" s="55"/>
      <c r="P21" s="14"/>
      <c r="Q21" s="14"/>
      <c r="R21" s="14">
        <v>1</v>
      </c>
      <c r="S21" s="14"/>
      <c r="T21" s="14">
        <v>4</v>
      </c>
      <c r="U21" s="14"/>
      <c r="V21" s="15">
        <f>IFERROR(RiskAssessment[[#This Row],[Post-Treatment Likelihood]]*RiskAssessment[[#This Row],[Post- Treatment Impact]],"Calculated")</f>
        <v>4</v>
      </c>
      <c r="W21" s="15" t="str">
        <f t="shared" si="0"/>
        <v xml:space="preserve"> LOW</v>
      </c>
      <c r="X21" s="14"/>
      <c r="Y21" s="22"/>
      <c r="Z21" s="22"/>
      <c r="AA21" s="22"/>
      <c r="AB21" s="22"/>
      <c r="AC21" s="22"/>
      <c r="AD21" s="22"/>
      <c r="AE21" s="22"/>
      <c r="AF21" s="22"/>
      <c r="AG21" s="22"/>
      <c r="AH21" s="22"/>
      <c r="AI21" s="22"/>
      <c r="AJ21" s="22"/>
      <c r="AK21" s="22"/>
      <c r="AL21" s="22"/>
    </row>
    <row r="22" spans="2:38" ht="75" x14ac:dyDescent="0.25">
      <c r="B22" s="14">
        <v>8</v>
      </c>
      <c r="C22" s="84" t="s">
        <v>314</v>
      </c>
      <c r="D22" s="84" t="s">
        <v>315</v>
      </c>
      <c r="E22" s="53" t="s">
        <v>249</v>
      </c>
      <c r="F22" s="53" t="s">
        <v>253</v>
      </c>
      <c r="G22" s="84">
        <v>3</v>
      </c>
      <c r="H22" s="84" t="s">
        <v>316</v>
      </c>
      <c r="I22" s="84">
        <v>5</v>
      </c>
      <c r="J22" s="84" t="s">
        <v>317</v>
      </c>
      <c r="K22" s="85">
        <f>IFERROR(RiskAssessment[[#This Row],[Likelihood]]*RiskAssessment[[#This Row],[Impact]],"Calculated")</f>
        <v>15</v>
      </c>
      <c r="L22" s="85" t="str">
        <f>IF(K22="Calculated", "Calculated", IF(K22&gt;11, " HIGH",IF(K22&gt;4," MEDIUM"," LOW")))</f>
        <v xml:space="preserve"> HIGH</v>
      </c>
      <c r="M22" s="84" t="s">
        <v>11</v>
      </c>
      <c r="N22" s="14" t="s">
        <v>318</v>
      </c>
      <c r="O22" s="55">
        <v>100000</v>
      </c>
      <c r="P22" s="53" t="s">
        <v>249</v>
      </c>
      <c r="Q22" s="14" t="s">
        <v>319</v>
      </c>
      <c r="R22" s="14">
        <v>3</v>
      </c>
      <c r="S22" s="53" t="s">
        <v>277</v>
      </c>
      <c r="T22" s="14">
        <v>4</v>
      </c>
      <c r="U22" s="14" t="s">
        <v>320</v>
      </c>
      <c r="V22" s="85">
        <f>IFERROR(RiskAssessment[[#This Row],[Post-Treatment Likelihood]]*RiskAssessment[[#This Row],[Post- Treatment Impact]],"Calculated")</f>
        <v>12</v>
      </c>
      <c r="W22" s="85" t="str">
        <f>IF(V22="Calculated", "Calculated", IF(V22&gt;11, " HIGH",IF(V22&gt;4," MEDIUM"," LOW")))</f>
        <v xml:space="preserve"> HIGH</v>
      </c>
      <c r="X22" s="14"/>
      <c r="Y22" s="22"/>
      <c r="Z22" s="22"/>
      <c r="AA22" s="22"/>
      <c r="AB22" s="22"/>
      <c r="AC22" s="22"/>
      <c r="AD22" s="22"/>
      <c r="AE22" s="22"/>
      <c r="AF22" s="22"/>
      <c r="AG22" s="22"/>
      <c r="AH22" s="22"/>
      <c r="AI22" s="22"/>
      <c r="AJ22" s="22"/>
      <c r="AK22" s="22"/>
      <c r="AL22" s="22"/>
    </row>
    <row r="23" spans="2:38" x14ac:dyDescent="0.25">
      <c r="Y23" s="22"/>
      <c r="Z23" s="22"/>
      <c r="AA23" s="22"/>
      <c r="AB23" s="22"/>
      <c r="AC23" s="22"/>
      <c r="AD23" s="22"/>
      <c r="AE23" s="22"/>
      <c r="AF23" s="22"/>
      <c r="AG23" s="22"/>
      <c r="AH23" s="22"/>
      <c r="AI23" s="22"/>
      <c r="AJ23" s="22"/>
      <c r="AK23" s="22"/>
      <c r="AL23" s="22"/>
    </row>
    <row r="24" spans="2:38" x14ac:dyDescent="0.25">
      <c r="G24" s="22"/>
      <c r="H24" s="22"/>
      <c r="I24" s="22"/>
      <c r="J24" s="22"/>
      <c r="K24" s="22"/>
      <c r="L24" s="22"/>
      <c r="M24" s="22"/>
      <c r="N24" s="22"/>
      <c r="O24" s="22"/>
      <c r="Y24" s="22"/>
      <c r="Z24" s="22"/>
      <c r="AA24" s="22"/>
      <c r="AB24" s="22"/>
      <c r="AC24" s="22"/>
      <c r="AD24" s="22"/>
      <c r="AE24" s="22"/>
      <c r="AF24" s="22"/>
      <c r="AG24" s="22"/>
      <c r="AH24" s="22"/>
      <c r="AI24" s="22"/>
      <c r="AJ24" s="22"/>
      <c r="AK24" s="22"/>
      <c r="AL24" s="22"/>
    </row>
    <row r="25" spans="2:38" x14ac:dyDescent="0.25">
      <c r="F25" s="22"/>
      <c r="G25" s="22"/>
      <c r="H25" s="22"/>
      <c r="I25" s="22"/>
      <c r="J25" s="22"/>
      <c r="K25" s="22"/>
      <c r="L25" s="22"/>
      <c r="M25" s="22"/>
      <c r="N25" s="22"/>
      <c r="O25" s="22"/>
      <c r="Y25" s="22"/>
      <c r="Z25" s="22"/>
      <c r="AA25" s="22"/>
      <c r="AB25" s="22"/>
      <c r="AC25" s="22"/>
      <c r="AD25" s="22"/>
      <c r="AE25" s="22"/>
      <c r="AF25" s="22"/>
      <c r="AG25" s="22"/>
      <c r="AH25" s="22"/>
      <c r="AI25" s="22"/>
      <c r="AJ25" s="22"/>
      <c r="AK25" s="22"/>
      <c r="AL25" s="22"/>
    </row>
    <row r="26" spans="2:38" x14ac:dyDescent="0.25">
      <c r="Y26" s="22"/>
      <c r="Z26" s="22"/>
      <c r="AA26" s="22"/>
      <c r="AB26" s="22"/>
      <c r="AC26" s="22"/>
      <c r="AD26" s="22"/>
      <c r="AE26" s="22"/>
      <c r="AF26" s="22"/>
      <c r="AG26" s="22"/>
      <c r="AH26" s="22"/>
      <c r="AI26" s="22"/>
      <c r="AJ26" s="22"/>
      <c r="AK26" s="22"/>
      <c r="AL26" s="22"/>
    </row>
    <row r="27" spans="2:38" x14ac:dyDescent="0.25">
      <c r="Y27" s="22"/>
      <c r="Z27" s="22"/>
      <c r="AA27" s="22"/>
      <c r="AB27" s="22"/>
      <c r="AC27" s="22"/>
      <c r="AD27" s="22"/>
      <c r="AE27" s="22"/>
      <c r="AF27" s="22"/>
      <c r="AG27" s="22"/>
      <c r="AH27" s="22"/>
      <c r="AI27" s="22"/>
      <c r="AJ27" s="22"/>
      <c r="AK27" s="22"/>
      <c r="AL27" s="22"/>
    </row>
    <row r="40" spans="6:15" x14ac:dyDescent="0.25">
      <c r="F40" s="22"/>
      <c r="G40" s="22"/>
      <c r="H40" s="22"/>
      <c r="I40" s="22"/>
      <c r="J40" s="22"/>
      <c r="K40" s="22"/>
      <c r="L40" s="22"/>
      <c r="M40" s="22"/>
      <c r="N40" s="22"/>
      <c r="O40" s="22"/>
    </row>
  </sheetData>
  <sheetProtection selectLockedCells="1" autoFilter="0"/>
  <dataConsolidate/>
  <mergeCells count="6">
    <mergeCell ref="B10:G10"/>
    <mergeCell ref="B13:E13"/>
    <mergeCell ref="F13:L13"/>
    <mergeCell ref="R13:X13"/>
    <mergeCell ref="M13:Q13"/>
    <mergeCell ref="B11:G11"/>
  </mergeCells>
  <phoneticPr fontId="15" type="noConversion"/>
  <conditionalFormatting sqref="L15:L22 W15:W22">
    <cfRule type="cellIs" dxfId="169" priority="45" operator="equal">
      <formula>" HIGH"</formula>
    </cfRule>
    <cfRule type="cellIs" dxfId="168" priority="46" operator="equal">
      <formula>" MEDIUM"</formula>
    </cfRule>
    <cfRule type="cellIs" dxfId="167" priority="47" operator="equal">
      <formula>" LOW"</formula>
    </cfRule>
  </conditionalFormatting>
  <conditionalFormatting sqref="M15:X22">
    <cfRule type="expression" dxfId="166" priority="8">
      <formula>$M15="Accept"</formula>
    </cfRule>
  </conditionalFormatting>
  <dataValidations disablePrompts="1" count="2">
    <dataValidation type="list" allowBlank="1" showInputMessage="1" showErrorMessage="1" sqref="I15:I22 G15:G22 R15:R22 T15:T22" xr:uid="{9E04EEBB-B1D2-4808-B095-AE27576FF48E}">
      <formula1>"Select…,1,2,3,4,5"</formula1>
    </dataValidation>
    <dataValidation type="list" allowBlank="1" showErrorMessage="1" sqref="M15:M22" xr:uid="{C9A2378B-DD51-4C68-8CDE-E4BE56AF0A4A}">
      <formula1>"Select…,Accept,Avoid,Modify,Share"</formula1>
    </dataValidation>
  </dataValidations>
  <pageMargins left="0.70866141732283472" right="0.70866141732283472" top="0.74803149606299213" bottom="0.74803149606299213" header="0.31496062992125984" footer="0.31496062992125984"/>
  <pageSetup paperSize="9" scale="32" orientation="landscape" horizontalDpi="1200" verticalDpi="1200" r:id="rId1"/>
  <headerFooter>
    <oddFooter>&amp;L&amp;D&amp;CPage &amp;P of &amp;N</oddFooter>
  </headerFooter>
  <colBreaks count="2" manualBreakCount="2">
    <brk id="13" max="1048575" man="1"/>
    <brk id="21" max="1048575" man="1"/>
  </colBreaks>
  <drawing r:id="rId2"/>
  <legacy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571B1-8FF2-4982-BAD2-3C1E326013BB}">
  <sheetPr>
    <pageSetUpPr fitToPage="1"/>
  </sheetPr>
  <dimension ref="B2:AA15"/>
  <sheetViews>
    <sheetView showGridLines="0" zoomScaleNormal="100" workbookViewId="0"/>
  </sheetViews>
  <sheetFormatPr defaultRowHeight="15" x14ac:dyDescent="0.25"/>
  <cols>
    <col min="1" max="1" width="2.85546875" style="26" customWidth="1"/>
    <col min="2" max="2" width="4.28515625" style="26" customWidth="1"/>
    <col min="3" max="3" width="20.85546875" style="26" customWidth="1"/>
    <col min="4" max="4" width="26.5703125" style="26" bestFit="1" customWidth="1"/>
    <col min="5" max="5" width="18.85546875" style="26" bestFit="1" customWidth="1"/>
    <col min="6" max="6" width="18.5703125" style="26" customWidth="1"/>
    <col min="7" max="7" width="11.42578125" style="26" bestFit="1" customWidth="1"/>
    <col min="8" max="8" width="22.28515625" style="26" bestFit="1" customWidth="1"/>
    <col min="9" max="9" width="8" style="26" bestFit="1" customWidth="1"/>
    <col min="10" max="10" width="18.7109375" style="26" bestFit="1" customWidth="1"/>
    <col min="11" max="11" width="13" style="26" customWidth="1"/>
    <col min="12" max="12" width="15" style="26" customWidth="1"/>
    <col min="13" max="13" width="31.5703125" style="26" customWidth="1"/>
    <col min="14" max="14" width="15.42578125" style="26" bestFit="1" customWidth="1"/>
    <col min="15" max="15" width="18.28515625" style="26" bestFit="1" customWidth="1"/>
    <col min="16" max="16" width="19.5703125" style="26" customWidth="1"/>
    <col min="17" max="17" width="12.42578125" style="26" customWidth="1"/>
    <col min="18" max="18" width="11" style="26" customWidth="1"/>
    <col min="19" max="19" width="14.85546875" style="26" customWidth="1"/>
    <col min="20" max="20" width="11.85546875" style="26" customWidth="1"/>
    <col min="21" max="21" width="14.85546875" style="26" customWidth="1"/>
    <col min="22" max="22" width="11.28515625" style="26" customWidth="1"/>
    <col min="23" max="23" width="12.5703125" style="26" customWidth="1"/>
    <col min="24" max="24" width="14.5703125" style="26" customWidth="1"/>
    <col min="25" max="25" width="15.28515625" style="26" customWidth="1"/>
    <col min="26" max="26" width="11.28515625" style="26" customWidth="1"/>
    <col min="27" max="27" width="15.5703125" style="26" customWidth="1"/>
    <col min="28" max="28" width="12.85546875" style="26" customWidth="1"/>
    <col min="29" max="29" width="10.85546875" style="26" customWidth="1"/>
    <col min="30" max="30" width="11.7109375" style="26" customWidth="1"/>
    <col min="31" max="16384" width="9.140625" style="26"/>
  </cols>
  <sheetData>
    <row r="2" spans="2:27" ht="23.25" x14ac:dyDescent="0.25">
      <c r="D2" s="38"/>
      <c r="E2" s="39"/>
      <c r="F2" s="38"/>
      <c r="G2" s="38"/>
      <c r="H2" s="38"/>
      <c r="J2" s="38"/>
      <c r="K2" s="38"/>
      <c r="L2" s="38"/>
      <c r="M2" s="38"/>
      <c r="N2" s="38"/>
      <c r="O2" s="38"/>
      <c r="P2" s="38"/>
    </row>
    <row r="3" spans="2:27" x14ac:dyDescent="0.25">
      <c r="G3" s="38"/>
      <c r="H3" s="38"/>
      <c r="I3" s="38"/>
    </row>
    <row r="4" spans="2:27" x14ac:dyDescent="0.25">
      <c r="D4" s="38"/>
      <c r="E4" s="40"/>
      <c r="F4" s="38"/>
      <c r="G4" s="38"/>
      <c r="H4" s="38"/>
      <c r="I4" s="38"/>
      <c r="J4" s="38"/>
      <c r="K4" s="38"/>
      <c r="L4" s="38"/>
      <c r="M4" s="38"/>
      <c r="N4" s="38"/>
      <c r="O4" s="38"/>
      <c r="P4" s="38"/>
    </row>
    <row r="5" spans="2:27" x14ac:dyDescent="0.25">
      <c r="D5" s="38"/>
      <c r="E5" s="40"/>
      <c r="F5" s="38"/>
      <c r="G5" s="38"/>
      <c r="H5" s="38"/>
      <c r="I5" s="38"/>
      <c r="J5" s="38"/>
      <c r="K5" s="38"/>
      <c r="L5" s="38"/>
      <c r="M5" s="38"/>
      <c r="N5" s="38"/>
      <c r="O5" s="38"/>
      <c r="P5" s="38"/>
    </row>
    <row r="6" spans="2:27" x14ac:dyDescent="0.25">
      <c r="D6" s="38"/>
      <c r="E6" s="40"/>
      <c r="F6" s="38"/>
      <c r="G6" s="38"/>
      <c r="H6" s="38"/>
      <c r="I6" s="38"/>
      <c r="J6" s="38"/>
      <c r="K6" s="38"/>
      <c r="L6" s="38"/>
      <c r="M6" s="38"/>
      <c r="N6" s="38"/>
      <c r="O6" s="38"/>
      <c r="P6" s="38"/>
    </row>
    <row r="7" spans="2:27" x14ac:dyDescent="0.25">
      <c r="D7" s="38"/>
      <c r="E7" s="40"/>
      <c r="F7" s="38"/>
      <c r="G7" s="38"/>
      <c r="H7" s="38"/>
      <c r="I7" s="38"/>
      <c r="J7" s="38"/>
      <c r="K7" s="38"/>
      <c r="L7" s="38"/>
      <c r="M7" s="38"/>
      <c r="N7" s="38"/>
      <c r="O7" s="38"/>
      <c r="P7" s="38"/>
    </row>
    <row r="8" spans="2:27" ht="21" x14ac:dyDescent="0.25">
      <c r="B8" s="8" t="s">
        <v>69</v>
      </c>
      <c r="D8" s="38"/>
      <c r="E8" s="40"/>
      <c r="F8" s="38"/>
      <c r="G8" s="38"/>
      <c r="H8" s="38"/>
      <c r="I8" s="38"/>
      <c r="J8" s="38"/>
      <c r="K8" s="38"/>
      <c r="L8" s="38"/>
      <c r="M8" s="38"/>
      <c r="N8" s="38"/>
      <c r="O8" s="38"/>
      <c r="P8" s="38"/>
    </row>
    <row r="9" spans="2:27" ht="31.5" customHeight="1" x14ac:dyDescent="0.25">
      <c r="B9" s="109" t="s">
        <v>70</v>
      </c>
      <c r="C9" s="109"/>
      <c r="D9" s="109"/>
      <c r="E9" s="109"/>
      <c r="F9" s="109"/>
      <c r="G9" s="109"/>
      <c r="H9" s="109"/>
      <c r="I9" s="38"/>
      <c r="J9" s="38"/>
      <c r="K9" s="38"/>
      <c r="L9" s="41"/>
      <c r="M9" s="42"/>
      <c r="N9" s="42"/>
      <c r="O9" s="38"/>
      <c r="P9" s="38"/>
    </row>
    <row r="10" spans="2:27" s="83" customFormat="1" x14ac:dyDescent="0.25">
      <c r="B10" s="108" t="s">
        <v>313</v>
      </c>
      <c r="C10" s="108"/>
      <c r="D10" s="108"/>
      <c r="E10" s="108"/>
      <c r="F10" s="108"/>
      <c r="G10" s="108"/>
      <c r="H10" s="80"/>
      <c r="I10" s="80"/>
      <c r="J10" s="80"/>
      <c r="K10" s="80"/>
      <c r="L10" s="81"/>
      <c r="M10" s="82"/>
      <c r="N10" s="82"/>
      <c r="O10" s="80"/>
      <c r="P10" s="80"/>
    </row>
    <row r="11" spans="2:27" ht="15" customHeight="1" x14ac:dyDescent="0.25">
      <c r="D11" s="38"/>
      <c r="E11" s="40"/>
      <c r="F11" s="38"/>
      <c r="G11" s="38"/>
      <c r="H11" s="38"/>
      <c r="I11" s="38"/>
      <c r="J11" s="38"/>
      <c r="K11" s="38"/>
      <c r="L11" s="38"/>
      <c r="M11" s="38"/>
      <c r="N11" s="38"/>
      <c r="O11" s="38"/>
      <c r="P11" s="38"/>
    </row>
    <row r="12" spans="2:27" ht="21" customHeight="1" x14ac:dyDescent="0.25">
      <c r="B12" s="51" t="s">
        <v>323</v>
      </c>
      <c r="C12" s="51" t="s">
        <v>324</v>
      </c>
      <c r="D12" s="51" t="s">
        <v>325</v>
      </c>
      <c r="E12" s="51" t="s">
        <v>326</v>
      </c>
      <c r="F12" s="51" t="s">
        <v>327</v>
      </c>
      <c r="G12" s="51" t="s">
        <v>328</v>
      </c>
      <c r="H12" s="51" t="s">
        <v>329</v>
      </c>
      <c r="I12" s="51" t="s">
        <v>330</v>
      </c>
      <c r="J12" s="51" t="s">
        <v>331</v>
      </c>
      <c r="K12" s="51" t="s">
        <v>332</v>
      </c>
      <c r="L12" s="51" t="s">
        <v>333</v>
      </c>
      <c r="M12" s="51" t="s">
        <v>334</v>
      </c>
      <c r="N12" s="51" t="s">
        <v>335</v>
      </c>
      <c r="O12" s="51" t="s">
        <v>336</v>
      </c>
      <c r="P12" s="51" t="s">
        <v>337</v>
      </c>
      <c r="Q12" s="43"/>
      <c r="R12" s="43"/>
      <c r="S12" s="43"/>
      <c r="T12" s="43"/>
      <c r="U12" s="43"/>
      <c r="V12" s="43"/>
      <c r="W12" s="43"/>
      <c r="X12" s="43"/>
      <c r="Y12" s="43"/>
      <c r="Z12" s="43"/>
      <c r="AA12" s="43"/>
    </row>
    <row r="13" spans="2:27" ht="105" x14ac:dyDescent="0.25">
      <c r="B13" s="53">
        <v>1</v>
      </c>
      <c r="C13" s="53" t="s">
        <v>286</v>
      </c>
      <c r="D13" s="53" t="s">
        <v>287</v>
      </c>
      <c r="E13" s="53" t="s">
        <v>288</v>
      </c>
      <c r="F13" s="53" t="s">
        <v>289</v>
      </c>
      <c r="G13" s="14">
        <v>3</v>
      </c>
      <c r="H13" s="53" t="s">
        <v>296</v>
      </c>
      <c r="I13" s="14">
        <v>1</v>
      </c>
      <c r="J13" s="53" t="s">
        <v>299</v>
      </c>
      <c r="K13" s="11">
        <f>IFERROR(RiskAssessment7[[#This Row],[LIKELIHOOD]]*RiskAssessment7[[#This Row],[IMPACT]],"Calculated")</f>
        <v>3</v>
      </c>
      <c r="L13" s="11" t="str">
        <f>IF(K13="Calculated", "Calculated", IF(K13&gt;11, " HIGH",IF(K13&gt;4," MEDIUM"," LOW")))</f>
        <v xml:space="preserve"> LOW</v>
      </c>
      <c r="M13" s="54" t="s">
        <v>302</v>
      </c>
      <c r="N13" s="54" t="s">
        <v>289</v>
      </c>
      <c r="O13" s="54" t="s">
        <v>305</v>
      </c>
      <c r="P13" s="53"/>
    </row>
    <row r="14" spans="2:27" ht="75" x14ac:dyDescent="0.25">
      <c r="B14" s="53">
        <v>2</v>
      </c>
      <c r="C14" s="53" t="s">
        <v>290</v>
      </c>
      <c r="D14" s="53" t="s">
        <v>291</v>
      </c>
      <c r="E14" s="53" t="s">
        <v>171</v>
      </c>
      <c r="F14" s="53" t="s">
        <v>249</v>
      </c>
      <c r="G14" s="14">
        <v>4</v>
      </c>
      <c r="H14" s="53" t="s">
        <v>297</v>
      </c>
      <c r="I14" s="14">
        <v>4</v>
      </c>
      <c r="J14" s="53" t="s">
        <v>300</v>
      </c>
      <c r="K14" s="11">
        <f>IFERROR(RiskAssessment7[[#This Row],[LIKELIHOOD]]*RiskAssessment7[[#This Row],[IMPACT]],"Calculated")</f>
        <v>16</v>
      </c>
      <c r="L14" s="11" t="str">
        <f t="shared" ref="L14:L15" si="0">IF(K14="Calculated", "Calculated", IF(K14&gt;11, " HIGH",IF(K14&gt;4," MEDIUM"," LOW")))</f>
        <v xml:space="preserve"> HIGH</v>
      </c>
      <c r="M14" s="54" t="s">
        <v>303</v>
      </c>
      <c r="N14" s="54" t="s">
        <v>249</v>
      </c>
      <c r="O14" s="54" t="s">
        <v>306</v>
      </c>
      <c r="P14" s="53"/>
    </row>
    <row r="15" spans="2:27" ht="60" x14ac:dyDescent="0.25">
      <c r="B15" s="53">
        <v>3</v>
      </c>
      <c r="C15" s="53" t="s">
        <v>292</v>
      </c>
      <c r="D15" s="53" t="s">
        <v>293</v>
      </c>
      <c r="E15" s="53" t="s">
        <v>294</v>
      </c>
      <c r="F15" s="53" t="s">
        <v>295</v>
      </c>
      <c r="G15" s="14">
        <v>3</v>
      </c>
      <c r="H15" s="53" t="s">
        <v>298</v>
      </c>
      <c r="I15" s="14">
        <v>3</v>
      </c>
      <c r="J15" s="53" t="s">
        <v>301</v>
      </c>
      <c r="K15" s="11">
        <f>IFERROR(RiskAssessment7[[#This Row],[LIKELIHOOD]]*RiskAssessment7[[#This Row],[IMPACT]],"Calculated")</f>
        <v>9</v>
      </c>
      <c r="L15" s="11" t="str">
        <f t="shared" si="0"/>
        <v xml:space="preserve"> MEDIUM</v>
      </c>
      <c r="M15" s="54" t="s">
        <v>304</v>
      </c>
      <c r="N15" s="54" t="s">
        <v>295</v>
      </c>
      <c r="O15" s="54" t="s">
        <v>307</v>
      </c>
      <c r="P15" s="53"/>
    </row>
  </sheetData>
  <mergeCells count="2">
    <mergeCell ref="B10:G10"/>
    <mergeCell ref="B9:H9"/>
  </mergeCells>
  <conditionalFormatting sqref="L13:L15">
    <cfRule type="cellIs" dxfId="140" priority="2" operator="equal">
      <formula>" HIGH"</formula>
    </cfRule>
    <cfRule type="cellIs" dxfId="139" priority="3" operator="equal">
      <formula>" MEDIUM"</formula>
    </cfRule>
    <cfRule type="cellIs" dxfId="138" priority="4" operator="equal">
      <formula>" LOW"</formula>
    </cfRule>
  </conditionalFormatting>
  <pageMargins left="0.7" right="0.7" top="0.75" bottom="0.75" header="0.3" footer="0.3"/>
  <pageSetup paperSize="9" scale="49" orientation="landscape" horizontalDpi="1200" verticalDpi="1200" r:id="rId1"/>
  <headerFooter>
    <oddFooter>&amp;L&amp;D&amp;CPage &amp;P of &amp;N</oddFooter>
  </headerFooter>
  <drawing r:id="rId2"/>
  <legacyDrawing r:id="rId3"/>
  <tableParts count="1">
    <tablePart r:id="rId4"/>
  </tableParts>
  <extLst>
    <ext xmlns:x14="http://schemas.microsoft.com/office/spreadsheetml/2009/9/main" uri="{CCE6A557-97BC-4b89-ADB6-D9C93CAAB3DF}">
      <x14:dataValidations xmlns:xm="http://schemas.microsoft.com/office/excel/2006/main" count="1">
        <x14:dataValidation type="list" allowBlank="1" showInputMessage="1" showErrorMessage="1" xr:uid="{3181C3FB-C2D2-46F5-AAE3-8CFE9138DFC8}">
          <x14:formula1>
            <xm:f>'Selection Tables'!$B$7:$B$12</xm:f>
          </x14:formula1>
          <xm:sqref>G13:G15 I13:I15</xm:sqref>
        </x14:dataValidation>
      </x14:dataValidations>
    </ext>
    <ext xmlns:x15="http://schemas.microsoft.com/office/spreadsheetml/2010/11/main" uri="{3A4CF648-6AED-40f4-86FF-DC5316D8AED3}">
      <x14:slicerList xmlns:x14="http://schemas.microsoft.com/office/spreadsheetml/2009/9/main">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134AD-C195-458A-BADD-638958E9E7DC}">
  <sheetPr>
    <pageSetUpPr fitToPage="1"/>
  </sheetPr>
  <dimension ref="B8:AI94"/>
  <sheetViews>
    <sheetView showGridLines="0" zoomScaleNormal="100" workbookViewId="0"/>
  </sheetViews>
  <sheetFormatPr defaultRowHeight="15" x14ac:dyDescent="0.25"/>
  <cols>
    <col min="1" max="1" width="2.85546875" style="56" customWidth="1"/>
    <col min="2" max="2" width="7.7109375" style="56" customWidth="1"/>
    <col min="3" max="8" width="13.7109375" style="56" customWidth="1"/>
    <col min="9" max="34" width="8.7109375" style="56" customWidth="1"/>
    <col min="35" max="16384" width="9.140625" style="56"/>
  </cols>
  <sheetData>
    <row r="8" spans="2:35" customFormat="1" ht="21" x14ac:dyDescent="0.35">
      <c r="B8" s="96" t="s">
        <v>363</v>
      </c>
      <c r="AA8" s="97"/>
      <c r="AB8" s="97"/>
      <c r="AC8" s="97"/>
      <c r="AD8" s="97"/>
      <c r="AE8" s="97"/>
      <c r="AF8" s="97"/>
      <c r="AG8" s="97"/>
      <c r="AH8" s="97"/>
      <c r="AI8" s="97"/>
    </row>
    <row r="9" spans="2:35" customFormat="1" ht="15" customHeight="1" x14ac:dyDescent="0.25">
      <c r="B9" s="98" t="s">
        <v>313</v>
      </c>
    </row>
    <row r="11" spans="2:35" ht="20.100000000000001" customHeight="1" x14ac:dyDescent="0.3">
      <c r="B11" s="65" t="s">
        <v>338</v>
      </c>
      <c r="C11" s="63"/>
      <c r="D11" s="63"/>
      <c r="E11" s="63"/>
      <c r="F11" s="63"/>
      <c r="G11" s="63"/>
      <c r="H11" s="63"/>
      <c r="I11" s="66"/>
      <c r="J11" s="66"/>
      <c r="K11" s="66"/>
      <c r="L11" s="63"/>
      <c r="M11" s="63"/>
      <c r="N11" s="63"/>
      <c r="O11" s="63"/>
      <c r="P11" s="63"/>
      <c r="Q11" s="63"/>
      <c r="R11" s="63"/>
      <c r="S11" s="63"/>
      <c r="T11" s="63"/>
      <c r="U11" s="63"/>
      <c r="V11" s="63"/>
      <c r="W11" s="63"/>
      <c r="X11" s="63"/>
      <c r="Y11" s="63"/>
      <c r="Z11" s="63"/>
      <c r="AD11" s="49"/>
      <c r="AE11" s="49"/>
      <c r="AF11" s="49"/>
      <c r="AG11" s="49"/>
      <c r="AH11" s="49"/>
    </row>
    <row r="12" spans="2:35" ht="15" customHeight="1" x14ac:dyDescent="0.25">
      <c r="I12" s="2"/>
      <c r="J12" s="2"/>
      <c r="K12" s="2"/>
      <c r="L12" s="3"/>
      <c r="M12" s="3"/>
      <c r="N12" s="3"/>
    </row>
    <row r="13" spans="2:35" ht="15" customHeight="1" x14ac:dyDescent="0.25">
      <c r="I13" s="2"/>
      <c r="J13" s="2"/>
      <c r="K13" s="2"/>
    </row>
    <row r="14" spans="2:35" ht="15" customHeight="1" x14ac:dyDescent="0.25">
      <c r="I14" s="2"/>
      <c r="J14" s="2"/>
      <c r="K14" s="2"/>
    </row>
    <row r="15" spans="2:35" ht="15" customHeight="1" x14ac:dyDescent="0.25">
      <c r="I15" s="2"/>
      <c r="J15" s="2"/>
      <c r="K15" s="2"/>
    </row>
    <row r="16" spans="2:35" ht="15" customHeight="1" x14ac:dyDescent="0.25">
      <c r="I16" s="2"/>
      <c r="J16" s="2"/>
      <c r="K16" s="2"/>
    </row>
    <row r="17" spans="9:11" ht="15" customHeight="1" x14ac:dyDescent="0.25">
      <c r="I17" s="2"/>
      <c r="J17" s="2"/>
      <c r="K17" s="2"/>
    </row>
    <row r="18" spans="9:11" ht="15" customHeight="1" x14ac:dyDescent="0.25">
      <c r="I18" s="2"/>
      <c r="J18" s="2"/>
      <c r="K18" s="2"/>
    </row>
    <row r="19" spans="9:11" ht="15" customHeight="1" x14ac:dyDescent="0.25">
      <c r="I19" s="2"/>
      <c r="J19" s="2"/>
      <c r="K19" s="2"/>
    </row>
    <row r="20" spans="9:11" ht="15" customHeight="1" x14ac:dyDescent="0.25">
      <c r="I20" s="2"/>
      <c r="J20" s="2"/>
      <c r="K20" s="2"/>
    </row>
    <row r="21" spans="9:11" ht="15" customHeight="1" x14ac:dyDescent="0.25">
      <c r="I21" s="2"/>
      <c r="J21" s="2"/>
      <c r="K21" s="2"/>
    </row>
    <row r="22" spans="9:11" ht="15" customHeight="1" x14ac:dyDescent="0.25">
      <c r="I22" s="2"/>
      <c r="J22" s="2"/>
      <c r="K22" s="2"/>
    </row>
    <row r="23" spans="9:11" ht="15" customHeight="1" x14ac:dyDescent="0.25">
      <c r="I23" s="2"/>
      <c r="J23" s="2"/>
      <c r="K23" s="2"/>
    </row>
    <row r="24" spans="9:11" ht="15" customHeight="1" x14ac:dyDescent="0.25">
      <c r="I24" s="2"/>
      <c r="J24" s="2"/>
      <c r="K24" s="2"/>
    </row>
    <row r="25" spans="9:11" ht="15" customHeight="1" x14ac:dyDescent="0.25">
      <c r="I25" s="2"/>
      <c r="J25" s="2"/>
      <c r="K25" s="2"/>
    </row>
    <row r="26" spans="9:11" ht="15" customHeight="1" x14ac:dyDescent="0.25">
      <c r="I26" s="2"/>
      <c r="J26" s="2"/>
      <c r="K26" s="2"/>
    </row>
    <row r="27" spans="9:11" ht="15" customHeight="1" x14ac:dyDescent="0.25">
      <c r="I27" s="2"/>
      <c r="J27" s="2"/>
      <c r="K27" s="2"/>
    </row>
    <row r="28" spans="9:11" ht="15" customHeight="1" x14ac:dyDescent="0.25">
      <c r="I28" s="2"/>
      <c r="J28" s="2"/>
      <c r="K28" s="2"/>
    </row>
    <row r="29" spans="9:11" ht="15" customHeight="1" x14ac:dyDescent="0.25">
      <c r="I29" s="2"/>
      <c r="J29" s="2"/>
      <c r="K29" s="2"/>
    </row>
    <row r="30" spans="9:11" ht="15" customHeight="1" x14ac:dyDescent="0.25">
      <c r="I30" s="2"/>
      <c r="J30" s="2"/>
      <c r="K30" s="2"/>
    </row>
    <row r="31" spans="9:11" ht="15" customHeight="1" x14ac:dyDescent="0.25">
      <c r="I31" s="2"/>
      <c r="J31" s="2"/>
      <c r="K31" s="2"/>
    </row>
    <row r="32" spans="9:11" ht="15" customHeight="1" x14ac:dyDescent="0.25">
      <c r="I32" s="2"/>
      <c r="J32" s="2"/>
      <c r="K32" s="2"/>
    </row>
    <row r="33" spans="2:26" ht="15" customHeight="1" x14ac:dyDescent="0.25">
      <c r="I33" s="2"/>
      <c r="J33" s="2"/>
      <c r="K33" s="2"/>
    </row>
    <row r="34" spans="2:26" ht="20.100000000000001" customHeight="1" x14ac:dyDescent="0.3">
      <c r="B34" s="65" t="s">
        <v>339</v>
      </c>
      <c r="C34" s="63"/>
      <c r="D34" s="63"/>
      <c r="E34" s="64"/>
      <c r="F34" s="64"/>
      <c r="G34" s="64"/>
      <c r="H34" s="64"/>
      <c r="I34" s="64"/>
      <c r="J34" s="64"/>
      <c r="K34" s="64"/>
      <c r="L34" s="64"/>
      <c r="M34" s="64"/>
      <c r="N34" s="64"/>
      <c r="O34" s="64"/>
      <c r="P34" s="63"/>
      <c r="Q34" s="63"/>
      <c r="R34" s="63"/>
      <c r="S34" s="63"/>
      <c r="T34" s="63"/>
      <c r="U34" s="63"/>
      <c r="V34" s="63"/>
      <c r="W34" s="63"/>
      <c r="X34" s="63"/>
      <c r="Y34" s="63"/>
      <c r="Z34" s="63"/>
    </row>
    <row r="35" spans="2:26" ht="15" customHeight="1" x14ac:dyDescent="0.25">
      <c r="I35" s="2"/>
      <c r="J35" s="2"/>
      <c r="K35" s="2"/>
    </row>
    <row r="36" spans="2:26" ht="15" customHeight="1" x14ac:dyDescent="0.25">
      <c r="I36" s="2"/>
      <c r="J36" s="2"/>
      <c r="K36" s="2"/>
    </row>
    <row r="37" spans="2:26" ht="15" customHeight="1" x14ac:dyDescent="0.25">
      <c r="I37" s="2"/>
      <c r="J37" s="2"/>
      <c r="K37" s="2"/>
    </row>
    <row r="38" spans="2:26" ht="15" customHeight="1" x14ac:dyDescent="0.25">
      <c r="I38" s="2"/>
      <c r="J38" s="2"/>
      <c r="K38" s="2"/>
    </row>
    <row r="39" spans="2:26" ht="15" customHeight="1" x14ac:dyDescent="0.25">
      <c r="I39" s="2"/>
      <c r="J39" s="2"/>
      <c r="K39" s="2"/>
    </row>
    <row r="40" spans="2:26" ht="15" customHeight="1" x14ac:dyDescent="0.25">
      <c r="I40" s="2"/>
      <c r="J40" s="2"/>
      <c r="K40" s="2"/>
    </row>
    <row r="41" spans="2:26" ht="15" customHeight="1" x14ac:dyDescent="0.25">
      <c r="I41" s="2"/>
      <c r="J41" s="2"/>
      <c r="K41" s="2"/>
    </row>
    <row r="42" spans="2:26" ht="15" customHeight="1" x14ac:dyDescent="0.25">
      <c r="I42" s="2"/>
      <c r="J42" s="2"/>
      <c r="K42" s="2"/>
    </row>
    <row r="43" spans="2:26" ht="15" customHeight="1" x14ac:dyDescent="0.25">
      <c r="I43" s="2"/>
      <c r="J43" s="2"/>
      <c r="K43" s="2"/>
    </row>
    <row r="44" spans="2:26" ht="15" customHeight="1" x14ac:dyDescent="0.25">
      <c r="I44" s="2"/>
      <c r="J44" s="2"/>
      <c r="K44" s="2"/>
    </row>
    <row r="45" spans="2:26" ht="15" customHeight="1" x14ac:dyDescent="0.25">
      <c r="I45" s="2"/>
      <c r="J45" s="2"/>
      <c r="K45" s="2"/>
    </row>
    <row r="46" spans="2:26" ht="15" customHeight="1" x14ac:dyDescent="0.25">
      <c r="I46" s="2"/>
      <c r="J46" s="2"/>
      <c r="K46" s="2"/>
    </row>
    <row r="47" spans="2:26" ht="15" customHeight="1" x14ac:dyDescent="0.25">
      <c r="I47" s="2"/>
      <c r="J47" s="2"/>
      <c r="K47" s="2"/>
    </row>
    <row r="48" spans="2:26" ht="15" customHeight="1" x14ac:dyDescent="0.25">
      <c r="I48" s="2"/>
      <c r="J48" s="2"/>
      <c r="K48" s="2"/>
    </row>
    <row r="49" spans="2:26" ht="15" customHeight="1" x14ac:dyDescent="0.25">
      <c r="I49" s="2"/>
      <c r="J49" s="2"/>
      <c r="K49" s="2"/>
    </row>
    <row r="50" spans="2:26" ht="15" customHeight="1" x14ac:dyDescent="0.25">
      <c r="I50" s="2"/>
      <c r="J50" s="2"/>
      <c r="K50" s="2"/>
    </row>
    <row r="51" spans="2:26" ht="15" customHeight="1" x14ac:dyDescent="0.25">
      <c r="I51" s="2"/>
      <c r="J51" s="2"/>
      <c r="K51" s="2"/>
    </row>
    <row r="52" spans="2:26" ht="15" customHeight="1" x14ac:dyDescent="0.25">
      <c r="I52" s="2"/>
      <c r="J52" s="2"/>
      <c r="K52" s="2"/>
    </row>
    <row r="53" spans="2:26" ht="15" customHeight="1" x14ac:dyDescent="0.25">
      <c r="I53" s="2"/>
      <c r="J53" s="2"/>
      <c r="K53" s="2"/>
    </row>
    <row r="54" spans="2:26" ht="15" customHeight="1" x14ac:dyDescent="0.25">
      <c r="I54" s="2"/>
      <c r="J54" s="2"/>
      <c r="K54" s="2"/>
    </row>
    <row r="55" spans="2:26" ht="15" customHeight="1" x14ac:dyDescent="0.25">
      <c r="I55" s="2"/>
      <c r="J55" s="2"/>
      <c r="K55" s="2"/>
    </row>
    <row r="57" spans="2:26" ht="18.75" x14ac:dyDescent="0.3">
      <c r="B57" s="68" t="s">
        <v>340</v>
      </c>
      <c r="C57" s="64"/>
      <c r="D57" s="64"/>
      <c r="E57" s="64"/>
      <c r="F57" s="64"/>
      <c r="G57" s="64"/>
      <c r="H57" s="64"/>
      <c r="I57" s="63"/>
      <c r="J57" s="63"/>
      <c r="K57" s="63"/>
      <c r="M57" s="65" t="s">
        <v>341</v>
      </c>
      <c r="N57" s="64"/>
      <c r="O57" s="64"/>
      <c r="P57" s="64"/>
      <c r="Q57" s="64"/>
      <c r="R57" s="64"/>
      <c r="S57" s="64"/>
      <c r="T57" s="64"/>
      <c r="U57" s="64"/>
      <c r="V57" s="64"/>
      <c r="W57" s="64"/>
      <c r="X57" s="64"/>
      <c r="Y57" s="64"/>
      <c r="Z57" s="64"/>
    </row>
    <row r="58" spans="2:26" ht="18.75" x14ac:dyDescent="0.25">
      <c r="B58" s="69"/>
      <c r="C58" s="49"/>
      <c r="D58" s="49"/>
      <c r="E58" s="49"/>
      <c r="F58" s="49"/>
      <c r="G58" s="49"/>
      <c r="H58" s="49"/>
    </row>
    <row r="59" spans="2:26" ht="29.25" customHeight="1" x14ac:dyDescent="0.25">
      <c r="B59" s="110" t="s">
        <v>119</v>
      </c>
      <c r="C59" s="110"/>
      <c r="D59" s="110"/>
      <c r="E59" s="110"/>
      <c r="F59" s="110"/>
      <c r="G59" s="110"/>
      <c r="H59" s="110"/>
      <c r="I59" s="110"/>
      <c r="J59" s="110"/>
      <c r="K59" s="110"/>
      <c r="M59" s="9" t="s">
        <v>220</v>
      </c>
    </row>
    <row r="60" spans="2:26" x14ac:dyDescent="0.25">
      <c r="B60" s="113" t="s">
        <v>121</v>
      </c>
      <c r="G60" s="67"/>
      <c r="H60" s="67"/>
    </row>
    <row r="61" spans="2:26" ht="38.1" customHeight="1" thickBot="1" x14ac:dyDescent="0.3">
      <c r="B61" s="113"/>
      <c r="C61" s="114" t="s">
        <v>120</v>
      </c>
      <c r="D61" s="114"/>
      <c r="E61" s="114"/>
      <c r="F61" s="114"/>
      <c r="G61" s="114"/>
      <c r="H61" s="114"/>
      <c r="M61" s="76" t="s">
        <v>344</v>
      </c>
      <c r="U61" s="8" t="s">
        <v>345</v>
      </c>
    </row>
    <row r="62" spans="2:26" ht="48" customHeight="1" thickTop="1" thickBot="1" x14ac:dyDescent="0.3">
      <c r="B62" s="113"/>
      <c r="C62" s="59"/>
      <c r="D62" s="86" t="s">
        <v>122</v>
      </c>
      <c r="E62" s="86" t="s">
        <v>123</v>
      </c>
      <c r="F62" s="86" t="s">
        <v>124</v>
      </c>
      <c r="G62" s="86" t="s">
        <v>125</v>
      </c>
      <c r="H62" s="86" t="s">
        <v>126</v>
      </c>
      <c r="L62" s="111" t="s">
        <v>217</v>
      </c>
      <c r="M62" s="70">
        <v>5</v>
      </c>
      <c r="N62" s="99" cm="1">
        <f t="array" ref="N62">SUMPRODUCT((RiskAssessment[Likelihood]=$M62)*(RiskAssessment[Impact]=N$67))</f>
        <v>0</v>
      </c>
      <c r="O62" s="99" cm="1">
        <f t="array" ref="O62">SUMPRODUCT((RiskAssessment[Likelihood]=$M62)*(RiskAssessment[Impact]=O$67))</f>
        <v>0</v>
      </c>
      <c r="P62" s="100" cm="1">
        <f t="array" ref="P62">SUMPRODUCT((RiskAssessment[Likelihood]=$M62)*(RiskAssessment[Impact]=P$67))</f>
        <v>0</v>
      </c>
      <c r="Q62" s="100" cm="1">
        <f t="array" ref="Q62">SUMPRODUCT((RiskAssessment[Likelihood]=$M62)*(RiskAssessment[Impact]=Q$67))</f>
        <v>0</v>
      </c>
      <c r="R62" s="100" cm="1">
        <f t="array" ref="R62">SUMPRODUCT((RiskAssessment[Likelihood]=$M62)*(RiskAssessment[Impact]=R$67))</f>
        <v>0</v>
      </c>
      <c r="S62" s="57"/>
      <c r="T62" s="111" t="s">
        <v>217</v>
      </c>
      <c r="U62" s="70">
        <v>5</v>
      </c>
      <c r="V62" s="99" cm="1">
        <f t="array" ref="V62">SUMPRODUCT((RiskAssessment[Post-Treatment Likelihood]=$U62)*(RiskAssessment[Post- Treatment Impact]=V$67))</f>
        <v>0</v>
      </c>
      <c r="W62" s="99" cm="1">
        <f t="array" ref="W62">SUMPRODUCT((RiskAssessment[Post-Treatment Likelihood]=$U62)*(RiskAssessment[Post- Treatment Impact]=W$67))</f>
        <v>0</v>
      </c>
      <c r="X62" s="100" cm="1">
        <f t="array" ref="X62">SUMPRODUCT((RiskAssessment[Post-Treatment Likelihood]=$U62)*(RiskAssessment[Post- Treatment Impact]=X$67))</f>
        <v>0</v>
      </c>
      <c r="Y62" s="100" cm="1">
        <f t="array" ref="Y62">SUMPRODUCT((RiskAssessment[Post-Treatment Likelihood]=$U62)*(RiskAssessment[Post- Treatment Impact]=Y$67))</f>
        <v>0</v>
      </c>
      <c r="Z62" s="100" cm="1">
        <f t="array" ref="Z62">SUMPRODUCT((RiskAssessment[Post-Treatment Likelihood]=$U62)*(RiskAssessment[Post- Treatment Impact]=Z$67))</f>
        <v>0</v>
      </c>
    </row>
    <row r="63" spans="2:26" ht="48" customHeight="1" thickTop="1" thickBot="1" x14ac:dyDescent="0.3">
      <c r="B63" s="113"/>
      <c r="C63" s="86" t="s">
        <v>312</v>
      </c>
      <c r="D63" s="60" t="s">
        <v>127</v>
      </c>
      <c r="E63" s="60" t="s">
        <v>128</v>
      </c>
      <c r="F63" s="61" t="s">
        <v>129</v>
      </c>
      <c r="G63" s="61" t="s">
        <v>130</v>
      </c>
      <c r="H63" s="61" t="s">
        <v>131</v>
      </c>
      <c r="L63" s="111"/>
      <c r="M63" s="71">
        <v>4</v>
      </c>
      <c r="N63" s="101" cm="1">
        <f t="array" ref="N63">SUMPRODUCT((RiskAssessment[Likelihood]=$M63)*(RiskAssessment[Impact]=N$67))</f>
        <v>0</v>
      </c>
      <c r="O63" s="99" cm="1">
        <f t="array" ref="O63">SUMPRODUCT((RiskAssessment[Likelihood]=$M63)*(RiskAssessment[Impact]=O$67))</f>
        <v>0</v>
      </c>
      <c r="P63" s="100" cm="1">
        <f t="array" ref="P63">SUMPRODUCT((RiskAssessment[Likelihood]=$M63)*(RiskAssessment[Impact]=P$67))</f>
        <v>0</v>
      </c>
      <c r="Q63" s="100" cm="1">
        <f t="array" ref="Q63">SUMPRODUCT((RiskAssessment[Likelihood]=$M63)*(RiskAssessment[Impact]=Q$67))</f>
        <v>1</v>
      </c>
      <c r="R63" s="100" cm="1">
        <f t="array" ref="R63">SUMPRODUCT((RiskAssessment[Likelihood]=$M63)*(RiskAssessment[Impact]=R$67))</f>
        <v>0</v>
      </c>
      <c r="S63" s="57"/>
      <c r="T63" s="111"/>
      <c r="U63" s="71">
        <v>4</v>
      </c>
      <c r="V63" s="101" cm="1">
        <f t="array" ref="V63">SUMPRODUCT((RiskAssessment[Post-Treatment Likelihood]=$U63)*(RiskAssessment[Post- Treatment Impact]=V$67))</f>
        <v>0</v>
      </c>
      <c r="W63" s="99" cm="1">
        <f t="array" ref="W63">SUMPRODUCT((RiskAssessment[Post-Treatment Likelihood]=$U63)*(RiskAssessment[Post- Treatment Impact]=W$67))</f>
        <v>0</v>
      </c>
      <c r="X63" s="100" cm="1">
        <f t="array" ref="X63">SUMPRODUCT((RiskAssessment[Post-Treatment Likelihood]=$U63)*(RiskAssessment[Post- Treatment Impact]=X$67))</f>
        <v>0</v>
      </c>
      <c r="Y63" s="100" cm="1">
        <f t="array" ref="Y63">SUMPRODUCT((RiskAssessment[Post-Treatment Likelihood]=$U63)*(RiskAssessment[Post- Treatment Impact]=Y$67))</f>
        <v>0</v>
      </c>
      <c r="Z63" s="100" cm="1">
        <f t="array" ref="Z63">SUMPRODUCT((RiskAssessment[Post-Treatment Likelihood]=$U63)*(RiskAssessment[Post- Treatment Impact]=Z$67))</f>
        <v>0</v>
      </c>
    </row>
    <row r="64" spans="2:26" ht="48" customHeight="1" thickTop="1" thickBot="1" x14ac:dyDescent="0.3">
      <c r="B64" s="113"/>
      <c r="C64" s="86" t="s">
        <v>132</v>
      </c>
      <c r="D64" s="62" t="s">
        <v>133</v>
      </c>
      <c r="E64" s="60" t="s">
        <v>134</v>
      </c>
      <c r="F64" s="61" t="s">
        <v>135</v>
      </c>
      <c r="G64" s="61" t="s">
        <v>136</v>
      </c>
      <c r="H64" s="61" t="s">
        <v>130</v>
      </c>
      <c r="L64" s="111"/>
      <c r="M64" s="71">
        <v>3</v>
      </c>
      <c r="N64" s="101" cm="1">
        <f t="array" ref="N64">SUMPRODUCT((RiskAssessment[Likelihood]=$M64)*(RiskAssessment[Impact]=N$67))</f>
        <v>0</v>
      </c>
      <c r="O64" s="99" cm="1">
        <f t="array" ref="O64">SUMPRODUCT((RiskAssessment[Likelihood]=$M64)*(RiskAssessment[Impact]=O$67))</f>
        <v>0</v>
      </c>
      <c r="P64" s="99" cm="1">
        <f t="array" ref="P64">SUMPRODUCT((RiskAssessment[Likelihood]=$M64)*(RiskAssessment[Impact]=P$67))</f>
        <v>1</v>
      </c>
      <c r="Q64" s="100" cm="1">
        <f t="array" ref="Q64">SUMPRODUCT((RiskAssessment[Likelihood]=$M64)*(RiskAssessment[Impact]=Q$67))</f>
        <v>1</v>
      </c>
      <c r="R64" s="100" cm="1">
        <f t="array" ref="R64">SUMPRODUCT((RiskAssessment[Likelihood]=$M64)*(RiskAssessment[Impact]=R$67))</f>
        <v>1</v>
      </c>
      <c r="S64" s="57"/>
      <c r="T64" s="111"/>
      <c r="U64" s="71">
        <v>3</v>
      </c>
      <c r="V64" s="101" cm="1">
        <f t="array" ref="V64">SUMPRODUCT((RiskAssessment[Post-Treatment Likelihood]=$U64)*(RiskAssessment[Post- Treatment Impact]=V$67))</f>
        <v>0</v>
      </c>
      <c r="W64" s="99" cm="1">
        <f t="array" ref="W64">SUMPRODUCT((RiskAssessment[Post-Treatment Likelihood]=$U64)*(RiskAssessment[Post- Treatment Impact]=W$67))</f>
        <v>0</v>
      </c>
      <c r="X64" s="99" cm="1">
        <f t="array" ref="X64">SUMPRODUCT((RiskAssessment[Post-Treatment Likelihood]=$U64)*(RiskAssessment[Post- Treatment Impact]=X$67))</f>
        <v>1</v>
      </c>
      <c r="Y64" s="100" cm="1">
        <f t="array" ref="Y64">SUMPRODUCT((RiskAssessment[Post-Treatment Likelihood]=$U64)*(RiskAssessment[Post- Treatment Impact]=Y$67))</f>
        <v>1</v>
      </c>
      <c r="Z64" s="100" cm="1">
        <f t="array" ref="Z64">SUMPRODUCT((RiskAssessment[Post-Treatment Likelihood]=$U64)*(RiskAssessment[Post- Treatment Impact]=Z$67))</f>
        <v>0</v>
      </c>
    </row>
    <row r="65" spans="2:26" ht="48" customHeight="1" thickTop="1" thickBot="1" x14ac:dyDescent="0.3">
      <c r="B65" s="113"/>
      <c r="C65" s="86" t="s">
        <v>137</v>
      </c>
      <c r="D65" s="62" t="s">
        <v>138</v>
      </c>
      <c r="E65" s="60" t="s">
        <v>139</v>
      </c>
      <c r="F65" s="60" t="s">
        <v>140</v>
      </c>
      <c r="G65" s="61" t="s">
        <v>135</v>
      </c>
      <c r="H65" s="61" t="s">
        <v>129</v>
      </c>
      <c r="L65" s="111"/>
      <c r="M65" s="71">
        <v>2</v>
      </c>
      <c r="N65" s="101" cm="1">
        <f t="array" ref="N65">SUMPRODUCT((RiskAssessment[Likelihood]=$M65)*(RiskAssessment[Impact]=N$67))</f>
        <v>0</v>
      </c>
      <c r="O65" s="101" cm="1">
        <f t="array" ref="O65">SUMPRODUCT((RiskAssessment[Likelihood]=$M65)*(RiskAssessment[Impact]=O$67))</f>
        <v>2</v>
      </c>
      <c r="P65" s="99" cm="1">
        <f t="array" ref="P65">SUMPRODUCT((RiskAssessment[Likelihood]=$M65)*(RiskAssessment[Impact]=P$67))</f>
        <v>0</v>
      </c>
      <c r="Q65" s="99" cm="1">
        <f t="array" ref="Q65">SUMPRODUCT((RiskAssessment[Likelihood]=$M65)*(RiskAssessment[Impact]=Q$67))</f>
        <v>1</v>
      </c>
      <c r="R65" s="99" cm="1">
        <f t="array" ref="R65">SUMPRODUCT((RiskAssessment[Likelihood]=$M65)*(RiskAssessment[Impact]=R$67))</f>
        <v>0</v>
      </c>
      <c r="S65" s="57"/>
      <c r="T65" s="111"/>
      <c r="U65" s="71">
        <v>2</v>
      </c>
      <c r="V65" s="101" cm="1">
        <f t="array" ref="V65">SUMPRODUCT((RiskAssessment[Post-Treatment Likelihood]=$U65)*(RiskAssessment[Post- Treatment Impact]=V$67))</f>
        <v>0</v>
      </c>
      <c r="W65" s="101" cm="1">
        <f t="array" ref="W65">SUMPRODUCT((RiskAssessment[Post-Treatment Likelihood]=$U65)*(RiskAssessment[Post- Treatment Impact]=W$67))</f>
        <v>2</v>
      </c>
      <c r="X65" s="99" cm="1">
        <f t="array" ref="X65">SUMPRODUCT((RiskAssessment[Post-Treatment Likelihood]=$U65)*(RiskAssessment[Post- Treatment Impact]=X$67))</f>
        <v>2</v>
      </c>
      <c r="Y65" s="99" cm="1">
        <f t="array" ref="Y65">SUMPRODUCT((RiskAssessment[Post-Treatment Likelihood]=$U65)*(RiskAssessment[Post- Treatment Impact]=Y$67))</f>
        <v>1</v>
      </c>
      <c r="Z65" s="99" cm="1">
        <f t="array" ref="Z65">SUMPRODUCT((RiskAssessment[Post-Treatment Likelihood]=$U65)*(RiskAssessment[Post- Treatment Impact]=Z$67))</f>
        <v>0</v>
      </c>
    </row>
    <row r="66" spans="2:26" ht="48" customHeight="1" thickTop="1" thickBot="1" x14ac:dyDescent="0.3">
      <c r="B66" s="113"/>
      <c r="C66" s="86" t="s">
        <v>141</v>
      </c>
      <c r="D66" s="62" t="s">
        <v>142</v>
      </c>
      <c r="E66" s="62" t="s">
        <v>133</v>
      </c>
      <c r="F66" s="60" t="s">
        <v>139</v>
      </c>
      <c r="G66" s="60" t="s">
        <v>134</v>
      </c>
      <c r="H66" s="60" t="s">
        <v>128</v>
      </c>
      <c r="L66" s="111"/>
      <c r="M66" s="71">
        <v>1</v>
      </c>
      <c r="N66" s="101" cm="1">
        <f t="array" ref="N66">SUMPRODUCT((RiskAssessment[Likelihood]=$M66)*(RiskAssessment[Impact]=N$67))</f>
        <v>0</v>
      </c>
      <c r="O66" s="101" cm="1">
        <f t="array" ref="O66">SUMPRODUCT((RiskAssessment[Likelihood]=$M66)*(RiskAssessment[Impact]=O$67))</f>
        <v>0</v>
      </c>
      <c r="P66" s="101" cm="1">
        <f t="array" ref="P66">SUMPRODUCT((RiskAssessment[Likelihood]=$M66)*(RiskAssessment[Impact]=P$67))</f>
        <v>0</v>
      </c>
      <c r="Q66" s="101" cm="1">
        <f t="array" ref="Q66">SUMPRODUCT((RiskAssessment[Likelihood]=$M66)*(RiskAssessment[Impact]=Q$67))</f>
        <v>1</v>
      </c>
      <c r="R66" s="99" cm="1">
        <f t="array" ref="R66">SUMPRODUCT((RiskAssessment[Likelihood]=$M66)*(RiskAssessment[Impact]=R$67))</f>
        <v>0</v>
      </c>
      <c r="S66" s="57"/>
      <c r="T66" s="111"/>
      <c r="U66" s="71">
        <v>1</v>
      </c>
      <c r="V66" s="101" cm="1">
        <f t="array" ref="V66">SUMPRODUCT((RiskAssessment[Post-Treatment Likelihood]=$U66)*(RiskAssessment[Post- Treatment Impact]=V$67))</f>
        <v>0</v>
      </c>
      <c r="W66" s="101" cm="1">
        <f t="array" ref="W66">SUMPRODUCT((RiskAssessment[Post-Treatment Likelihood]=$U66)*(RiskAssessment[Post- Treatment Impact]=W$67))</f>
        <v>0</v>
      </c>
      <c r="X66" s="101" cm="1">
        <f t="array" ref="X66">SUMPRODUCT((RiskAssessment[Post-Treatment Likelihood]=$U66)*(RiskAssessment[Post- Treatment Impact]=X$67))</f>
        <v>0</v>
      </c>
      <c r="Y66" s="101" cm="1">
        <f t="array" ref="Y66">SUMPRODUCT((RiskAssessment[Post-Treatment Likelihood]=$U66)*(RiskAssessment[Post- Treatment Impact]=Y$67))</f>
        <v>1</v>
      </c>
      <c r="Z66" s="99" cm="1">
        <f t="array" ref="Z66">SUMPRODUCT((RiskAssessment[Post-Treatment Likelihood]=$U66)*(RiskAssessment[Post- Treatment Impact]=Z$67))</f>
        <v>0</v>
      </c>
    </row>
    <row r="67" spans="2:26" ht="48" customHeight="1" thickTop="1" thickBot="1" x14ac:dyDescent="0.3">
      <c r="B67" s="113"/>
      <c r="C67" s="86" t="s">
        <v>143</v>
      </c>
      <c r="D67" s="62" t="s">
        <v>144</v>
      </c>
      <c r="E67" s="62" t="s">
        <v>142</v>
      </c>
      <c r="F67" s="62" t="s">
        <v>138</v>
      </c>
      <c r="G67" s="62" t="s">
        <v>133</v>
      </c>
      <c r="H67" s="60" t="s">
        <v>127</v>
      </c>
      <c r="L67" s="111"/>
      <c r="M67" s="72"/>
      <c r="N67" s="73">
        <v>1</v>
      </c>
      <c r="O67" s="73">
        <v>2</v>
      </c>
      <c r="P67" s="73">
        <v>3</v>
      </c>
      <c r="Q67" s="73">
        <v>4</v>
      </c>
      <c r="R67" s="74">
        <v>5</v>
      </c>
      <c r="S67" s="57"/>
      <c r="T67" s="111"/>
      <c r="U67" s="72"/>
      <c r="V67" s="73">
        <v>1</v>
      </c>
      <c r="W67" s="73">
        <v>2</v>
      </c>
      <c r="X67" s="73">
        <v>3</v>
      </c>
      <c r="Y67" s="73">
        <v>4</v>
      </c>
      <c r="Z67" s="74">
        <v>5</v>
      </c>
    </row>
    <row r="68" spans="2:26" ht="32.25" customHeight="1" thickTop="1" x14ac:dyDescent="0.25">
      <c r="L68" s="112" t="s">
        <v>346</v>
      </c>
      <c r="M68" s="112"/>
      <c r="N68" s="112"/>
      <c r="O68" s="112"/>
      <c r="P68" s="112"/>
      <c r="Q68" s="112"/>
      <c r="R68" s="112"/>
      <c r="S68" s="75"/>
      <c r="T68" s="112" t="s">
        <v>346</v>
      </c>
      <c r="U68" s="112"/>
      <c r="V68" s="112"/>
      <c r="W68" s="112"/>
      <c r="X68" s="112"/>
      <c r="Y68" s="112"/>
      <c r="Z68" s="112"/>
    </row>
    <row r="69" spans="2:26" ht="15" customHeight="1" x14ac:dyDescent="0.25">
      <c r="B69" s="58"/>
      <c r="I69" s="2"/>
      <c r="J69" s="2"/>
      <c r="K69" s="2"/>
    </row>
    <row r="70" spans="2:26" ht="15" customHeight="1" x14ac:dyDescent="0.25">
      <c r="B70" s="58"/>
      <c r="I70" s="3"/>
      <c r="J70" s="3"/>
      <c r="K70" s="3"/>
      <c r="L70" s="3"/>
      <c r="M70" s="3"/>
      <c r="N70" s="3"/>
    </row>
    <row r="71" spans="2:26" ht="18.75" x14ac:dyDescent="0.3">
      <c r="B71" s="65" t="s">
        <v>342</v>
      </c>
      <c r="C71" s="64"/>
      <c r="D71" s="64"/>
      <c r="E71" s="64"/>
      <c r="F71" s="64"/>
      <c r="G71" s="64"/>
      <c r="H71" s="64"/>
      <c r="I71" s="64"/>
      <c r="J71" s="64"/>
      <c r="K71" s="64"/>
      <c r="L71" s="64"/>
      <c r="M71" s="64"/>
      <c r="N71" s="64"/>
      <c r="O71" s="64"/>
      <c r="P71" s="64"/>
      <c r="Q71" s="64"/>
      <c r="R71" s="64"/>
      <c r="S71" s="64"/>
      <c r="T71" s="64"/>
      <c r="U71" s="64"/>
      <c r="V71" s="63"/>
      <c r="W71" s="63"/>
      <c r="X71" s="63"/>
      <c r="Y71" s="63"/>
      <c r="Z71" s="63"/>
    </row>
    <row r="94" spans="2:35" ht="18.75" x14ac:dyDescent="0.3">
      <c r="B94" s="65" t="s">
        <v>343</v>
      </c>
      <c r="C94" s="64"/>
      <c r="D94" s="64"/>
      <c r="E94" s="64"/>
      <c r="F94" s="64"/>
      <c r="G94" s="64"/>
      <c r="H94" s="64"/>
      <c r="I94" s="64"/>
      <c r="J94" s="64"/>
      <c r="K94" s="64"/>
      <c r="L94" s="64"/>
      <c r="M94" s="64"/>
      <c r="N94" s="64"/>
      <c r="O94" s="64"/>
      <c r="P94" s="64"/>
      <c r="Q94" s="64"/>
      <c r="R94" s="64"/>
      <c r="S94" s="64"/>
      <c r="T94" s="64"/>
      <c r="U94" s="64"/>
      <c r="V94" s="64"/>
      <c r="W94" s="64"/>
      <c r="X94" s="64"/>
      <c r="Y94" s="64"/>
      <c r="Z94" s="64"/>
      <c r="AA94" s="49"/>
      <c r="AB94" s="49"/>
      <c r="AC94" s="49"/>
      <c r="AD94" s="49"/>
      <c r="AE94" s="49"/>
      <c r="AF94" s="49"/>
      <c r="AG94" s="49"/>
      <c r="AH94" s="49"/>
      <c r="AI94" s="49"/>
    </row>
  </sheetData>
  <mergeCells count="7">
    <mergeCell ref="B59:K59"/>
    <mergeCell ref="L62:L67"/>
    <mergeCell ref="L68:R68"/>
    <mergeCell ref="T62:T67"/>
    <mergeCell ref="T68:Z68"/>
    <mergeCell ref="B60:B67"/>
    <mergeCell ref="C61:H61"/>
  </mergeCells>
  <pageMargins left="0.23622047244094491" right="0.23622047244094491" top="0.39370078740157483" bottom="0.39370078740157483" header="0.19685039370078741" footer="0.19685039370078741"/>
  <pageSetup paperSize="9" scale="35" orientation="portrait" horizontalDpi="360" verticalDpi="360" r:id="rId1"/>
  <headerFooter>
    <oddFooter>&amp;L&amp;D&amp;CPage &amp;P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3E4F5-DF90-4F1D-A0B0-9EF99D0AAB49}">
  <dimension ref="B4:D15"/>
  <sheetViews>
    <sheetView showGridLines="0" workbookViewId="0"/>
  </sheetViews>
  <sheetFormatPr defaultRowHeight="15" x14ac:dyDescent="0.25"/>
  <cols>
    <col min="1" max="1" width="2.85546875" customWidth="1"/>
    <col min="2" max="2" width="11.7109375" bestFit="1" customWidth="1"/>
    <col min="3" max="3" width="14.28515625" bestFit="1" customWidth="1"/>
    <col min="4" max="4" width="9" bestFit="1" customWidth="1"/>
    <col min="5" max="5" width="5.42578125" bestFit="1" customWidth="1"/>
    <col min="10" max="10" width="20" customWidth="1"/>
    <col min="11" max="11" width="20.5703125" customWidth="1"/>
  </cols>
  <sheetData>
    <row r="4" spans="2:4" ht="18.75" x14ac:dyDescent="0.3">
      <c r="B4" s="87" t="s">
        <v>350</v>
      </c>
    </row>
    <row r="6" spans="2:4" x14ac:dyDescent="0.25">
      <c r="B6" s="89" t="s">
        <v>5</v>
      </c>
      <c r="C6" s="89" t="s">
        <v>344</v>
      </c>
      <c r="D6" s="90"/>
    </row>
    <row r="7" spans="2:4" x14ac:dyDescent="0.25">
      <c r="B7" t="s">
        <v>53</v>
      </c>
      <c r="C7">
        <f>COUNTIF(RiskAssessment[Risk Level],PreMitigationRisksByRiskLevel[[#This Row],[Risk level]])</f>
        <v>3</v>
      </c>
    </row>
    <row r="8" spans="2:4" x14ac:dyDescent="0.25">
      <c r="B8" t="s">
        <v>54</v>
      </c>
      <c r="C8">
        <f>COUNTIF(RiskAssessment[Risk Level],PreMitigationRisksByRiskLevel[[#This Row],[Risk level]])</f>
        <v>2</v>
      </c>
    </row>
    <row r="9" spans="2:4" x14ac:dyDescent="0.25">
      <c r="B9" t="s">
        <v>55</v>
      </c>
      <c r="C9">
        <f>COUNTIF(RiskAssessment[Risk Level],PreMitigationRisksByRiskLevel[[#This Row],[Risk level]])</f>
        <v>3</v>
      </c>
    </row>
    <row r="12" spans="2:4" ht="15" customHeight="1" x14ac:dyDescent="0.25">
      <c r="B12" s="64" t="s">
        <v>5</v>
      </c>
      <c r="C12" s="64" t="s">
        <v>351</v>
      </c>
    </row>
    <row r="13" spans="2:4" ht="15" customHeight="1" x14ac:dyDescent="0.25">
      <c r="B13" t="s">
        <v>53</v>
      </c>
      <c r="C13" s="48">
        <v>3</v>
      </c>
    </row>
    <row r="14" spans="2:4" x14ac:dyDescent="0.25">
      <c r="B14" t="s">
        <v>54</v>
      </c>
      <c r="C14" s="48">
        <v>2</v>
      </c>
    </row>
    <row r="15" spans="2:4" x14ac:dyDescent="0.25">
      <c r="B15" t="s">
        <v>55</v>
      </c>
      <c r="C15" s="48">
        <v>3</v>
      </c>
    </row>
  </sheetData>
  <pageMargins left="0.7" right="0.7" top="0.75" bottom="0.75" header="0.3" footer="0.3"/>
  <pageSetup paperSize="9" orientation="portrait" horizontalDpi="360" verticalDpi="360"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A63F8-CBC4-485A-9214-52D7F10AE4DA}">
  <dimension ref="B4:D12"/>
  <sheetViews>
    <sheetView showGridLines="0" workbookViewId="0"/>
  </sheetViews>
  <sheetFormatPr defaultRowHeight="15" x14ac:dyDescent="0.25"/>
  <cols>
    <col min="1" max="1" width="2.85546875" customWidth="1"/>
    <col min="2" max="3" width="19.28515625" bestFit="1" customWidth="1"/>
    <col min="4" max="4" width="18" bestFit="1" customWidth="1"/>
    <col min="5" max="6" width="6" bestFit="1" customWidth="1"/>
    <col min="7" max="8" width="11.28515625" bestFit="1" customWidth="1"/>
  </cols>
  <sheetData>
    <row r="4" spans="2:4" ht="18.75" x14ac:dyDescent="0.3">
      <c r="B4" s="87" t="s">
        <v>352</v>
      </c>
    </row>
    <row r="6" spans="2:4" x14ac:dyDescent="0.25">
      <c r="B6" s="64" t="s">
        <v>145</v>
      </c>
      <c r="C6" s="64" t="s">
        <v>204</v>
      </c>
      <c r="D6" s="64" t="s">
        <v>63</v>
      </c>
    </row>
    <row r="7" spans="2:4" x14ac:dyDescent="0.25">
      <c r="B7" s="64" t="s">
        <v>284</v>
      </c>
      <c r="C7" t="s">
        <v>239</v>
      </c>
      <c r="D7" s="48">
        <v>2</v>
      </c>
    </row>
    <row r="8" spans="2:4" x14ac:dyDescent="0.25">
      <c r="B8" s="64"/>
      <c r="C8" t="s">
        <v>249</v>
      </c>
      <c r="D8" s="48">
        <v>1</v>
      </c>
    </row>
    <row r="9" spans="2:4" x14ac:dyDescent="0.25">
      <c r="B9" s="64" t="s">
        <v>285</v>
      </c>
      <c r="C9" t="s">
        <v>256</v>
      </c>
      <c r="D9" s="48">
        <v>1</v>
      </c>
    </row>
    <row r="10" spans="2:4" x14ac:dyDescent="0.25">
      <c r="B10" s="64"/>
      <c r="C10" t="s">
        <v>239</v>
      </c>
      <c r="D10" s="48">
        <v>1</v>
      </c>
    </row>
    <row r="11" spans="2:4" x14ac:dyDescent="0.25">
      <c r="B11" s="64" t="s">
        <v>283</v>
      </c>
      <c r="C11" t="s">
        <v>239</v>
      </c>
      <c r="D11" s="48">
        <v>1</v>
      </c>
    </row>
    <row r="12" spans="2:4" x14ac:dyDescent="0.25">
      <c r="B12" s="64"/>
      <c r="C12" t="s">
        <v>249</v>
      </c>
      <c r="D12" s="48">
        <v>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60A9E-86FD-4F3D-AF8A-CECB6264C8CB}">
  <dimension ref="B4:C15"/>
  <sheetViews>
    <sheetView showGridLines="0" workbookViewId="0"/>
  </sheetViews>
  <sheetFormatPr defaultRowHeight="15" x14ac:dyDescent="0.25"/>
  <cols>
    <col min="1" max="1" width="2.85546875" customWidth="1"/>
    <col min="2" max="2" width="11.7109375" bestFit="1" customWidth="1"/>
    <col min="3" max="3" width="15.140625" bestFit="1" customWidth="1"/>
  </cols>
  <sheetData>
    <row r="4" spans="2:3" ht="18.75" x14ac:dyDescent="0.3">
      <c r="B4" s="87" t="s">
        <v>348</v>
      </c>
    </row>
    <row r="6" spans="2:3" x14ac:dyDescent="0.25">
      <c r="B6" s="89" t="s">
        <v>5</v>
      </c>
      <c r="C6" s="89" t="s">
        <v>345</v>
      </c>
    </row>
    <row r="7" spans="2:3" x14ac:dyDescent="0.25">
      <c r="B7" t="s">
        <v>53</v>
      </c>
      <c r="C7">
        <f>COUNTIF(RiskAssessment[Post-Treatment Risk Level],RisksByRiskLevelPreandPostTreatment10[[#This Row],[Risk level]])</f>
        <v>3</v>
      </c>
    </row>
    <row r="8" spans="2:3" x14ac:dyDescent="0.25">
      <c r="B8" t="s">
        <v>54</v>
      </c>
      <c r="C8">
        <f>COUNTIF(RiskAssessment[Post-Treatment Risk Level],RisksByRiskLevelPreandPostTreatment10[[#This Row],[Risk level]])</f>
        <v>4</v>
      </c>
    </row>
    <row r="9" spans="2:3" x14ac:dyDescent="0.25">
      <c r="B9" t="s">
        <v>55</v>
      </c>
      <c r="C9">
        <f>COUNTIF(RiskAssessment[Post-Treatment Risk Level],RisksByRiskLevelPreandPostTreatment10[[#This Row],[Risk level]])</f>
        <v>1</v>
      </c>
    </row>
    <row r="12" spans="2:3" x14ac:dyDescent="0.25">
      <c r="B12" s="64" t="s">
        <v>5</v>
      </c>
      <c r="C12" s="64" t="s">
        <v>353</v>
      </c>
    </row>
    <row r="13" spans="2:3" x14ac:dyDescent="0.25">
      <c r="B13" t="s">
        <v>53</v>
      </c>
      <c r="C13" s="48">
        <v>3</v>
      </c>
    </row>
    <row r="14" spans="2:3" x14ac:dyDescent="0.25">
      <c r="B14" t="s">
        <v>54</v>
      </c>
      <c r="C14" s="48">
        <v>4</v>
      </c>
    </row>
    <row r="15" spans="2:3" x14ac:dyDescent="0.25">
      <c r="B15" t="s">
        <v>55</v>
      </c>
      <c r="C15" s="48">
        <v>1</v>
      </c>
    </row>
  </sheetData>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32937-DB60-4DE4-BFE1-D13A6F60674E}">
  <dimension ref="B4:D15"/>
  <sheetViews>
    <sheetView showGridLines="0" workbookViewId="0"/>
  </sheetViews>
  <sheetFormatPr defaultRowHeight="15" x14ac:dyDescent="0.25"/>
  <cols>
    <col min="1" max="1" width="2.85546875" customWidth="1"/>
    <col min="2" max="2" width="11.7109375" bestFit="1" customWidth="1"/>
    <col min="3" max="3" width="14.28515625" bestFit="1" customWidth="1"/>
    <col min="4" max="4" width="15.140625" bestFit="1" customWidth="1"/>
  </cols>
  <sheetData>
    <row r="4" spans="2:4" ht="18.75" x14ac:dyDescent="0.25">
      <c r="B4" s="88" t="s">
        <v>347</v>
      </c>
    </row>
    <row r="6" spans="2:4" x14ac:dyDescent="0.25">
      <c r="B6" s="89" t="s">
        <v>5</v>
      </c>
      <c r="C6" s="89" t="s">
        <v>344</v>
      </c>
      <c r="D6" s="89" t="s">
        <v>345</v>
      </c>
    </row>
    <row r="7" spans="2:4" x14ac:dyDescent="0.25">
      <c r="B7" t="s">
        <v>53</v>
      </c>
      <c r="C7">
        <f>COUNTIF(RiskAssessment[Risk Level],PreMitigationRisksByRiskLevel10[[#This Row],[Risk level]])</f>
        <v>3</v>
      </c>
      <c r="D7">
        <f>COUNTIF(RiskAssessment[Post-Treatment Risk Level],PreMitigationRisksByRiskLevel10[[#This Row],[Risk level]])</f>
        <v>3</v>
      </c>
    </row>
    <row r="8" spans="2:4" x14ac:dyDescent="0.25">
      <c r="B8" t="s">
        <v>54</v>
      </c>
      <c r="C8">
        <f>COUNTIF(RiskAssessment[Risk Level],PreMitigationRisksByRiskLevel10[[#This Row],[Risk level]])</f>
        <v>2</v>
      </c>
      <c r="D8">
        <f>COUNTIF(RiskAssessment[Post-Treatment Risk Level],PreMitigationRisksByRiskLevel10[[#This Row],[Risk level]])</f>
        <v>4</v>
      </c>
    </row>
    <row r="9" spans="2:4" x14ac:dyDescent="0.25">
      <c r="B9" t="s">
        <v>55</v>
      </c>
      <c r="C9">
        <f>COUNTIF(RiskAssessment[Risk Level],PreMitigationRisksByRiskLevel10[[#This Row],[Risk level]])</f>
        <v>3</v>
      </c>
      <c r="D9">
        <f>COUNTIF(RiskAssessment[Post-Treatment Risk Level],PreMitigationRisksByRiskLevel10[[#This Row],[Risk level]])</f>
        <v>1</v>
      </c>
    </row>
    <row r="12" spans="2:4" x14ac:dyDescent="0.25">
      <c r="B12" s="64" t="s">
        <v>5</v>
      </c>
      <c r="C12" s="64" t="s">
        <v>351</v>
      </c>
      <c r="D12" s="64" t="s">
        <v>353</v>
      </c>
    </row>
    <row r="13" spans="2:4" x14ac:dyDescent="0.25">
      <c r="B13" t="s">
        <v>53</v>
      </c>
      <c r="C13" s="48">
        <v>3</v>
      </c>
      <c r="D13" s="48">
        <v>3</v>
      </c>
    </row>
    <row r="14" spans="2:4" x14ac:dyDescent="0.25">
      <c r="B14" t="s">
        <v>54</v>
      </c>
      <c r="C14" s="48">
        <v>2</v>
      </c>
      <c r="D14" s="48">
        <v>4</v>
      </c>
    </row>
    <row r="15" spans="2:4" x14ac:dyDescent="0.25">
      <c r="B15" t="s">
        <v>55</v>
      </c>
      <c r="C15" s="48">
        <v>3</v>
      </c>
      <c r="D15" s="48">
        <v>1</v>
      </c>
    </row>
  </sheetData>
  <pageMargins left="0.7" right="0.7" top="0.75" bottom="0.75" header="0.3" footer="0.3"/>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7CBF-669D-4C66-BF14-C25C395EDAAC}">
  <dimension ref="B4:C9"/>
  <sheetViews>
    <sheetView showGridLines="0" workbookViewId="0"/>
  </sheetViews>
  <sheetFormatPr defaultRowHeight="15" x14ac:dyDescent="0.25"/>
  <cols>
    <col min="1" max="1" width="2.85546875" customWidth="1"/>
    <col min="2" max="2" width="26.5703125" bestFit="1" customWidth="1"/>
    <col min="3" max="3" width="21.7109375" bestFit="1" customWidth="1"/>
  </cols>
  <sheetData>
    <row r="4" spans="2:3" ht="18.75" x14ac:dyDescent="0.3">
      <c r="B4" s="87" t="s">
        <v>354</v>
      </c>
    </row>
    <row r="7" spans="2:3" x14ac:dyDescent="0.25">
      <c r="B7" s="64" t="s">
        <v>208</v>
      </c>
      <c r="C7" s="64" t="s">
        <v>218</v>
      </c>
    </row>
    <row r="8" spans="2:3" x14ac:dyDescent="0.25">
      <c r="B8" t="s">
        <v>9</v>
      </c>
      <c r="C8" s="48">
        <v>3</v>
      </c>
    </row>
    <row r="9" spans="2:3" x14ac:dyDescent="0.25">
      <c r="B9" t="s">
        <v>11</v>
      </c>
      <c r="C9" s="48">
        <v>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3E414-954D-4490-976C-605E82C1EE5F}">
  <dimension ref="B4:C10"/>
  <sheetViews>
    <sheetView showGridLines="0" workbookViewId="0"/>
  </sheetViews>
  <sheetFormatPr defaultRowHeight="15" x14ac:dyDescent="0.25"/>
  <cols>
    <col min="1" max="1" width="2.85546875" customWidth="1"/>
    <col min="2" max="2" width="12" bestFit="1" customWidth="1"/>
    <col min="3" max="3" width="21.5703125" bestFit="1" customWidth="1"/>
  </cols>
  <sheetData>
    <row r="4" spans="2:3" ht="18.75" x14ac:dyDescent="0.25">
      <c r="B4" s="88" t="s">
        <v>355</v>
      </c>
    </row>
    <row r="7" spans="2:3" x14ac:dyDescent="0.25">
      <c r="B7" s="64" t="s">
        <v>145</v>
      </c>
      <c r="C7" s="64" t="s">
        <v>65</v>
      </c>
    </row>
    <row r="8" spans="2:3" x14ac:dyDescent="0.25">
      <c r="B8" t="s">
        <v>284</v>
      </c>
      <c r="C8" s="92">
        <v>0</v>
      </c>
    </row>
    <row r="9" spans="2:3" x14ac:dyDescent="0.25">
      <c r="B9" t="s">
        <v>285</v>
      </c>
      <c r="C9" s="92">
        <v>33000</v>
      </c>
    </row>
    <row r="10" spans="2:3" x14ac:dyDescent="0.25">
      <c r="B10" t="s">
        <v>283</v>
      </c>
      <c r="C10" s="92">
        <v>135000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3A6D8-A761-407E-8E43-5737DD052D09}">
  <dimension ref="B4:E12"/>
  <sheetViews>
    <sheetView showGridLines="0" workbookViewId="0"/>
  </sheetViews>
  <sheetFormatPr defaultRowHeight="15" x14ac:dyDescent="0.25"/>
  <cols>
    <col min="1" max="1" width="2.85546875" customWidth="1"/>
    <col min="2" max="2" width="31.5703125" bestFit="1" customWidth="1"/>
    <col min="3" max="3" width="12" bestFit="1" customWidth="1"/>
    <col min="4" max="4" width="9.42578125" bestFit="1" customWidth="1"/>
    <col min="5" max="5" width="6" bestFit="1" customWidth="1"/>
    <col min="6" max="6" width="19.42578125" bestFit="1" customWidth="1"/>
    <col min="7" max="7" width="7.28515625" bestFit="1" customWidth="1"/>
  </cols>
  <sheetData>
    <row r="4" spans="2:5" ht="18.75" x14ac:dyDescent="0.3">
      <c r="B4" s="87" t="s">
        <v>356</v>
      </c>
    </row>
    <row r="6" spans="2:5" x14ac:dyDescent="0.25">
      <c r="B6" s="64" t="s">
        <v>311</v>
      </c>
      <c r="C6" s="64" t="s">
        <v>145</v>
      </c>
      <c r="D6" s="64"/>
      <c r="E6" s="64"/>
    </row>
    <row r="7" spans="2:5" x14ac:dyDescent="0.25">
      <c r="B7" s="64" t="s">
        <v>200</v>
      </c>
      <c r="C7" s="64" t="s">
        <v>284</v>
      </c>
      <c r="D7" s="64" t="s">
        <v>285</v>
      </c>
      <c r="E7" s="64" t="s">
        <v>283</v>
      </c>
    </row>
    <row r="8" spans="2:5" x14ac:dyDescent="0.25">
      <c r="B8" t="s">
        <v>239</v>
      </c>
      <c r="C8" s="48"/>
      <c r="D8" s="48">
        <v>1</v>
      </c>
      <c r="E8" s="48">
        <v>1</v>
      </c>
    </row>
    <row r="9" spans="2:5" x14ac:dyDescent="0.25">
      <c r="B9" t="s">
        <v>256</v>
      </c>
      <c r="C9" s="48"/>
      <c r="D9" s="48">
        <v>1</v>
      </c>
      <c r="E9" s="48"/>
    </row>
    <row r="10" spans="2:5" x14ac:dyDescent="0.25">
      <c r="B10" t="s">
        <v>310</v>
      </c>
      <c r="C10" s="48"/>
      <c r="D10" s="48"/>
      <c r="E10" s="48">
        <v>1</v>
      </c>
    </row>
    <row r="11" spans="2:5" x14ac:dyDescent="0.25">
      <c r="B11" t="s">
        <v>249</v>
      </c>
      <c r="C11" s="48"/>
      <c r="D11" s="48"/>
      <c r="E11" s="48">
        <v>1</v>
      </c>
    </row>
    <row r="12" spans="2:5" x14ac:dyDescent="0.25">
      <c r="B12" t="s">
        <v>349</v>
      </c>
      <c r="C12" s="48"/>
      <c r="D12" s="48"/>
      <c r="E12" s="48"/>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BFB13-1C62-4512-A734-8ABC103D3E8B}">
  <dimension ref="B4:C9"/>
  <sheetViews>
    <sheetView showGridLines="0" workbookViewId="0"/>
  </sheetViews>
  <sheetFormatPr defaultRowHeight="15" x14ac:dyDescent="0.25"/>
  <cols>
    <col min="1" max="1" width="2.85546875" customWidth="1"/>
    <col min="2" max="2" width="12.42578125" bestFit="1" customWidth="1"/>
    <col min="3" max="3" width="18.42578125" bestFit="1" customWidth="1"/>
  </cols>
  <sheetData>
    <row r="4" spans="2:3" ht="18.75" x14ac:dyDescent="0.3">
      <c r="B4" s="87" t="s">
        <v>362</v>
      </c>
    </row>
    <row r="6" spans="2:3" x14ac:dyDescent="0.25">
      <c r="B6" s="64" t="s">
        <v>333</v>
      </c>
      <c r="C6" s="64" t="s">
        <v>358</v>
      </c>
    </row>
    <row r="7" spans="2:3" x14ac:dyDescent="0.25">
      <c r="B7" t="s">
        <v>285</v>
      </c>
      <c r="C7" s="48">
        <v>1</v>
      </c>
    </row>
    <row r="8" spans="2:3" x14ac:dyDescent="0.25">
      <c r="B8" t="s">
        <v>283</v>
      </c>
      <c r="C8" s="48">
        <v>1</v>
      </c>
    </row>
    <row r="9" spans="2:3" x14ac:dyDescent="0.25">
      <c r="B9" t="s">
        <v>284</v>
      </c>
      <c r="C9" s="48">
        <v>1</v>
      </c>
    </row>
  </sheetData>
  <pageMargins left="0.7" right="0.7" top="0.75" bottom="0.75" header="0.3" footer="0.3"/>
  <pageSetup paperSize="9" orientation="portrait" horizontalDpi="360" verticalDpi="360"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CEA22-9563-4C52-B3A9-CEF699863138}">
  <dimension ref="B4:D9"/>
  <sheetViews>
    <sheetView showGridLines="0" workbookViewId="0"/>
  </sheetViews>
  <sheetFormatPr defaultRowHeight="15" x14ac:dyDescent="0.25"/>
  <cols>
    <col min="1" max="1" width="2.85546875" customWidth="1"/>
    <col min="2" max="3" width="12.42578125" bestFit="1" customWidth="1"/>
    <col min="4" max="4" width="12.140625" bestFit="1" customWidth="1"/>
  </cols>
  <sheetData>
    <row r="4" spans="2:4" ht="18.75" x14ac:dyDescent="0.25">
      <c r="B4" s="93" t="s">
        <v>359</v>
      </c>
    </row>
    <row r="6" spans="2:4" x14ac:dyDescent="0.25">
      <c r="B6" s="64" t="s">
        <v>326</v>
      </c>
      <c r="C6" s="64" t="s">
        <v>333</v>
      </c>
      <c r="D6" s="64" t="s">
        <v>360</v>
      </c>
    </row>
    <row r="7" spans="2:4" x14ac:dyDescent="0.25">
      <c r="B7" s="94" t="s">
        <v>288</v>
      </c>
      <c r="C7" s="94" t="s">
        <v>284</v>
      </c>
      <c r="D7" s="95">
        <v>1</v>
      </c>
    </row>
    <row r="8" spans="2:4" x14ac:dyDescent="0.25">
      <c r="B8" s="94" t="s">
        <v>294</v>
      </c>
      <c r="C8" s="94" t="s">
        <v>285</v>
      </c>
      <c r="D8" s="95">
        <v>1</v>
      </c>
    </row>
    <row r="9" spans="2:4" x14ac:dyDescent="0.25">
      <c r="B9" s="94" t="s">
        <v>171</v>
      </c>
      <c r="C9" s="94" t="s">
        <v>283</v>
      </c>
      <c r="D9" s="95">
        <v>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BB278-9695-44E5-A674-F81E26B0407A}">
  <dimension ref="B4:D9"/>
  <sheetViews>
    <sheetView showGridLines="0" workbookViewId="0"/>
  </sheetViews>
  <sheetFormatPr defaultRowHeight="15" x14ac:dyDescent="0.25"/>
  <cols>
    <col min="1" max="1" width="2.85546875" customWidth="1"/>
    <col min="2" max="2" width="19.28515625" bestFit="1" customWidth="1"/>
    <col min="3" max="3" width="12.42578125" bestFit="1" customWidth="1"/>
    <col min="4" max="4" width="18.42578125" bestFit="1" customWidth="1"/>
    <col min="5" max="5" width="5.7109375" bestFit="1" customWidth="1"/>
  </cols>
  <sheetData>
    <row r="4" spans="2:4" ht="18.75" x14ac:dyDescent="0.3">
      <c r="B4" s="87" t="s">
        <v>357</v>
      </c>
    </row>
    <row r="6" spans="2:4" x14ac:dyDescent="0.25">
      <c r="B6" s="64" t="s">
        <v>327</v>
      </c>
      <c r="C6" s="64" t="s">
        <v>333</v>
      </c>
      <c r="D6" s="64" t="s">
        <v>358</v>
      </c>
    </row>
    <row r="7" spans="2:4" x14ac:dyDescent="0.25">
      <c r="B7" t="s">
        <v>289</v>
      </c>
      <c r="C7" s="64" t="s">
        <v>284</v>
      </c>
      <c r="D7" s="48">
        <v>1</v>
      </c>
    </row>
    <row r="8" spans="2:4" x14ac:dyDescent="0.25">
      <c r="B8" t="s">
        <v>295</v>
      </c>
      <c r="C8" s="64" t="s">
        <v>285</v>
      </c>
      <c r="D8" s="48">
        <v>1</v>
      </c>
    </row>
    <row r="9" spans="2:4" x14ac:dyDescent="0.25">
      <c r="B9" t="s">
        <v>249</v>
      </c>
      <c r="C9" s="64" t="s">
        <v>283</v>
      </c>
      <c r="D9" s="48">
        <v>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880A6-9E7C-433E-9B39-F34485A44E59}">
  <dimension ref="B4:D9"/>
  <sheetViews>
    <sheetView showGridLines="0" workbookViewId="0"/>
  </sheetViews>
  <sheetFormatPr defaultRowHeight="15" x14ac:dyDescent="0.25"/>
  <cols>
    <col min="1" max="1" width="2.85546875" customWidth="1"/>
    <col min="2" max="2" width="19.28515625" bestFit="1" customWidth="1"/>
    <col min="3" max="3" width="12.42578125" bestFit="1" customWidth="1"/>
    <col min="4" max="4" width="12.140625" bestFit="1" customWidth="1"/>
    <col min="5" max="5" width="5.7109375" bestFit="1" customWidth="1"/>
  </cols>
  <sheetData>
    <row r="4" spans="2:4" ht="18.75" x14ac:dyDescent="0.3">
      <c r="B4" s="87" t="s">
        <v>361</v>
      </c>
    </row>
    <row r="6" spans="2:4" x14ac:dyDescent="0.25">
      <c r="B6" s="64" t="s">
        <v>335</v>
      </c>
      <c r="C6" s="64" t="s">
        <v>333</v>
      </c>
      <c r="D6" s="64" t="s">
        <v>360</v>
      </c>
    </row>
    <row r="7" spans="2:4" x14ac:dyDescent="0.25">
      <c r="B7" t="s">
        <v>289</v>
      </c>
      <c r="C7" s="64" t="s">
        <v>284</v>
      </c>
      <c r="D7" s="48">
        <v>1</v>
      </c>
    </row>
    <row r="8" spans="2:4" x14ac:dyDescent="0.25">
      <c r="B8" t="s">
        <v>295</v>
      </c>
      <c r="C8" s="64" t="s">
        <v>285</v>
      </c>
      <c r="D8" s="48">
        <v>1</v>
      </c>
    </row>
    <row r="9" spans="2:4" x14ac:dyDescent="0.25">
      <c r="B9" t="s">
        <v>249</v>
      </c>
      <c r="C9" s="64" t="s">
        <v>283</v>
      </c>
      <c r="D9" s="48">
        <v>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EC8BD-C620-406B-9959-7DD6EEB9B92F}">
  <dimension ref="B2:D49"/>
  <sheetViews>
    <sheetView showGridLines="0" zoomScaleNormal="100" workbookViewId="0"/>
  </sheetViews>
  <sheetFormatPr defaultRowHeight="15" x14ac:dyDescent="0.25"/>
  <cols>
    <col min="1" max="1" width="2.85546875" style="3" customWidth="1"/>
    <col min="2" max="2" width="18.85546875" style="3" customWidth="1"/>
    <col min="3" max="3" width="20.28515625" style="3" bestFit="1" customWidth="1"/>
    <col min="4" max="4" width="63.28515625" style="3" customWidth="1"/>
    <col min="5" max="16384" width="9.140625" style="3"/>
  </cols>
  <sheetData>
    <row r="2" spans="2:4" x14ac:dyDescent="0.25">
      <c r="B2" s="4"/>
      <c r="C2" s="4"/>
    </row>
    <row r="3" spans="2:4" x14ac:dyDescent="0.25">
      <c r="B3" s="4"/>
      <c r="C3" s="4"/>
    </row>
    <row r="4" spans="2:4" x14ac:dyDescent="0.25">
      <c r="B4" s="4"/>
      <c r="C4" s="4"/>
    </row>
    <row r="5" spans="2:4" x14ac:dyDescent="0.25">
      <c r="B5" s="4"/>
      <c r="C5" s="4"/>
    </row>
    <row r="6" spans="2:4" x14ac:dyDescent="0.25">
      <c r="B6" s="4"/>
      <c r="C6" s="4"/>
    </row>
    <row r="7" spans="2:4" x14ac:dyDescent="0.25">
      <c r="B7" s="4"/>
      <c r="C7" s="4"/>
    </row>
    <row r="8" spans="2:4" ht="21" x14ac:dyDescent="0.25">
      <c r="B8" s="8" t="s">
        <v>226</v>
      </c>
      <c r="C8" s="8"/>
      <c r="D8" s="9"/>
    </row>
    <row r="9" spans="2:4" x14ac:dyDescent="0.25">
      <c r="B9" s="9" t="s">
        <v>146</v>
      </c>
      <c r="C9" s="9"/>
      <c r="D9" s="9"/>
    </row>
    <row r="10" spans="2:4" x14ac:dyDescent="0.25">
      <c r="B10" s="9"/>
      <c r="C10" s="9"/>
      <c r="D10" s="9"/>
    </row>
    <row r="11" spans="2:4" ht="21" customHeight="1" x14ac:dyDescent="0.25">
      <c r="B11" s="31" t="s">
        <v>196</v>
      </c>
      <c r="C11" s="31" t="s">
        <v>147</v>
      </c>
      <c r="D11" s="32" t="s">
        <v>148</v>
      </c>
    </row>
    <row r="12" spans="2:4" ht="15.75" x14ac:dyDescent="0.25">
      <c r="B12" s="46" t="s">
        <v>149</v>
      </c>
      <c r="C12" s="10" t="s">
        <v>150</v>
      </c>
      <c r="D12" s="10" t="s">
        <v>151</v>
      </c>
    </row>
    <row r="13" spans="2:4" ht="30" x14ac:dyDescent="0.25">
      <c r="B13" s="45"/>
      <c r="C13" s="10" t="s">
        <v>152</v>
      </c>
      <c r="D13" s="10" t="s">
        <v>153</v>
      </c>
    </row>
    <row r="14" spans="2:4" ht="30" x14ac:dyDescent="0.25">
      <c r="B14" s="45"/>
      <c r="C14" s="10" t="s">
        <v>154</v>
      </c>
      <c r="D14" s="10" t="s">
        <v>155</v>
      </c>
    </row>
    <row r="15" spans="2:4" x14ac:dyDescent="0.25">
      <c r="B15" s="45"/>
      <c r="C15" s="10" t="s">
        <v>156</v>
      </c>
      <c r="D15" s="10" t="s">
        <v>157</v>
      </c>
    </row>
    <row r="16" spans="2:4" x14ac:dyDescent="0.25">
      <c r="B16" s="45"/>
      <c r="C16" s="10" t="s">
        <v>158</v>
      </c>
      <c r="D16" s="10" t="s">
        <v>159</v>
      </c>
    </row>
    <row r="17" spans="2:4" x14ac:dyDescent="0.25">
      <c r="B17" s="45"/>
      <c r="C17" s="10"/>
      <c r="D17" s="10"/>
    </row>
    <row r="18" spans="2:4" ht="15.75" x14ac:dyDescent="0.25">
      <c r="B18" s="46" t="s">
        <v>160</v>
      </c>
      <c r="C18" s="10" t="s">
        <v>161</v>
      </c>
      <c r="D18" s="10" t="s">
        <v>162</v>
      </c>
    </row>
    <row r="19" spans="2:4" x14ac:dyDescent="0.25">
      <c r="B19" s="45"/>
      <c r="C19" s="10" t="s">
        <v>163</v>
      </c>
      <c r="D19" s="10" t="s">
        <v>164</v>
      </c>
    </row>
    <row r="20" spans="2:4" x14ac:dyDescent="0.25">
      <c r="B20" s="45"/>
      <c r="C20" s="10" t="s">
        <v>165</v>
      </c>
      <c r="D20" s="10" t="s">
        <v>166</v>
      </c>
    </row>
    <row r="21" spans="2:4" ht="30" x14ac:dyDescent="0.25">
      <c r="B21" s="45"/>
      <c r="C21" s="10" t="s">
        <v>167</v>
      </c>
      <c r="D21" s="10" t="s">
        <v>168</v>
      </c>
    </row>
    <row r="22" spans="2:4" ht="30" x14ac:dyDescent="0.25">
      <c r="B22" s="45"/>
      <c r="C22" s="10" t="s">
        <v>169</v>
      </c>
      <c r="D22" s="10" t="s">
        <v>170</v>
      </c>
    </row>
    <row r="23" spans="2:4" ht="30" x14ac:dyDescent="0.25">
      <c r="B23" s="45"/>
      <c r="C23" s="10" t="s">
        <v>321</v>
      </c>
      <c r="D23" s="10" t="s">
        <v>322</v>
      </c>
    </row>
    <row r="24" spans="2:4" x14ac:dyDescent="0.25">
      <c r="B24" s="45"/>
      <c r="C24" s="10"/>
      <c r="D24" s="10"/>
    </row>
    <row r="25" spans="2:4" ht="15.75" x14ac:dyDescent="0.25">
      <c r="B25" s="46" t="s">
        <v>171</v>
      </c>
      <c r="C25" s="10" t="s">
        <v>172</v>
      </c>
      <c r="D25" s="10" t="s">
        <v>173</v>
      </c>
    </row>
    <row r="26" spans="2:4" x14ac:dyDescent="0.25">
      <c r="B26" s="45"/>
      <c r="C26" s="10" t="s">
        <v>174</v>
      </c>
      <c r="D26" s="10" t="s">
        <v>175</v>
      </c>
    </row>
    <row r="27" spans="2:4" ht="30" x14ac:dyDescent="0.25">
      <c r="B27" s="45"/>
      <c r="C27" s="10" t="s">
        <v>176</v>
      </c>
      <c r="D27" s="10" t="s">
        <v>177</v>
      </c>
    </row>
    <row r="28" spans="2:4" x14ac:dyDescent="0.25">
      <c r="B28" s="45"/>
      <c r="C28" s="10"/>
      <c r="D28" s="10"/>
    </row>
    <row r="29" spans="2:4" ht="15.75" x14ac:dyDescent="0.25">
      <c r="B29" s="46" t="s">
        <v>178</v>
      </c>
      <c r="C29" s="10" t="s">
        <v>179</v>
      </c>
      <c r="D29" s="10" t="s">
        <v>180</v>
      </c>
    </row>
    <row r="30" spans="2:4" ht="30" x14ac:dyDescent="0.25">
      <c r="B30" s="45"/>
      <c r="C30" s="10" t="s">
        <v>181</v>
      </c>
      <c r="D30" s="10" t="s">
        <v>182</v>
      </c>
    </row>
    <row r="31" spans="2:4" ht="30" x14ac:dyDescent="0.25">
      <c r="B31" s="45"/>
      <c r="C31" s="10" t="s">
        <v>183</v>
      </c>
      <c r="D31" s="10" t="s">
        <v>364</v>
      </c>
    </row>
    <row r="32" spans="2:4" x14ac:dyDescent="0.25">
      <c r="B32" s="45"/>
      <c r="C32" s="10"/>
      <c r="D32" s="10"/>
    </row>
    <row r="33" spans="2:4" ht="15.75" x14ac:dyDescent="0.25">
      <c r="B33" s="46" t="s">
        <v>184</v>
      </c>
      <c r="C33" s="10" t="s">
        <v>185</v>
      </c>
      <c r="D33" s="10" t="s">
        <v>186</v>
      </c>
    </row>
    <row r="34" spans="2:4" x14ac:dyDescent="0.25">
      <c r="B34" s="45"/>
      <c r="C34" s="10" t="s">
        <v>187</v>
      </c>
      <c r="D34" s="10" t="s">
        <v>188</v>
      </c>
    </row>
    <row r="35" spans="2:4" x14ac:dyDescent="0.25">
      <c r="B35" s="45"/>
      <c r="C35" s="10" t="s">
        <v>189</v>
      </c>
      <c r="D35" s="10" t="s">
        <v>190</v>
      </c>
    </row>
    <row r="36" spans="2:4" x14ac:dyDescent="0.25">
      <c r="B36" s="45"/>
      <c r="C36" s="10"/>
      <c r="D36" s="10"/>
    </row>
    <row r="37" spans="2:4" ht="30" x14ac:dyDescent="0.25">
      <c r="B37" s="46" t="s">
        <v>191</v>
      </c>
      <c r="C37" s="10" t="s">
        <v>192</v>
      </c>
      <c r="D37" s="10" t="s">
        <v>193</v>
      </c>
    </row>
    <row r="38" spans="2:4" ht="30" x14ac:dyDescent="0.25">
      <c r="B38" s="11"/>
      <c r="C38" s="10" t="s">
        <v>194</v>
      </c>
      <c r="D38" s="10" t="s">
        <v>195</v>
      </c>
    </row>
    <row r="39" spans="2:4" ht="15.75" thickBot="1" x14ac:dyDescent="0.3">
      <c r="B39" s="33"/>
      <c r="C39" s="33"/>
      <c r="D39" s="33"/>
    </row>
    <row r="40" spans="2:4" ht="15.75" thickTop="1" x14ac:dyDescent="0.25">
      <c r="B40" s="12"/>
      <c r="C40" s="12"/>
      <c r="D40" s="12"/>
    </row>
    <row r="46" spans="2:4" x14ac:dyDescent="0.25">
      <c r="B46" s="6"/>
      <c r="C46" s="6"/>
      <c r="D46" s="2"/>
    </row>
    <row r="47" spans="2:4" x14ac:dyDescent="0.25">
      <c r="B47" s="6"/>
      <c r="C47" s="6"/>
      <c r="D47" s="2"/>
    </row>
    <row r="48" spans="2:4" x14ac:dyDescent="0.25">
      <c r="B48" s="6"/>
      <c r="C48" s="6"/>
      <c r="D48" s="2"/>
    </row>
    <row r="49" spans="2:4" x14ac:dyDescent="0.25">
      <c r="B49" s="6"/>
      <c r="C49" s="6"/>
      <c r="D49" s="2"/>
    </row>
  </sheetData>
  <sheetProtection selectLockedCells="1" selectUnlockedCells="1"/>
  <pageMargins left="0.70866141732283472" right="0.70866141732283472" top="0.74803149606299213" bottom="0.74803149606299213" header="0.31496062992125984" footer="0.31496062992125984"/>
  <pageSetup paperSize="9" orientation="landscape" horizontalDpi="1200" verticalDpi="1200" r:id="rId1"/>
  <headerFooter>
    <oddFooter>&amp;L&amp;D&amp;CPage &amp;P of &amp;N</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5DFA5-324E-4D0E-967A-0820BDFD99B4}">
  <sheetPr codeName="Sheet8"/>
  <dimension ref="B2:D27"/>
  <sheetViews>
    <sheetView showGridLines="0" zoomScaleNormal="100" workbookViewId="0"/>
  </sheetViews>
  <sheetFormatPr defaultRowHeight="15" x14ac:dyDescent="0.25"/>
  <cols>
    <col min="1" max="1" width="2.85546875" style="3" customWidth="1"/>
    <col min="2" max="2" width="11.7109375" style="3" customWidth="1"/>
    <col min="3" max="3" width="16.28515625" style="3" customWidth="1"/>
    <col min="4" max="4" width="67.85546875" style="3" customWidth="1"/>
    <col min="5" max="16384" width="9.140625" style="3"/>
  </cols>
  <sheetData>
    <row r="2" spans="2:4" x14ac:dyDescent="0.25">
      <c r="B2" s="4"/>
      <c r="C2" s="4"/>
    </row>
    <row r="3" spans="2:4" x14ac:dyDescent="0.25">
      <c r="B3" s="4"/>
      <c r="C3" s="4"/>
    </row>
    <row r="4" spans="2:4" x14ac:dyDescent="0.25">
      <c r="B4" s="4"/>
      <c r="C4" s="4"/>
    </row>
    <row r="5" spans="2:4" x14ac:dyDescent="0.25">
      <c r="B5" s="4"/>
      <c r="C5" s="4"/>
    </row>
    <row r="6" spans="2:4" x14ac:dyDescent="0.25">
      <c r="B6" s="4"/>
      <c r="C6" s="4"/>
    </row>
    <row r="7" spans="2:4" x14ac:dyDescent="0.25">
      <c r="B7" s="4"/>
      <c r="C7" s="4"/>
    </row>
    <row r="8" spans="2:4" ht="21" x14ac:dyDescent="0.25">
      <c r="B8" s="8" t="s">
        <v>227</v>
      </c>
      <c r="C8" s="8"/>
      <c r="D8" s="9"/>
    </row>
    <row r="9" spans="2:4" x14ac:dyDescent="0.25">
      <c r="B9" s="9" t="s">
        <v>71</v>
      </c>
      <c r="C9" s="9"/>
      <c r="D9" s="9"/>
    </row>
    <row r="10" spans="2:4" x14ac:dyDescent="0.25">
      <c r="B10" s="9"/>
      <c r="C10" s="9"/>
      <c r="D10" s="9"/>
    </row>
    <row r="11" spans="2:4" ht="21" customHeight="1" x14ac:dyDescent="0.25">
      <c r="B11" s="31" t="s">
        <v>66</v>
      </c>
      <c r="C11" s="31" t="s">
        <v>13</v>
      </c>
      <c r="D11" s="32" t="s">
        <v>14</v>
      </c>
    </row>
    <row r="12" spans="2:4" ht="30" x14ac:dyDescent="0.25">
      <c r="B12" s="11">
        <v>1</v>
      </c>
      <c r="C12" s="10" t="s">
        <v>15</v>
      </c>
      <c r="D12" s="10" t="s">
        <v>19</v>
      </c>
    </row>
    <row r="13" spans="2:4" ht="30" x14ac:dyDescent="0.25">
      <c r="B13" s="11">
        <v>2</v>
      </c>
      <c r="C13" s="10" t="s">
        <v>72</v>
      </c>
      <c r="D13" s="10" t="s">
        <v>20</v>
      </c>
    </row>
    <row r="14" spans="2:4" ht="30" x14ac:dyDescent="0.25">
      <c r="B14" s="11">
        <v>3</v>
      </c>
      <c r="C14" s="10" t="s">
        <v>16</v>
      </c>
      <c r="D14" s="10" t="s">
        <v>23</v>
      </c>
    </row>
    <row r="15" spans="2:4" ht="30" x14ac:dyDescent="0.25">
      <c r="B15" s="11">
        <v>4</v>
      </c>
      <c r="C15" s="10" t="s">
        <v>17</v>
      </c>
      <c r="D15" s="10" t="s">
        <v>21</v>
      </c>
    </row>
    <row r="16" spans="2:4" ht="30" x14ac:dyDescent="0.25">
      <c r="B16" s="11">
        <v>5</v>
      </c>
      <c r="C16" s="10" t="s">
        <v>18</v>
      </c>
      <c r="D16" s="10" t="s">
        <v>22</v>
      </c>
    </row>
    <row r="17" spans="2:4" ht="15.75" thickBot="1" x14ac:dyDescent="0.3">
      <c r="B17" s="33"/>
      <c r="C17" s="33"/>
      <c r="D17" s="33"/>
    </row>
    <row r="18" spans="2:4" ht="15.75" thickTop="1" x14ac:dyDescent="0.25">
      <c r="B18" s="12"/>
      <c r="C18" s="12"/>
      <c r="D18" s="12"/>
    </row>
    <row r="24" spans="2:4" x14ac:dyDescent="0.25">
      <c r="B24" s="6"/>
      <c r="C24" s="6"/>
      <c r="D24" s="2"/>
    </row>
    <row r="25" spans="2:4" x14ac:dyDescent="0.25">
      <c r="B25" s="6"/>
      <c r="C25" s="6"/>
      <c r="D25" s="2"/>
    </row>
    <row r="26" spans="2:4" x14ac:dyDescent="0.25">
      <c r="B26" s="6"/>
      <c r="C26" s="6"/>
      <c r="D26" s="2"/>
    </row>
    <row r="27" spans="2:4" x14ac:dyDescent="0.25">
      <c r="B27" s="6"/>
      <c r="C27" s="6"/>
      <c r="D27" s="2"/>
    </row>
  </sheetData>
  <sheetProtection selectLockedCells="1" selectUnlockedCells="1"/>
  <pageMargins left="0.70866141732283472" right="0.70866141732283472" top="0.74803149606299213" bottom="0.74803149606299213" header="0.31496062992125984" footer="0.31496062992125984"/>
  <pageSetup paperSize="9" orientation="landscape" horizontalDpi="1200" verticalDpi="1200" r:id="rId1"/>
  <headerFooter>
    <oddFooter>&amp;L&amp;D&amp;CPage &amp;P of &amp;N</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24C3F-9F2D-4591-AE18-E13B89AB177A}">
  <sheetPr>
    <pageSetUpPr fitToPage="1"/>
  </sheetPr>
  <dimension ref="B2:P28"/>
  <sheetViews>
    <sheetView showGridLines="0" zoomScaleNormal="100" workbookViewId="0"/>
  </sheetViews>
  <sheetFormatPr defaultRowHeight="15" x14ac:dyDescent="0.25"/>
  <cols>
    <col min="1" max="1" width="2.85546875" style="3" customWidth="1"/>
    <col min="2" max="2" width="7.42578125" style="3" customWidth="1"/>
    <col min="3" max="3" width="11.28515625" style="3" customWidth="1"/>
    <col min="4" max="4" width="26.7109375" style="3" customWidth="1"/>
    <col min="5" max="5" width="25.140625" style="3" customWidth="1"/>
    <col min="6" max="7" width="21.42578125" style="3" customWidth="1"/>
    <col min="8" max="8" width="25.5703125" style="3" bestFit="1" customWidth="1"/>
    <col min="9" max="9" width="36.28515625" style="3" customWidth="1"/>
    <col min="10" max="16384" width="9.140625" style="3"/>
  </cols>
  <sheetData>
    <row r="2" spans="2:16" x14ac:dyDescent="0.25">
      <c r="B2" s="4"/>
      <c r="C2" s="4"/>
    </row>
    <row r="3" spans="2:16" x14ac:dyDescent="0.25">
      <c r="B3" s="4"/>
      <c r="C3" s="4"/>
    </row>
    <row r="4" spans="2:16" x14ac:dyDescent="0.25">
      <c r="B4" s="4"/>
      <c r="C4" s="4"/>
    </row>
    <row r="5" spans="2:16" x14ac:dyDescent="0.25">
      <c r="B5" s="4"/>
      <c r="C5" s="4"/>
    </row>
    <row r="6" spans="2:16" x14ac:dyDescent="0.25">
      <c r="B6" s="4"/>
      <c r="C6" s="4"/>
    </row>
    <row r="7" spans="2:16" x14ac:dyDescent="0.25">
      <c r="B7" s="4"/>
      <c r="C7" s="4"/>
    </row>
    <row r="8" spans="2:16" ht="21" x14ac:dyDescent="0.25">
      <c r="B8" s="8" t="s">
        <v>62</v>
      </c>
      <c r="C8" s="8"/>
      <c r="D8" s="26"/>
      <c r="E8" s="26"/>
      <c r="F8" s="26"/>
      <c r="G8" s="26"/>
      <c r="H8" s="26"/>
      <c r="I8" s="26"/>
    </row>
    <row r="9" spans="2:16" x14ac:dyDescent="0.25">
      <c r="B9" s="26" t="s">
        <v>73</v>
      </c>
      <c r="C9" s="26"/>
      <c r="D9" s="26"/>
      <c r="E9" s="26"/>
      <c r="F9" s="26"/>
      <c r="G9" s="26"/>
      <c r="H9" s="26"/>
      <c r="I9" s="26"/>
    </row>
    <row r="10" spans="2:16" x14ac:dyDescent="0.25">
      <c r="B10" s="26"/>
      <c r="C10" s="26"/>
      <c r="D10" s="26"/>
      <c r="E10" s="26"/>
      <c r="F10" s="26"/>
      <c r="G10" s="26"/>
      <c r="H10" s="26"/>
      <c r="I10" s="26"/>
    </row>
    <row r="11" spans="2:16" ht="21" customHeight="1" x14ac:dyDescent="0.25">
      <c r="B11" s="36" t="s">
        <v>51</v>
      </c>
      <c r="C11" s="37"/>
      <c r="D11" s="36" t="s">
        <v>50</v>
      </c>
      <c r="E11" s="36"/>
      <c r="F11" s="36"/>
      <c r="G11" s="36"/>
      <c r="H11" s="36"/>
      <c r="I11" s="36"/>
    </row>
    <row r="12" spans="2:16" ht="30" x14ac:dyDescent="0.25">
      <c r="B12" s="34" t="s">
        <v>48</v>
      </c>
      <c r="C12" s="34" t="s">
        <v>49</v>
      </c>
      <c r="D12" s="34" t="s">
        <v>74</v>
      </c>
      <c r="E12" s="34" t="s">
        <v>75</v>
      </c>
      <c r="F12" s="34" t="s">
        <v>76</v>
      </c>
      <c r="G12" s="34" t="s">
        <v>52</v>
      </c>
      <c r="H12" s="34" t="s">
        <v>77</v>
      </c>
      <c r="I12" s="34" t="s">
        <v>78</v>
      </c>
    </row>
    <row r="13" spans="2:16" ht="30" x14ac:dyDescent="0.25">
      <c r="B13" s="13">
        <v>1</v>
      </c>
      <c r="C13" s="7" t="s">
        <v>24</v>
      </c>
      <c r="D13" s="7" t="s">
        <v>25</v>
      </c>
      <c r="E13" s="2" t="s">
        <v>26</v>
      </c>
      <c r="F13" s="2" t="s">
        <v>27</v>
      </c>
      <c r="G13" s="44" t="s">
        <v>79</v>
      </c>
      <c r="H13" s="2" t="s">
        <v>28</v>
      </c>
      <c r="I13" s="44" t="s">
        <v>24</v>
      </c>
      <c r="J13" s="2"/>
      <c r="K13" s="2"/>
      <c r="L13" s="2"/>
      <c r="M13" s="2"/>
      <c r="N13" s="2"/>
      <c r="O13" s="2"/>
      <c r="P13" s="2"/>
    </row>
    <row r="14" spans="2:16" ht="30" x14ac:dyDescent="0.25">
      <c r="B14" s="13">
        <v>2</v>
      </c>
      <c r="C14" s="7" t="s">
        <v>29</v>
      </c>
      <c r="D14" s="7" t="s">
        <v>30</v>
      </c>
      <c r="E14" s="2" t="s">
        <v>31</v>
      </c>
      <c r="F14" s="2" t="s">
        <v>32</v>
      </c>
      <c r="G14" s="44" t="s">
        <v>80</v>
      </c>
      <c r="H14" s="2" t="s">
        <v>33</v>
      </c>
      <c r="I14" s="44" t="s">
        <v>81</v>
      </c>
      <c r="J14" s="2"/>
      <c r="K14" s="2"/>
      <c r="L14" s="2"/>
      <c r="M14" s="2"/>
      <c r="N14" s="2"/>
      <c r="O14" s="2"/>
      <c r="P14" s="2"/>
    </row>
    <row r="15" spans="2:16" ht="45" x14ac:dyDescent="0.25">
      <c r="B15" s="13">
        <v>3</v>
      </c>
      <c r="C15" s="7" t="s">
        <v>34</v>
      </c>
      <c r="D15" s="7" t="s">
        <v>35</v>
      </c>
      <c r="E15" s="2" t="s">
        <v>36</v>
      </c>
      <c r="F15" s="2" t="s">
        <v>37</v>
      </c>
      <c r="G15" s="44" t="s">
        <v>82</v>
      </c>
      <c r="H15" s="2" t="s">
        <v>38</v>
      </c>
      <c r="I15" s="44" t="s">
        <v>83</v>
      </c>
      <c r="J15" s="2"/>
      <c r="K15" s="2"/>
      <c r="L15" s="2"/>
      <c r="M15" s="2"/>
      <c r="N15" s="2"/>
      <c r="O15" s="2"/>
      <c r="P15" s="2"/>
    </row>
    <row r="16" spans="2:16" ht="30" x14ac:dyDescent="0.25">
      <c r="B16" s="13">
        <v>4</v>
      </c>
      <c r="C16" s="7" t="s">
        <v>39</v>
      </c>
      <c r="D16" s="7" t="s">
        <v>40</v>
      </c>
      <c r="E16" s="2" t="s">
        <v>41</v>
      </c>
      <c r="F16" s="2" t="s">
        <v>42</v>
      </c>
      <c r="G16" s="44" t="s">
        <v>84</v>
      </c>
      <c r="H16" s="2" t="s">
        <v>43</v>
      </c>
      <c r="I16" s="44" t="s">
        <v>367</v>
      </c>
      <c r="J16" s="2"/>
      <c r="K16" s="2"/>
      <c r="L16" s="2"/>
      <c r="M16" s="2"/>
      <c r="N16" s="2"/>
      <c r="O16" s="2"/>
      <c r="P16" s="2"/>
    </row>
    <row r="17" spans="2:16" ht="30" x14ac:dyDescent="0.25">
      <c r="B17" s="13">
        <v>5</v>
      </c>
      <c r="C17" s="7" t="s">
        <v>44</v>
      </c>
      <c r="D17" s="7" t="s">
        <v>45</v>
      </c>
      <c r="E17" s="2" t="s">
        <v>365</v>
      </c>
      <c r="F17" s="2" t="s">
        <v>46</v>
      </c>
      <c r="G17" s="44" t="s">
        <v>85</v>
      </c>
      <c r="H17" s="2" t="s">
        <v>47</v>
      </c>
      <c r="I17" s="44" t="s">
        <v>86</v>
      </c>
      <c r="J17" s="2"/>
      <c r="K17" s="2"/>
      <c r="L17" s="2"/>
      <c r="M17" s="2"/>
      <c r="N17" s="2"/>
      <c r="O17" s="2"/>
      <c r="P17" s="2"/>
    </row>
    <row r="18" spans="2:16" ht="15.75" thickBot="1" x14ac:dyDescent="0.3">
      <c r="B18" s="35"/>
      <c r="C18" s="35"/>
      <c r="D18" s="35"/>
      <c r="E18" s="35"/>
      <c r="F18" s="35"/>
      <c r="G18" s="35"/>
      <c r="H18" s="35"/>
      <c r="I18" s="35"/>
    </row>
    <row r="19" spans="2:16" ht="15.75" thickTop="1" x14ac:dyDescent="0.25"/>
    <row r="25" spans="2:16" x14ac:dyDescent="0.25">
      <c r="B25" s="6"/>
      <c r="C25" s="6"/>
      <c r="D25" s="2"/>
      <c r="E25" s="2"/>
    </row>
    <row r="26" spans="2:16" x14ac:dyDescent="0.25">
      <c r="B26" s="6"/>
      <c r="C26" s="6"/>
      <c r="D26" s="2"/>
      <c r="E26" s="2"/>
    </row>
    <row r="27" spans="2:16" x14ac:dyDescent="0.25">
      <c r="B27" s="6"/>
      <c r="C27" s="6"/>
      <c r="D27" s="2"/>
      <c r="E27" s="2"/>
    </row>
    <row r="28" spans="2:16" x14ac:dyDescent="0.25">
      <c r="B28" s="6"/>
      <c r="C28" s="6"/>
      <c r="D28" s="2"/>
      <c r="E28" s="2"/>
    </row>
  </sheetData>
  <pageMargins left="0.7" right="0.7" top="0.75" bottom="0.75" header="0.3" footer="0.3"/>
  <pageSetup paperSize="9" scale="74" orientation="landscape" horizontalDpi="1200" verticalDpi="1200" r:id="rId1"/>
  <headerFooter>
    <oddFooter>&amp;L&amp;D&amp;CPage &amp;P of &amp;N</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02217-DDCA-4A92-B209-317F65649764}">
  <sheetPr>
    <pageSetUpPr fitToPage="1"/>
  </sheetPr>
  <dimension ref="B2:P28"/>
  <sheetViews>
    <sheetView showGridLines="0" zoomScaleNormal="100" workbookViewId="0"/>
  </sheetViews>
  <sheetFormatPr defaultRowHeight="15" x14ac:dyDescent="0.25"/>
  <cols>
    <col min="1" max="1" width="2.85546875" style="3" customWidth="1"/>
    <col min="2" max="2" width="7.42578125" style="3" customWidth="1"/>
    <col min="3" max="3" width="11.28515625" style="3" customWidth="1"/>
    <col min="4" max="4" width="26.7109375" style="3" customWidth="1"/>
    <col min="5" max="5" width="25.140625" style="3" customWidth="1"/>
    <col min="6" max="7" width="21.42578125" style="3" customWidth="1"/>
    <col min="8" max="8" width="30.140625" style="3" bestFit="1" customWidth="1"/>
    <col min="9" max="9" width="36.28515625" style="3" customWidth="1"/>
    <col min="10" max="16384" width="9.140625" style="3"/>
  </cols>
  <sheetData>
    <row r="2" spans="2:16" x14ac:dyDescent="0.25">
      <c r="B2" s="4"/>
      <c r="C2" s="4"/>
    </row>
    <row r="3" spans="2:16" x14ac:dyDescent="0.25">
      <c r="B3" s="4"/>
      <c r="C3" s="4"/>
    </row>
    <row r="4" spans="2:16" x14ac:dyDescent="0.25">
      <c r="B4" s="4"/>
      <c r="C4" s="4"/>
    </row>
    <row r="5" spans="2:16" x14ac:dyDescent="0.25">
      <c r="B5" s="4"/>
      <c r="C5" s="4"/>
    </row>
    <row r="6" spans="2:16" x14ac:dyDescent="0.25">
      <c r="B6" s="4"/>
      <c r="C6" s="4"/>
    </row>
    <row r="7" spans="2:16" x14ac:dyDescent="0.25">
      <c r="B7" s="4"/>
      <c r="C7" s="4"/>
    </row>
    <row r="8" spans="2:16" ht="21" x14ac:dyDescent="0.25">
      <c r="B8" s="8" t="s">
        <v>87</v>
      </c>
      <c r="C8" s="8"/>
      <c r="D8" s="26"/>
      <c r="E8" s="26"/>
      <c r="F8" s="26"/>
      <c r="G8" s="26"/>
      <c r="H8" s="26"/>
      <c r="I8" s="26"/>
    </row>
    <row r="9" spans="2:16" x14ac:dyDescent="0.25">
      <c r="B9" s="26" t="s">
        <v>88</v>
      </c>
      <c r="C9" s="26"/>
      <c r="D9" s="26"/>
      <c r="E9" s="26"/>
      <c r="F9" s="26"/>
      <c r="G9" s="26"/>
      <c r="H9" s="26"/>
      <c r="I9" s="26"/>
    </row>
    <row r="10" spans="2:16" x14ac:dyDescent="0.25">
      <c r="B10" s="26"/>
      <c r="C10" s="26"/>
      <c r="D10" s="26"/>
      <c r="E10" s="26"/>
      <c r="F10" s="26"/>
      <c r="G10" s="26"/>
      <c r="H10" s="26"/>
      <c r="I10" s="26"/>
    </row>
    <row r="11" spans="2:16" ht="21" customHeight="1" x14ac:dyDescent="0.25">
      <c r="B11" s="36" t="s">
        <v>51</v>
      </c>
      <c r="C11" s="37"/>
      <c r="D11" s="36" t="s">
        <v>89</v>
      </c>
      <c r="E11" s="36"/>
      <c r="F11" s="36"/>
      <c r="G11" s="36"/>
      <c r="H11" s="36"/>
      <c r="I11" s="36"/>
    </row>
    <row r="12" spans="2:16" ht="30" x14ac:dyDescent="0.25">
      <c r="B12" s="34" t="s">
        <v>48</v>
      </c>
      <c r="C12" s="34" t="s">
        <v>49</v>
      </c>
      <c r="D12" s="34" t="s">
        <v>74</v>
      </c>
      <c r="E12" s="34" t="s">
        <v>90</v>
      </c>
      <c r="F12" s="34" t="s">
        <v>76</v>
      </c>
      <c r="G12" s="34" t="s">
        <v>91</v>
      </c>
      <c r="H12" s="34" t="s">
        <v>92</v>
      </c>
      <c r="I12" s="34" t="s">
        <v>93</v>
      </c>
    </row>
    <row r="13" spans="2:16" ht="30" x14ac:dyDescent="0.25">
      <c r="B13" s="13">
        <v>1</v>
      </c>
      <c r="C13" s="7" t="s">
        <v>24</v>
      </c>
      <c r="D13" s="44" t="s">
        <v>25</v>
      </c>
      <c r="E13" s="44" t="s">
        <v>26</v>
      </c>
      <c r="F13" s="44" t="s">
        <v>94</v>
      </c>
      <c r="G13" s="44" t="s">
        <v>95</v>
      </c>
      <c r="H13" s="44" t="s">
        <v>28</v>
      </c>
      <c r="I13" s="44" t="s">
        <v>24</v>
      </c>
      <c r="J13" s="2"/>
      <c r="K13" s="2"/>
      <c r="L13" s="2"/>
      <c r="M13" s="2"/>
      <c r="N13" s="2"/>
      <c r="O13" s="2"/>
      <c r="P13" s="2"/>
    </row>
    <row r="14" spans="2:16" ht="45" x14ac:dyDescent="0.25">
      <c r="B14" s="13">
        <v>2</v>
      </c>
      <c r="C14" s="7" t="s">
        <v>29</v>
      </c>
      <c r="D14" s="44" t="s">
        <v>96</v>
      </c>
      <c r="E14" s="44" t="s">
        <v>97</v>
      </c>
      <c r="F14" s="44" t="s">
        <v>98</v>
      </c>
      <c r="G14" s="44" t="s">
        <v>99</v>
      </c>
      <c r="H14" s="44" t="s">
        <v>100</v>
      </c>
      <c r="I14" s="44" t="s">
        <v>101</v>
      </c>
      <c r="J14" s="2"/>
      <c r="K14" s="2"/>
      <c r="L14" s="2"/>
      <c r="M14" s="2"/>
      <c r="N14" s="2"/>
      <c r="O14" s="2"/>
      <c r="P14" s="2"/>
    </row>
    <row r="15" spans="2:16" ht="45" x14ac:dyDescent="0.25">
      <c r="B15" s="13">
        <v>3</v>
      </c>
      <c r="C15" s="7" t="s">
        <v>34</v>
      </c>
      <c r="D15" s="44" t="s">
        <v>102</v>
      </c>
      <c r="E15" s="44" t="s">
        <v>103</v>
      </c>
      <c r="F15" s="44" t="s">
        <v>104</v>
      </c>
      <c r="G15" s="44" t="s">
        <v>105</v>
      </c>
      <c r="H15" s="44" t="s">
        <v>106</v>
      </c>
      <c r="I15" s="44" t="s">
        <v>107</v>
      </c>
      <c r="J15" s="2"/>
      <c r="K15" s="2"/>
      <c r="L15" s="2"/>
      <c r="M15" s="2"/>
      <c r="N15" s="2"/>
      <c r="O15" s="2"/>
      <c r="P15" s="2"/>
    </row>
    <row r="16" spans="2:16" ht="60" x14ac:dyDescent="0.25">
      <c r="B16" s="13">
        <v>4</v>
      </c>
      <c r="C16" s="7" t="s">
        <v>39</v>
      </c>
      <c r="D16" s="44" t="s">
        <v>108</v>
      </c>
      <c r="E16" s="44" t="s">
        <v>109</v>
      </c>
      <c r="F16" s="44" t="s">
        <v>110</v>
      </c>
      <c r="G16" s="44" t="s">
        <v>111</v>
      </c>
      <c r="H16" s="44" t="s">
        <v>112</v>
      </c>
      <c r="I16" s="44" t="s">
        <v>366</v>
      </c>
      <c r="J16" s="2"/>
      <c r="K16" s="2"/>
      <c r="L16" s="2"/>
      <c r="M16" s="2"/>
      <c r="N16" s="2"/>
      <c r="O16" s="2"/>
      <c r="P16" s="2"/>
    </row>
    <row r="17" spans="2:16" ht="60" x14ac:dyDescent="0.25">
      <c r="B17" s="13">
        <v>5</v>
      </c>
      <c r="C17" s="7" t="s">
        <v>44</v>
      </c>
      <c r="D17" s="44" t="s">
        <v>113</v>
      </c>
      <c r="E17" s="44" t="s">
        <v>114</v>
      </c>
      <c r="F17" s="44" t="s">
        <v>115</v>
      </c>
      <c r="G17" s="44" t="s">
        <v>116</v>
      </c>
      <c r="H17" s="44" t="s">
        <v>117</v>
      </c>
      <c r="I17" s="44" t="s">
        <v>118</v>
      </c>
      <c r="J17" s="2"/>
      <c r="K17" s="2"/>
      <c r="L17" s="2"/>
      <c r="M17" s="2"/>
      <c r="N17" s="2"/>
      <c r="O17" s="2"/>
      <c r="P17" s="2"/>
    </row>
    <row r="18" spans="2:16" ht="15.75" thickBot="1" x14ac:dyDescent="0.3">
      <c r="B18" s="35"/>
      <c r="C18" s="35"/>
      <c r="D18" s="35"/>
      <c r="E18" s="35"/>
      <c r="F18" s="35"/>
      <c r="G18" s="35"/>
      <c r="H18" s="35"/>
      <c r="I18" s="35"/>
    </row>
    <row r="19" spans="2:16" ht="15.75" thickTop="1" x14ac:dyDescent="0.25"/>
    <row r="25" spans="2:16" x14ac:dyDescent="0.25">
      <c r="B25" s="6"/>
      <c r="C25" s="6"/>
      <c r="D25" s="2"/>
      <c r="E25" s="2"/>
    </row>
    <row r="26" spans="2:16" x14ac:dyDescent="0.25">
      <c r="B26" s="6"/>
      <c r="C26" s="6"/>
      <c r="D26" s="2"/>
      <c r="E26" s="2"/>
    </row>
    <row r="27" spans="2:16" x14ac:dyDescent="0.25">
      <c r="B27" s="6"/>
      <c r="C27" s="6"/>
      <c r="D27" s="2"/>
      <c r="E27" s="2"/>
    </row>
    <row r="28" spans="2:16" x14ac:dyDescent="0.25">
      <c r="B28" s="6"/>
      <c r="C28" s="6"/>
      <c r="D28" s="2"/>
      <c r="E28" s="2"/>
    </row>
  </sheetData>
  <pageMargins left="0.7" right="0.7" top="0.75" bottom="0.75" header="0.3" footer="0.3"/>
  <pageSetup paperSize="9" scale="72" orientation="landscape" horizontalDpi="1200" verticalDpi="1200" r:id="rId1"/>
  <headerFooter>
    <oddFooter>&amp;L&amp;D&amp;CPage &amp;P of &amp;N</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2BCC5-11C1-4335-841F-1BAC61F5BB29}">
  <sheetPr codeName="Sheet13"/>
  <dimension ref="B4:D26"/>
  <sheetViews>
    <sheetView showGridLines="0" zoomScaleNormal="100" workbookViewId="0"/>
  </sheetViews>
  <sheetFormatPr defaultRowHeight="15" x14ac:dyDescent="0.25"/>
  <cols>
    <col min="1" max="1" width="2.85546875" customWidth="1"/>
    <col min="2" max="2" width="15" customWidth="1"/>
    <col min="3" max="3" width="6.140625" customWidth="1"/>
    <col min="4" max="4" width="21.28515625" customWidth="1"/>
    <col min="5" max="5" width="6.140625" customWidth="1"/>
  </cols>
  <sheetData>
    <row r="4" spans="2:4" ht="18.75" x14ac:dyDescent="0.3">
      <c r="B4" s="87" t="s">
        <v>64</v>
      </c>
    </row>
    <row r="6" spans="2:4" x14ac:dyDescent="0.25">
      <c r="B6" s="91" t="s">
        <v>8</v>
      </c>
      <c r="D6" s="49" t="s">
        <v>219</v>
      </c>
    </row>
    <row r="7" spans="2:4" x14ac:dyDescent="0.25">
      <c r="B7" s="5" t="s">
        <v>0</v>
      </c>
      <c r="C7" s="1"/>
      <c r="D7" t="s">
        <v>0</v>
      </c>
    </row>
    <row r="8" spans="2:4" x14ac:dyDescent="0.25">
      <c r="B8" s="5">
        <v>1</v>
      </c>
      <c r="C8" s="1"/>
      <c r="D8" t="s">
        <v>9</v>
      </c>
    </row>
    <row r="9" spans="2:4" x14ac:dyDescent="0.25">
      <c r="B9" s="5">
        <v>2</v>
      </c>
      <c r="C9" s="1"/>
      <c r="D9" t="s">
        <v>10</v>
      </c>
    </row>
    <row r="10" spans="2:4" x14ac:dyDescent="0.25">
      <c r="B10" s="5">
        <v>3</v>
      </c>
      <c r="C10" s="1"/>
      <c r="D10" t="s">
        <v>11</v>
      </c>
    </row>
    <row r="11" spans="2:4" x14ac:dyDescent="0.25">
      <c r="B11" s="5">
        <v>4</v>
      </c>
      <c r="C11" s="1"/>
      <c r="D11" t="s">
        <v>12</v>
      </c>
    </row>
    <row r="12" spans="2:4" x14ac:dyDescent="0.25">
      <c r="B12" s="5">
        <v>5</v>
      </c>
      <c r="C12" s="1"/>
    </row>
    <row r="13" spans="2:4" x14ac:dyDescent="0.25">
      <c r="B13" s="1"/>
      <c r="C13" s="1"/>
    </row>
    <row r="14" spans="2:4" x14ac:dyDescent="0.25">
      <c r="B14" s="1"/>
      <c r="C14" s="1"/>
    </row>
    <row r="15" spans="2:4" x14ac:dyDescent="0.25">
      <c r="B15" s="50"/>
      <c r="C15" s="1"/>
      <c r="D15" s="49"/>
    </row>
    <row r="16" spans="2:4" x14ac:dyDescent="0.25">
      <c r="B16" s="1"/>
      <c r="C16" s="1"/>
    </row>
    <row r="17" spans="2:3" x14ac:dyDescent="0.25">
      <c r="B17" s="1"/>
      <c r="C17" s="1"/>
    </row>
    <row r="18" spans="2:3" x14ac:dyDescent="0.25">
      <c r="B18" s="1"/>
      <c r="C18" s="1"/>
    </row>
    <row r="19" spans="2:3" x14ac:dyDescent="0.25">
      <c r="B19" s="1"/>
      <c r="C19" s="1"/>
    </row>
    <row r="20" spans="2:3" x14ac:dyDescent="0.25">
      <c r="B20" s="1"/>
      <c r="C20" s="1"/>
    </row>
    <row r="21" spans="2:3" x14ac:dyDescent="0.25">
      <c r="B21" s="1"/>
      <c r="C21" s="1"/>
    </row>
    <row r="22" spans="2:3" x14ac:dyDescent="0.25">
      <c r="B22" s="1"/>
    </row>
    <row r="23" spans="2:3" x14ac:dyDescent="0.25">
      <c r="B23" s="1"/>
    </row>
    <row r="24" spans="2:3" x14ac:dyDescent="0.25">
      <c r="B24" s="1"/>
    </row>
    <row r="25" spans="2:3" x14ac:dyDescent="0.25">
      <c r="B25" s="1"/>
    </row>
    <row r="26" spans="2:3" x14ac:dyDescent="0.25">
      <c r="B26" s="1"/>
    </row>
  </sheetData>
  <pageMargins left="0.7" right="0.7" top="0.75" bottom="0.75" header="0.3" footer="0.3"/>
  <pageSetup paperSize="9" orientation="portrait" horizontalDpi="360" verticalDpi="360"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34F48D8F043AB4E88B8448C9A41E4F2" ma:contentTypeVersion="13" ma:contentTypeDescription="Create a new document." ma:contentTypeScope="" ma:versionID="3865feef376cda2e852ae1c7fd8e37fa">
  <xsd:schema xmlns:xsd="http://www.w3.org/2001/XMLSchema" xmlns:xs="http://www.w3.org/2001/XMLSchema" xmlns:p="http://schemas.microsoft.com/office/2006/metadata/properties" xmlns:ns2="df15456a-aabd-451a-b26d-603cb9643e03" xmlns:ns3="17366138-4c19-4296-90e1-fdecf533ae0c" targetNamespace="http://schemas.microsoft.com/office/2006/metadata/properties" ma:root="true" ma:fieldsID="e87ae09b166ae28a29ff95ac7a778b10" ns2:_="" ns3:_="">
    <xsd:import namespace="df15456a-aabd-451a-b26d-603cb9643e03"/>
    <xsd:import namespace="17366138-4c19-4296-90e1-fdecf533ae0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15456a-aabd-451a-b26d-603cb9643e0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7366138-4c19-4296-90e1-fdecf533ae0c"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6035B61-0FA2-4DEF-A637-0B22D35E6330}"/>
</file>

<file path=customXml/itemProps2.xml><?xml version="1.0" encoding="utf-8"?>
<ds:datastoreItem xmlns:ds="http://schemas.openxmlformats.org/officeDocument/2006/customXml" ds:itemID="{1ECB737B-7BDF-49F9-BFC9-A1EE92825942}">
  <ds:schemaRefs>
    <ds:schemaRef ds:uri="http://schemas.microsoft.com/DataMashup"/>
  </ds:schemaRefs>
</ds:datastoreItem>
</file>

<file path=customXml/itemProps3.xml><?xml version="1.0" encoding="utf-8"?>
<ds:datastoreItem xmlns:ds="http://schemas.openxmlformats.org/officeDocument/2006/customXml" ds:itemID="{C08B4250-B95D-49BB-B3C5-3FC868E45619}">
  <ds:schemaRefs>
    <ds:schemaRef ds:uri="http://purl.org/dc/terms/"/>
    <ds:schemaRef ds:uri="http://schemas.openxmlformats.org/package/2006/metadata/core-properties"/>
    <ds:schemaRef ds:uri="519c89c0-4739-45b7-90b4-c645f8135810"/>
    <ds:schemaRef ds:uri="http://schemas.microsoft.com/office/2006/documentManagement/types"/>
    <ds:schemaRef ds:uri="http://schemas.microsoft.com/office/infopath/2007/PartnerControls"/>
    <ds:schemaRef ds:uri="http://purl.org/dc/elements/1.1/"/>
    <ds:schemaRef ds:uri="http://schemas.microsoft.com/office/2006/metadata/properties"/>
    <ds:schemaRef ds:uri="906258ce-5a0c-4f3f-a95b-99bb0331ce14"/>
    <ds:schemaRef ds:uri="http://www.w3.org/XML/1998/namespace"/>
    <ds:schemaRef ds:uri="http://purl.org/dc/dcmitype/"/>
  </ds:schemaRefs>
</ds:datastoreItem>
</file>

<file path=customXml/itemProps4.xml><?xml version="1.0" encoding="utf-8"?>
<ds:datastoreItem xmlns:ds="http://schemas.openxmlformats.org/officeDocument/2006/customXml" ds:itemID="{BE29E310-ECC5-4B3B-9676-09C492D3B98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7</vt:i4>
      </vt:variant>
    </vt:vector>
  </HeadingPairs>
  <TitlesOfParts>
    <vt:vector size="27" baseType="lpstr">
      <vt:lpstr>Assessment Details</vt:lpstr>
      <vt:lpstr>Risk Assessment</vt:lpstr>
      <vt:lpstr>Opportunity Assessment</vt:lpstr>
      <vt:lpstr>Dashboard</vt:lpstr>
      <vt:lpstr>Pre-treatment Risks Pivot</vt:lpstr>
      <vt:lpstr>Pre-treatment Risk Owners Pivot</vt:lpstr>
      <vt:lpstr>Post-treatment Risks Pivot</vt:lpstr>
      <vt:lpstr>Pre &amp; Post Risks By Level Pivot</vt:lpstr>
      <vt:lpstr>Treatment option chosen Pivot</vt:lpstr>
      <vt:lpstr>Total treatment costs Pivot</vt:lpstr>
      <vt:lpstr>Treatment Action Owner</vt:lpstr>
      <vt:lpstr>Opps By Level</vt:lpstr>
      <vt:lpstr>Opps By Level &amp; Type</vt:lpstr>
      <vt:lpstr>Opp Levels By Opp Owner</vt:lpstr>
      <vt:lpstr>Opp Action Owner</vt:lpstr>
      <vt:lpstr>Example Threats</vt:lpstr>
      <vt:lpstr>Likelihood</vt:lpstr>
      <vt:lpstr>Risk Impact</vt:lpstr>
      <vt:lpstr>Opportunity Impact</vt:lpstr>
      <vt:lpstr>Selection Tables</vt:lpstr>
      <vt:lpstr>'Assessment Details'!Print_Area</vt:lpstr>
      <vt:lpstr>Dashboard!Print_Area</vt:lpstr>
      <vt:lpstr>'Example Threats'!Print_Area</vt:lpstr>
      <vt:lpstr>Likelihood!Print_Area</vt:lpstr>
      <vt:lpstr>'Opportunity Assessment'!Print_Area</vt:lpstr>
      <vt:lpstr>'Risk Assessment'!Print_Area</vt:lpstr>
      <vt:lpstr>'Risk Assessment'!Print_Titles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CertiKit ISO22301 Toolkit</dc:title>
  <dc:creator>Copyright CertiKit</dc:creator>
  <cp:lastModifiedBy>Andie Darlington</cp:lastModifiedBy>
  <cp:lastPrinted>2021-10-01T14:19:09Z</cp:lastPrinted>
  <dcterms:created xsi:type="dcterms:W3CDTF">2015-06-05T18:17:20Z</dcterms:created>
  <dcterms:modified xsi:type="dcterms:W3CDTF">2021-10-01T14:19:16Z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0x010100D34F48D8F043AB4E88B8448C9A41E4F2</vt:lpwstr>
  </property>
</Properties>
</file>