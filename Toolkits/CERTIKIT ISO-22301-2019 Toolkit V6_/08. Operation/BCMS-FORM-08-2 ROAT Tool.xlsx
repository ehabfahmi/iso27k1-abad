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drawings/drawing4.xml" ContentType="application/vnd.openxmlformats-officedocument.drawing+xml"/>
  <Override PartName="/xl/tables/table2.xml" ContentType="application/vnd.openxmlformats-officedocument.spreadsheetml.table+xml"/>
  <Override PartName="/xl/slicers/slicer2.xml" ContentType="application/vnd.ms-excel.slicer+xml"/>
  <Override PartName="/xl/comments2.xml" ContentType="application/vnd.openxmlformats-officedocument.spreadsheetml.comments+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xml" ContentType="application/vnd.openxmlformats-officedocument.spreadsheetml.pivotTable+xml"/>
  <Override PartName="/xl/tables/table3.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4.xml" ContentType="application/vnd.openxmlformats-officedocument.spreadsheetml.table+xml"/>
  <Override PartName="/xl/pivotTables/pivotTable4.xml" ContentType="application/vnd.openxmlformats-officedocument.spreadsheetml.pivotTable+xml"/>
  <Override PartName="/xl/tables/table5.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hidePivotFieldList="1"/>
  <mc:AlternateContent xmlns:mc="http://schemas.openxmlformats.org/markup-compatibility/2006">
    <mc:Choice Requires="x15">
      <x15ac:absPath xmlns:x15ac="http://schemas.microsoft.com/office/spreadsheetml/2010/11/ac" url="https://publicit3.sharepoint.com/sites/ToolkitDevelopment/Shared Documents/ISO22301 v6/CERTIKIT ISO-22301-2019 Toolkit V6/08. Operation/"/>
    </mc:Choice>
  </mc:AlternateContent>
  <xr:revisionPtr revIDLastSave="11" documentId="13_ncr:1_{1FF2EAFF-435D-482E-A585-6BD44F788284}" xr6:coauthVersionLast="47" xr6:coauthVersionMax="47" xr10:uidLastSave="{9618A76A-DDA1-43FA-8791-BB37DF012DCE}"/>
  <bookViews>
    <workbookView xWindow="-120" yWindow="-120" windowWidth="29040" windowHeight="15840" tabRatio="854" xr2:uid="{00000000-000D-0000-FFFF-FFFF00000000}"/>
  </bookViews>
  <sheets>
    <sheet name="Guidance" sheetId="69" r:id="rId1"/>
    <sheet name="Assessment Details" sheetId="70" r:id="rId2"/>
    <sheet name="Risk Assessment" sheetId="8" r:id="rId3"/>
    <sheet name="Opportunity Assessment" sheetId="38" r:id="rId4"/>
    <sheet name="Dashboard" sheetId="55" r:id="rId5"/>
    <sheet name="Pre-treatment Risks Pivot" sheetId="62" state="hidden" r:id="rId6"/>
    <sheet name="Pre-treatment Risk Owners Pivot" sheetId="61" state="hidden" r:id="rId7"/>
    <sheet name="Post-treatment Risks Pivot" sheetId="60" state="hidden" r:id="rId8"/>
    <sheet name="Pre &amp; Post Risks By Level Pivot" sheetId="59" state="hidden" r:id="rId9"/>
    <sheet name="Treatment option chosen Pivot" sheetId="58" state="hidden" r:id="rId10"/>
    <sheet name="Total treatment costs Pivot" sheetId="57" state="hidden" r:id="rId11"/>
    <sheet name="Treatment Action Owner" sheetId="63" state="hidden" r:id="rId12"/>
    <sheet name="Opps By Level" sheetId="68" state="hidden" r:id="rId13"/>
    <sheet name="Opps By Level &amp; Type" sheetId="66" state="hidden" r:id="rId14"/>
    <sheet name="Opp Levels By Opp Owner" sheetId="64" state="hidden" r:id="rId15"/>
    <sheet name="Opp Action Owner" sheetId="67" state="hidden" r:id="rId16"/>
    <sheet name="Example Threats" sheetId="46" r:id="rId17"/>
    <sheet name="Likelihood" sheetId="13" r:id="rId18"/>
    <sheet name="Risk Impact" sheetId="40" r:id="rId19"/>
    <sheet name="Opportunity Impact" sheetId="41" r:id="rId20"/>
    <sheet name="Selection Tables" sheetId="4" state="hidden" r:id="rId21"/>
  </sheets>
  <definedNames>
    <definedName name="A">#REF!</definedName>
    <definedName name="NoRisksPre" localSheetId="1">#REF!</definedName>
    <definedName name="NoRisksPre" localSheetId="0">#REF!</definedName>
    <definedName name="NoRisksPre" localSheetId="7">#REF!</definedName>
    <definedName name="NoRisksPre" localSheetId="8">#REF!</definedName>
    <definedName name="NoRisksPre" localSheetId="6">#REF!</definedName>
    <definedName name="NoRisksPre" localSheetId="5">#REF!</definedName>
    <definedName name="NoRisksPre" localSheetId="10">#REF!</definedName>
    <definedName name="NoRisksPre" localSheetId="9">#REF!</definedName>
    <definedName name="NoRisksPre">#REF!</definedName>
    <definedName name="_xlnm.Print_Area" localSheetId="1">'Assessment Details'!$A$1:$C$19</definedName>
    <definedName name="_xlnm.Print_Area" localSheetId="4">Dashboard!$A$1:$Z$136</definedName>
    <definedName name="_xlnm.Print_Area" localSheetId="16">'Example Threats'!$A$1:$D$39</definedName>
    <definedName name="_xlnm.Print_Area" localSheetId="0">Guidance!$B$2:$B$26</definedName>
    <definedName name="_xlnm.Print_Area" localSheetId="17">Likelihood!$A$1:$E$17</definedName>
    <definedName name="_xlnm.Print_Area" localSheetId="3">'Opportunity Assessment'!$A$1:$P$15</definedName>
    <definedName name="_xlnm.Print_Area" localSheetId="2">'Risk Assessment'!$A$1:$X$34</definedName>
    <definedName name="_xlnm.Print_Titles" localSheetId="2">'Risk Assessment'!$B:$F,'Risk Assessment'!$13:$14</definedName>
    <definedName name="Slicer_ACTION_OWNER">#N/A</definedName>
    <definedName name="Slicer_OPPORTUNITY_LEVEL">#N/A</definedName>
    <definedName name="Slicer_OPPORTUNITY_OWNER">#N/A</definedName>
    <definedName name="Slicer_OPPORTUNITY_TYPE">#N/A</definedName>
    <definedName name="Slicer_Post_Treatment_Risk_Level">#N/A</definedName>
    <definedName name="Slicer_Risk_level">#N/A</definedName>
    <definedName name="Slicer_Risk_owner">#N/A</definedName>
    <definedName name="Slicer_Treatment_Action_Owner">#N/A</definedName>
    <definedName name="Slicer_Treatment_option_chosen">#N/A</definedName>
  </definedNames>
  <calcPr calcId="191029"/>
  <pivotCaches>
    <pivotCache cacheId="10" r:id="rId22"/>
    <pivotCache cacheId="11" r:id="rId23"/>
    <pivotCache cacheId="12" r:id="rId24"/>
    <pivotCache cacheId="13" r:id="rId25"/>
    <pivotCache cacheId="14" r:id="rId26"/>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7"/>
        <x14:slicerCache r:id="rId28"/>
        <x14:slicerCache r:id="rId29"/>
        <x14:slicerCache r:id="rId30"/>
        <x14:slicerCache r:id="rId31"/>
        <x14:slicerCache r:id="rId32"/>
        <x14:slicerCache r:id="rId33"/>
        <x14:slicerCache r:id="rId34"/>
        <x14:slicerCache r:id="rId3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23" i="8" l="1"/>
  <c r="L23" i="8" s="1"/>
  <c r="K24" i="8"/>
  <c r="L24" i="8" s="1"/>
  <c r="K25" i="8"/>
  <c r="L25" i="8" s="1"/>
  <c r="K26" i="8"/>
  <c r="L26" i="8" s="1"/>
  <c r="K27" i="8"/>
  <c r="K28" i="8"/>
  <c r="K29" i="8"/>
  <c r="L29" i="8" s="1"/>
  <c r="K30" i="8"/>
  <c r="L30" i="8" s="1"/>
  <c r="K31" i="8"/>
  <c r="L31" i="8" s="1"/>
  <c r="K32" i="8"/>
  <c r="L32" i="8" s="1"/>
  <c r="K33" i="8"/>
  <c r="L33" i="8" s="1"/>
  <c r="K34" i="8"/>
  <c r="L34" i="8" s="1"/>
  <c r="L27" i="8"/>
  <c r="L28" i="8"/>
  <c r="V23" i="8"/>
  <c r="W23" i="8" s="1"/>
  <c r="V24" i="8"/>
  <c r="W24" i="8" s="1"/>
  <c r="V25" i="8"/>
  <c r="W25" i="8" s="1"/>
  <c r="V26" i="8"/>
  <c r="W26" i="8" s="1"/>
  <c r="V27" i="8"/>
  <c r="V28" i="8"/>
  <c r="V29" i="8"/>
  <c r="W29" i="8" s="1"/>
  <c r="V30" i="8"/>
  <c r="W30" i="8" s="1"/>
  <c r="V31" i="8"/>
  <c r="W31" i="8" s="1"/>
  <c r="V32" i="8"/>
  <c r="W32" i="8" s="1"/>
  <c r="V33" i="8"/>
  <c r="W33" i="8" s="1"/>
  <c r="V34" i="8"/>
  <c r="W34" i="8" s="1"/>
  <c r="W27" i="8"/>
  <c r="W28" i="8"/>
  <c r="K16" i="38"/>
  <c r="K17" i="38"/>
  <c r="K18" i="38"/>
  <c r="L18" i="38" s="1"/>
  <c r="K19" i="38"/>
  <c r="K20" i="38"/>
  <c r="L20" i="38" s="1"/>
  <c r="K21" i="38"/>
  <c r="L21" i="38" s="1"/>
  <c r="K22" i="38"/>
  <c r="L22" i="38" s="1"/>
  <c r="K23" i="38"/>
  <c r="K24" i="38"/>
  <c r="L24" i="38" s="1"/>
  <c r="K25" i="38"/>
  <c r="L25" i="38" s="1"/>
  <c r="K26" i="38"/>
  <c r="L26" i="38" s="1"/>
  <c r="K27" i="38"/>
  <c r="K28" i="38"/>
  <c r="L28" i="38" s="1"/>
  <c r="K29" i="38"/>
  <c r="K30" i="38"/>
  <c r="L30" i="38" s="1"/>
  <c r="K31" i="38"/>
  <c r="L31" i="38" s="1"/>
  <c r="K32" i="38"/>
  <c r="L32" i="38" s="1"/>
  <c r="L16" i="38"/>
  <c r="L17" i="38"/>
  <c r="L19" i="38"/>
  <c r="L23" i="38"/>
  <c r="L27" i="38"/>
  <c r="L29" i="38"/>
  <c r="K22" i="8" l="1"/>
  <c r="L22" i="8" s="1"/>
  <c r="V22" i="8"/>
  <c r="W22" i="8" s="1"/>
  <c r="Y64" i="55" l="1" a="1"/>
  <c r="Y64" i="55" s="1"/>
  <c r="Z66" i="55" a="1"/>
  <c r="Z66" i="55" s="1"/>
  <c r="Y66" i="55" a="1"/>
  <c r="Y66" i="55" s="1"/>
  <c r="X66" i="55" a="1"/>
  <c r="X66" i="55" s="1"/>
  <c r="W66" i="55" a="1"/>
  <c r="W66" i="55" s="1"/>
  <c r="Z65" i="55" a="1"/>
  <c r="Z65" i="55" s="1"/>
  <c r="Y65" i="55" a="1"/>
  <c r="Y65" i="55" s="1"/>
  <c r="X65" i="55" a="1"/>
  <c r="X65" i="55" s="1"/>
  <c r="W65" i="55" a="1"/>
  <c r="W65" i="55" s="1"/>
  <c r="Z64" i="55" a="1"/>
  <c r="Z64" i="55" s="1"/>
  <c r="X64" i="55" a="1"/>
  <c r="X64" i="55" s="1"/>
  <c r="W64" i="55" a="1"/>
  <c r="W64" i="55" s="1"/>
  <c r="Z63" i="55" a="1"/>
  <c r="Z63" i="55" s="1"/>
  <c r="Y63" i="55" a="1"/>
  <c r="Y63" i="55" s="1"/>
  <c r="X63" i="55" a="1"/>
  <c r="X63" i="55" s="1"/>
  <c r="W63" i="55" a="1"/>
  <c r="W63" i="55" s="1"/>
  <c r="Z62" i="55" a="1"/>
  <c r="Z62" i="55" s="1"/>
  <c r="Y62" i="55" a="1"/>
  <c r="Y62" i="55" s="1"/>
  <c r="X62" i="55" a="1"/>
  <c r="X62" i="55" s="1"/>
  <c r="W62" i="55" a="1"/>
  <c r="W62" i="55" s="1"/>
  <c r="V66" i="55" a="1"/>
  <c r="V66" i="55" s="1"/>
  <c r="V65" i="55" a="1"/>
  <c r="V65" i="55" s="1"/>
  <c r="V64" i="55" a="1"/>
  <c r="V64" i="55" s="1"/>
  <c r="V63" i="55" a="1"/>
  <c r="V63" i="55" s="1"/>
  <c r="V62" i="55" a="1"/>
  <c r="V62" i="55" s="1"/>
  <c r="R62" i="55" a="1"/>
  <c r="R62" i="55" s="1"/>
  <c r="Q62" i="55" a="1"/>
  <c r="Q62" i="55" s="1"/>
  <c r="P62" i="55" a="1"/>
  <c r="P62" i="55" s="1"/>
  <c r="O62" i="55" a="1"/>
  <c r="O62" i="55" s="1"/>
  <c r="R66" i="55" a="1"/>
  <c r="R66" i="55" s="1"/>
  <c r="Q66" i="55" a="1"/>
  <c r="Q66" i="55" s="1"/>
  <c r="P66" i="55" a="1"/>
  <c r="P66" i="55" s="1"/>
  <c r="O66" i="55" a="1"/>
  <c r="O66" i="55" s="1"/>
  <c r="N66" i="55" a="1"/>
  <c r="N66" i="55" s="1"/>
  <c r="R65" i="55" a="1"/>
  <c r="R65" i="55" s="1"/>
  <c r="Q65" i="55" a="1"/>
  <c r="Q65" i="55" s="1"/>
  <c r="P65" i="55" a="1"/>
  <c r="P65" i="55" s="1"/>
  <c r="O65" i="55" a="1"/>
  <c r="O65" i="55" s="1"/>
  <c r="N65" i="55" a="1"/>
  <c r="N65" i="55" s="1"/>
  <c r="R64" i="55" a="1"/>
  <c r="R64" i="55" s="1"/>
  <c r="Q64" i="55" a="1"/>
  <c r="Q64" i="55" s="1"/>
  <c r="P64" i="55" a="1"/>
  <c r="P64" i="55" s="1"/>
  <c r="O64" i="55" a="1"/>
  <c r="O64" i="55" s="1"/>
  <c r="N64" i="55" a="1"/>
  <c r="N64" i="55" s="1"/>
  <c r="R63" i="55" a="1"/>
  <c r="R63" i="55" s="1"/>
  <c r="Q63" i="55" a="1"/>
  <c r="Q63" i="55" s="1"/>
  <c r="P63" i="55" a="1"/>
  <c r="P63" i="55" s="1"/>
  <c r="O63" i="55" a="1"/>
  <c r="O63" i="55" s="1"/>
  <c r="N63" i="55" a="1"/>
  <c r="N63" i="55" s="1"/>
  <c r="N62" i="55" a="1"/>
  <c r="N62" i="55" s="1"/>
  <c r="K15" i="38" l="1"/>
  <c r="L15" i="38" s="1"/>
  <c r="K14" i="38"/>
  <c r="L14" i="38" s="1"/>
  <c r="K13" i="38"/>
  <c r="L13" i="38" s="1"/>
  <c r="V15" i="8" l="1"/>
  <c r="W15" i="8" s="1"/>
  <c r="V17" i="8"/>
  <c r="W17" i="8" s="1"/>
  <c r="V21" i="8" l="1"/>
  <c r="W21" i="8" s="1"/>
  <c r="V19" i="8"/>
  <c r="W19" i="8" s="1"/>
  <c r="V20" i="8"/>
  <c r="W20" i="8" s="1"/>
  <c r="V18" i="8"/>
  <c r="W18" i="8" s="1"/>
  <c r="V16" i="8"/>
  <c r="W16" i="8" s="1"/>
  <c r="D7" i="59" s="1"/>
  <c r="D8" i="59" l="1"/>
  <c r="C8" i="60"/>
  <c r="C9" i="60"/>
  <c r="D9" i="59"/>
  <c r="C7" i="60"/>
  <c r="K21" i="8"/>
  <c r="K20" i="8"/>
  <c r="K19" i="8"/>
  <c r="K18" i="8"/>
  <c r="K17" i="8"/>
  <c r="K16" i="8"/>
  <c r="K15" i="8"/>
  <c r="L15" i="8" s="1"/>
  <c r="L21" i="8" l="1"/>
  <c r="L17" i="8"/>
  <c r="C9" i="62" s="1"/>
  <c r="L18" i="8"/>
  <c r="L19" i="8"/>
  <c r="L20" i="8"/>
  <c r="L16" i="8"/>
  <c r="C8" i="62" l="1"/>
  <c r="C7" i="59"/>
  <c r="C7" i="62"/>
  <c r="C9" i="59"/>
  <c r="C8" i="5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Ken Holmes</author>
  </authors>
  <commentList>
    <comment ref="B13" authorId="0" shapeId="0" xr:uid="{6B638FF0-0505-49F7-8094-8F7DC85084DD}">
      <text>
        <r>
          <rPr>
            <b/>
            <sz val="9"/>
            <color indexed="81"/>
            <rFont val="Tahoma"/>
            <family val="2"/>
          </rPr>
          <t>This section describes the nature of the risk and the risk owner.</t>
        </r>
      </text>
    </comment>
    <comment ref="F13" authorId="0" shapeId="0" xr:uid="{4BBD1BA4-BD95-488A-9331-BA3297664CB5}">
      <text>
        <r>
          <rPr>
            <b/>
            <sz val="9"/>
            <color indexed="81"/>
            <rFont val="Tahoma"/>
            <family val="2"/>
          </rPr>
          <t>This is an assessment of the level of current risk, taking into account any controls already in place to address it.</t>
        </r>
      </text>
    </comment>
    <comment ref="M13" authorId="0" shapeId="0" xr:uid="{87BFBED8-63B1-4842-9C52-FC36F3B83C95}">
      <text>
        <r>
          <rPr>
            <b/>
            <sz val="9"/>
            <color indexed="81"/>
            <rFont val="Tahoma"/>
            <family val="2"/>
          </rPr>
          <t>For those risks that are not accepted, a plan must be in place to take action to address the risk.</t>
        </r>
      </text>
    </comment>
    <comment ref="R13" authorId="0" shapeId="0" xr:uid="{091B2529-BD88-4956-836B-0EDC34BF0A46}">
      <text>
        <r>
          <rPr>
            <b/>
            <sz val="9"/>
            <color indexed="81"/>
            <rFont val="Tahoma"/>
            <family val="2"/>
          </rPr>
          <t>This section is used to assess what the level of risk will be, once the treatment actions have been carried out.</t>
        </r>
      </text>
    </comment>
    <comment ref="B14" authorId="0" shapeId="0" xr:uid="{DC6D314B-04E9-4499-AE0F-7B291E9772BB}">
      <text>
        <r>
          <rPr>
            <b/>
            <sz val="9"/>
            <color indexed="81"/>
            <rFont val="Tahoma"/>
            <family val="2"/>
          </rPr>
          <t>Enter a reference number here.</t>
        </r>
      </text>
    </comment>
    <comment ref="C14" authorId="0" shapeId="0" xr:uid="{18C926B8-1C43-4467-8B80-58F8908605E0}">
      <text>
        <r>
          <rPr>
            <b/>
            <sz val="9"/>
            <color indexed="81"/>
            <rFont val="Tahoma"/>
            <family val="2"/>
          </rPr>
          <t>A short name that the risk will be known by.</t>
        </r>
      </text>
    </comment>
    <comment ref="D14" authorId="0" shapeId="0" xr:uid="{C919AE4F-E3BF-49E4-8E63-E45F6FC9CB77}">
      <text>
        <r>
          <rPr>
            <b/>
            <sz val="9"/>
            <color indexed="81"/>
            <rFont val="Tahoma"/>
            <family val="2"/>
          </rPr>
          <t>Record the risk with as full a description as possible.</t>
        </r>
      </text>
    </comment>
    <comment ref="E14" authorId="0" shapeId="0" xr:uid="{F3206D6C-4646-49B7-9771-FE36682B4ADC}">
      <text>
        <r>
          <rPr>
            <b/>
            <sz val="9"/>
            <color indexed="81"/>
            <rFont val="Tahoma"/>
            <family val="2"/>
          </rPr>
          <t>Name of the person responsible for the risk.</t>
        </r>
      </text>
    </comment>
    <comment ref="F14" authorId="0" shapeId="0" xr:uid="{39D5D359-C4AB-4A12-996D-443D273DED41}">
      <text>
        <r>
          <rPr>
            <b/>
            <sz val="9"/>
            <color indexed="81"/>
            <rFont val="Tahoma"/>
            <family val="2"/>
          </rPr>
          <t>Existing controls which could lessen the risk likelihood and/or impact.</t>
        </r>
      </text>
    </comment>
    <comment ref="G14" authorId="0" shapeId="0" xr:uid="{9D0A5E58-B9E1-4E1F-9DA7-632C0362FDC0}">
      <text>
        <r>
          <rPr>
            <b/>
            <sz val="9"/>
            <color indexed="81"/>
            <rFont val="Tahoma"/>
            <family val="2"/>
          </rPr>
          <t>Select a score from 1 to 5, where 1 is a low likelihood and 5 is high.</t>
        </r>
      </text>
    </comment>
    <comment ref="H14" authorId="0" shapeId="0" xr:uid="{3D29CBC3-B098-4567-94F7-4888D909DCEC}">
      <text>
        <r>
          <rPr>
            <b/>
            <sz val="9"/>
            <color indexed="81"/>
            <rFont val="Tahoma"/>
            <family val="2"/>
          </rPr>
          <t>Reasoning for giving that likelihood score.</t>
        </r>
      </text>
    </comment>
    <comment ref="I14" authorId="0" shapeId="0" xr:uid="{3650CE4D-A374-44C4-98AE-014B65B08A4C}">
      <text>
        <r>
          <rPr>
            <b/>
            <sz val="9"/>
            <color indexed="81"/>
            <rFont val="Tahoma"/>
            <family val="2"/>
          </rPr>
          <t>Select a score from 1 to 5, where 1 is low impact and 5 is high.</t>
        </r>
      </text>
    </comment>
    <comment ref="J14" authorId="0" shapeId="0" xr:uid="{3563663F-68E2-4FAE-84EF-837A00B78372}">
      <text>
        <r>
          <rPr>
            <b/>
            <sz val="9"/>
            <color indexed="81"/>
            <rFont val="Tahoma"/>
            <family val="2"/>
          </rPr>
          <t>Brief explanation of why the impact score was assigned.</t>
        </r>
      </text>
    </comment>
    <comment ref="K14" authorId="0" shapeId="0" xr:uid="{57AA5AC1-7BB9-4840-BC32-77E5F4BB9DFA}">
      <text>
        <r>
          <rPr>
            <b/>
            <sz val="9"/>
            <color indexed="81"/>
            <rFont val="Tahoma"/>
            <family val="2"/>
          </rPr>
          <t>Risk score of between 1 and 25. This field will be automatically generated.</t>
        </r>
      </text>
    </comment>
    <comment ref="L14" authorId="0" shapeId="0" xr:uid="{BE74B0C4-967E-4DC8-80B1-3F5562AF9501}">
      <text>
        <r>
          <rPr>
            <b/>
            <sz val="9"/>
            <color indexed="81"/>
            <rFont val="Tahoma"/>
            <family val="2"/>
          </rPr>
          <t>Risk level of low, medium or high, depending on the risk score. This field will be automatically generated.</t>
        </r>
      </text>
    </comment>
    <comment ref="M14" authorId="0" shapeId="0" xr:uid="{6722E069-098C-498A-BBF2-8CAD9E2A8DA0}">
      <text>
        <r>
          <rPr>
            <b/>
            <sz val="9"/>
            <color indexed="81"/>
            <rFont val="Tahoma"/>
            <family val="2"/>
          </rPr>
          <t>Select a risk treatment option from the drop-down menu.</t>
        </r>
      </text>
    </comment>
    <comment ref="N14" authorId="0" shapeId="0" xr:uid="{A05BBCC7-EE96-4941-BE64-7AE1B6A6ADA9}">
      <text>
        <r>
          <rPr>
            <b/>
            <sz val="9"/>
            <color indexed="81"/>
            <rFont val="Tahoma"/>
            <family val="2"/>
          </rPr>
          <t>Record any proposed actions intended to address the risk.</t>
        </r>
      </text>
    </comment>
    <comment ref="O14" authorId="0" shapeId="0" xr:uid="{15A1E1AE-15DE-4880-A5A9-F90AB8ECFD2D}">
      <text>
        <r>
          <rPr>
            <b/>
            <sz val="9"/>
            <color indexed="81"/>
            <rFont val="Tahoma"/>
            <family val="2"/>
          </rPr>
          <t>How much money will the proposed treatment action cost?</t>
        </r>
      </text>
    </comment>
    <comment ref="P14" authorId="0" shapeId="0" xr:uid="{27B31411-E7EB-4D8D-8B27-62ED32A92D8D}">
      <text>
        <r>
          <rPr>
            <b/>
            <sz val="9"/>
            <color indexed="81"/>
            <rFont val="Tahoma"/>
            <family val="2"/>
          </rPr>
          <t>The person or role tasked with completing the treatment action.</t>
        </r>
      </text>
    </comment>
    <comment ref="Q14" authorId="0" shapeId="0" xr:uid="{9A5DAFA8-6F3A-4435-AADB-DCA08467C479}">
      <text>
        <r>
          <rPr>
            <b/>
            <sz val="9"/>
            <color indexed="81"/>
            <rFont val="Tahoma"/>
            <family val="2"/>
          </rPr>
          <t>The date or timeframe by which the treatment action must be completed.</t>
        </r>
      </text>
    </comment>
    <comment ref="R14" authorId="0" shapeId="0" xr:uid="{57556DE0-ECE2-4634-81B9-8D6836F8040F}">
      <text>
        <r>
          <rPr>
            <b/>
            <sz val="9"/>
            <color indexed="81"/>
            <rFont val="Tahoma"/>
            <family val="2"/>
          </rPr>
          <t>Select a score from 1 to 5, where 1 is a low likelihood and 5 is high.</t>
        </r>
      </text>
    </comment>
    <comment ref="S14" authorId="0" shapeId="0" xr:uid="{66F38DDC-18C2-4922-8A77-7B178850D183}">
      <text>
        <r>
          <rPr>
            <b/>
            <sz val="9"/>
            <color indexed="81"/>
            <rFont val="Tahoma"/>
            <family val="2"/>
          </rPr>
          <t>Reasoning for giving that likelihood score.</t>
        </r>
      </text>
    </comment>
    <comment ref="T14" authorId="0" shapeId="0" xr:uid="{AA740A7F-876C-4587-A5D7-087899939E8A}">
      <text>
        <r>
          <rPr>
            <b/>
            <sz val="9"/>
            <color indexed="81"/>
            <rFont val="Tahoma"/>
            <family val="2"/>
          </rPr>
          <t>Select a score from 1 to 5, where 1 is low impact and 5 is high.</t>
        </r>
      </text>
    </comment>
    <comment ref="U14" authorId="0" shapeId="0" xr:uid="{FE72321B-D3A9-4465-A9D5-6243B8901517}">
      <text>
        <r>
          <rPr>
            <b/>
            <sz val="9"/>
            <color indexed="81"/>
            <rFont val="Tahoma"/>
            <family val="2"/>
          </rPr>
          <t>Reasoning for giving that impact score.</t>
        </r>
      </text>
    </comment>
    <comment ref="V14" authorId="0" shapeId="0" xr:uid="{A7B99897-2CAA-4D66-876E-0712237C8174}">
      <text>
        <r>
          <rPr>
            <b/>
            <sz val="9"/>
            <color indexed="81"/>
            <rFont val="Tahoma"/>
            <family val="2"/>
          </rPr>
          <t>Risk score of between 1 and 25. This field will be automatically generated.</t>
        </r>
      </text>
    </comment>
    <comment ref="W14" authorId="0" shapeId="0" xr:uid="{C20FC0B2-D6CC-4BD3-8CEF-D0CBD1E9DBAF}">
      <text>
        <r>
          <rPr>
            <b/>
            <sz val="9"/>
            <color indexed="81"/>
            <rFont val="Tahoma"/>
            <family val="2"/>
          </rPr>
          <t>Risk level of low, medium or high, depending on the risk score. This field will be automatically generated.</t>
        </r>
      </text>
    </comment>
    <comment ref="X14" authorId="0" shapeId="0" xr:uid="{06E7EA28-C20B-412C-9601-7F429B61D6B1}">
      <text>
        <r>
          <rPr>
            <b/>
            <sz val="9"/>
            <color indexed="81"/>
            <rFont val="Tahoma"/>
            <family val="2"/>
          </rPr>
          <t>Enter any other comments here.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Ken Holmes</author>
  </authors>
  <commentList>
    <comment ref="B12" authorId="0" shapeId="0" xr:uid="{F63C12BC-D78A-4CA6-9E29-993A37FA27B8}">
      <text>
        <r>
          <rPr>
            <b/>
            <sz val="9"/>
            <color indexed="81"/>
            <rFont val="Tahoma"/>
            <family val="2"/>
          </rPr>
          <t>Enter a reference number here.</t>
        </r>
      </text>
    </comment>
    <comment ref="C12" authorId="0" shapeId="0" xr:uid="{398218E1-380D-49BD-9C1C-8B6DCB681718}">
      <text>
        <r>
          <rPr>
            <b/>
            <sz val="9"/>
            <color indexed="81"/>
            <rFont val="Tahoma"/>
            <family val="2"/>
          </rPr>
          <t>A short name that the opportunity will be known by.</t>
        </r>
      </text>
    </comment>
    <comment ref="D12" authorId="0" shapeId="0" xr:uid="{57DAF124-4FC7-41E5-8892-A58CCE3D07B9}">
      <text>
        <r>
          <rPr>
            <b/>
            <sz val="9"/>
            <color indexed="81"/>
            <rFont val="Tahoma"/>
            <family val="2"/>
          </rPr>
          <t>Record the opportunity with as full a description as possible.</t>
        </r>
      </text>
    </comment>
    <comment ref="E12" authorId="0" shapeId="0" xr:uid="{8624269D-C5DF-45DD-B1FE-37EAE66A2014}">
      <text>
        <r>
          <rPr>
            <b/>
            <sz val="9"/>
            <color indexed="81"/>
            <rFont val="Tahoma"/>
            <family val="2"/>
          </rPr>
          <t>Examples types could be Financial, Technical, Resources, Reciprocal Arrangement, but any useful classification may be used.</t>
        </r>
      </text>
    </comment>
    <comment ref="F12" authorId="0" shapeId="0" xr:uid="{41775504-37DD-4F12-97A3-120CA36D423D}">
      <text>
        <r>
          <rPr>
            <b/>
            <sz val="9"/>
            <color indexed="81"/>
            <rFont val="Tahoma"/>
            <family val="2"/>
          </rPr>
          <t>Name of the person responsible for the opportunity.</t>
        </r>
      </text>
    </comment>
    <comment ref="G12" authorId="0" shapeId="0" xr:uid="{FD281966-65A2-49ED-8BB2-39780BD23D2B}">
      <text>
        <r>
          <rPr>
            <b/>
            <sz val="9"/>
            <color indexed="81"/>
            <rFont val="Tahoma"/>
            <family val="2"/>
          </rPr>
          <t>Select a score from 1 to 5, where 1 is a low likelihood and 5 is high.</t>
        </r>
      </text>
    </comment>
    <comment ref="H12" authorId="0" shapeId="0" xr:uid="{317D9767-2F1A-44E9-B59F-12E00EAC046C}">
      <text>
        <r>
          <rPr>
            <b/>
            <sz val="9"/>
            <color indexed="81"/>
            <rFont val="Tahoma"/>
            <family val="2"/>
          </rPr>
          <t>Reasoning for giving that likelihood score.</t>
        </r>
      </text>
    </comment>
    <comment ref="I12" authorId="0" shapeId="0" xr:uid="{B43273A2-1AC5-4186-87B4-C89AC0838422}">
      <text>
        <r>
          <rPr>
            <b/>
            <sz val="9"/>
            <color indexed="81"/>
            <rFont val="Tahoma"/>
            <family val="2"/>
          </rPr>
          <t>Select a score from 1 to 5, where 1 is low impact and 5 is high.</t>
        </r>
      </text>
    </comment>
    <comment ref="J12" authorId="0" shapeId="0" xr:uid="{88D443B7-F3F4-445D-84D3-BFC34BE3D6F8}">
      <text>
        <r>
          <rPr>
            <b/>
            <sz val="9"/>
            <color indexed="81"/>
            <rFont val="Tahoma"/>
            <family val="2"/>
          </rPr>
          <t>Brief explanation of why the impact score was assigned.</t>
        </r>
      </text>
    </comment>
    <comment ref="K12" authorId="0" shapeId="0" xr:uid="{3C285276-CF2D-4ABC-A4E2-0E7DBDD9F4DE}">
      <text>
        <r>
          <rPr>
            <b/>
            <sz val="9"/>
            <color indexed="81"/>
            <rFont val="Tahoma"/>
            <family val="2"/>
          </rPr>
          <t>Opportunity score of between 1 and 25. This field will be automatically generated.</t>
        </r>
      </text>
    </comment>
    <comment ref="L12" authorId="0" shapeId="0" xr:uid="{85F3B019-DA43-4378-BFC7-966AC6B612DE}">
      <text>
        <r>
          <rPr>
            <b/>
            <sz val="9"/>
            <color indexed="81"/>
            <rFont val="Tahoma"/>
            <family val="2"/>
          </rPr>
          <t>Opportunity level of low, medium or high, depending on the risk score. This field will be automatically generated.</t>
        </r>
      </text>
    </comment>
    <comment ref="M12" authorId="0" shapeId="0" xr:uid="{B3F22778-B271-42A2-B8F1-CB28F128DA46}">
      <text>
        <r>
          <rPr>
            <b/>
            <sz val="9"/>
            <color indexed="81"/>
            <rFont val="Tahoma"/>
            <family val="2"/>
          </rPr>
          <t>Record any actions proposed to take advantage of the opportunity.</t>
        </r>
      </text>
    </comment>
    <comment ref="N12" authorId="0" shapeId="0" xr:uid="{BB4203D1-B7FE-41B3-ABB3-8DBE4A08201B}">
      <text>
        <r>
          <rPr>
            <b/>
            <sz val="9"/>
            <color indexed="81"/>
            <rFont val="Tahoma"/>
            <family val="2"/>
          </rPr>
          <t>Who is responsible for performing the identified actions.</t>
        </r>
      </text>
    </comment>
    <comment ref="O12" authorId="0" shapeId="0" xr:uid="{CA0D043E-BF2F-487B-8128-4C2B8C3C5742}">
      <text>
        <r>
          <rPr>
            <b/>
            <sz val="9"/>
            <color indexed="81"/>
            <rFont val="Tahoma"/>
            <family val="2"/>
          </rPr>
          <t>When the identified actions should be completed by.</t>
        </r>
      </text>
    </comment>
    <comment ref="P12" authorId="0" shapeId="0" xr:uid="{276AC851-72B6-4B2D-8FF0-6EB403D25474}">
      <text>
        <r>
          <rPr>
            <b/>
            <sz val="9"/>
            <color indexed="81"/>
            <rFont val="Tahoma"/>
            <family val="2"/>
          </rPr>
          <t>Any additional relevant information.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<sst xmlns="http://schemas.openxmlformats.org/spreadsheetml/2006/main" count="522" uniqueCount="299">
  <si>
    <t>Select…</t>
  </si>
  <si>
    <t>Assessment Details</t>
  </si>
  <si>
    <t>Ref</t>
  </si>
  <si>
    <t>Likelihood</t>
  </si>
  <si>
    <t>Impact</t>
  </si>
  <si>
    <t>Risk level</t>
  </si>
  <si>
    <t>Comments</t>
  </si>
  <si>
    <t xml:space="preserve"> RISK DESCRIPTION</t>
  </si>
  <si>
    <t>ONE TO FIVE</t>
  </si>
  <si>
    <t>Accept</t>
  </si>
  <si>
    <t>Avoid</t>
  </si>
  <si>
    <t>Modify</t>
  </si>
  <si>
    <t>Share</t>
  </si>
  <si>
    <t>DESCRIPTION</t>
  </si>
  <si>
    <t>SUMMARY</t>
  </si>
  <si>
    <t>Improbable</t>
  </si>
  <si>
    <t>Likely</t>
  </si>
  <si>
    <t>Very Likely</t>
  </si>
  <si>
    <t>Almost certain</t>
  </si>
  <si>
    <t>Has never happened before and there is no reason to think it is any more likely now</t>
  </si>
  <si>
    <t>There is a possibility that it could happen, but it probably won't</t>
  </si>
  <si>
    <t>It would be a surprise if the risk did not occur either based on past frequency or current circumstances</t>
  </si>
  <si>
    <t>Either already happens regularly or there is some reason to believe it is virtually imminent</t>
  </si>
  <si>
    <t xml:space="preserve">On balance, the risk is more likely to happen than not
</t>
  </si>
  <si>
    <t>Negligible</t>
  </si>
  <si>
    <t>No effect</t>
  </si>
  <si>
    <t>Very little or none</t>
  </si>
  <si>
    <t>Very small additional risk</t>
  </si>
  <si>
    <t>No implications</t>
  </si>
  <si>
    <t>Slight</t>
  </si>
  <si>
    <t>Some local disturbance to normal business operations</t>
  </si>
  <si>
    <t>Some</t>
  </si>
  <si>
    <t>Within acceptable limits</t>
  </si>
  <si>
    <t>Small risk of not meeting compliance</t>
  </si>
  <si>
    <t>Moderate</t>
  </si>
  <si>
    <t>Can still deliver product/service with some difficulty</t>
  </si>
  <si>
    <t>Unwelcome but could be borne</t>
  </si>
  <si>
    <t>Elevated risk requiring immediate attention</t>
  </si>
  <si>
    <t>In definite danger of operating illegally</t>
  </si>
  <si>
    <t>High</t>
  </si>
  <si>
    <t>Business is crippled in key areas</t>
  </si>
  <si>
    <t>Severe effect on income and/or profit</t>
  </si>
  <si>
    <t>Significant danger to life</t>
  </si>
  <si>
    <t>Operating illegally in some areas</t>
  </si>
  <si>
    <t>Very High</t>
  </si>
  <si>
    <t>Out of business; no service to customers</t>
  </si>
  <si>
    <t>Real or strong potential loss of life</t>
  </si>
  <si>
    <t>Severe fines and possible imprisonment of staff</t>
  </si>
  <si>
    <t>Impact rating</t>
  </si>
  <si>
    <t>General description</t>
  </si>
  <si>
    <t xml:space="preserve"> IMPACT AREAS</t>
  </si>
  <si>
    <t xml:space="preserve"> IMPACT LEVEL</t>
  </si>
  <si>
    <t>Damage to reputation</t>
  </si>
  <si>
    <t xml:space="preserve"> Low</t>
  </si>
  <si>
    <t xml:space="preserve"> Medium</t>
  </si>
  <si>
    <t xml:space="preserve"> High</t>
  </si>
  <si>
    <t>Risk Acceptance Criteria</t>
  </si>
  <si>
    <t xml:space="preserve">Version
</t>
  </si>
  <si>
    <t xml:space="preserve">Dated
</t>
  </si>
  <si>
    <t xml:space="preserve">Approval
</t>
  </si>
  <si>
    <t xml:space="preserve">Date Approved
</t>
  </si>
  <si>
    <t>Existing Controls</t>
  </si>
  <si>
    <t>Risk Impact</t>
  </si>
  <si>
    <t>Count of Risk Level</t>
  </si>
  <si>
    <t>Selection Tables</t>
  </si>
  <si>
    <t>Sum of Treatment Cost</t>
  </si>
  <si>
    <t xml:space="preserve"> LIKELIHOOD</t>
  </si>
  <si>
    <t>Business Continuity Risk Assessment and Treatment Tool</t>
  </si>
  <si>
    <t>Start with the risks that are felt to have the highest likelihood and impact combination.</t>
  </si>
  <si>
    <t>Opportunity Assessment and Action Planning Tool</t>
  </si>
  <si>
    <t>This is an assessment of the opportunities that may occur and what could be done to capitalize on them. Opportunities are uncertainties that are likely to have a positive effect (unlike risks, which are likely to have a negative effect).</t>
  </si>
  <si>
    <t>This table should be used to decide upon the most appropriate likelihood for a particular risk or opportunity.</t>
  </si>
  <si>
    <t xml:space="preserve">Unlikely
</t>
  </si>
  <si>
    <t>This table should be used as guidance to help to decide upon the correct impact rating for a particular risk.</t>
  </si>
  <si>
    <t>Impact on product or service quality</t>
  </si>
  <si>
    <t>Impact on financial viability</t>
  </si>
  <si>
    <t>Impact on staff or public well-being</t>
  </si>
  <si>
    <t>Impact of breaching legal or regulatory requirements</t>
  </si>
  <si>
    <t>Environmental damage</t>
  </si>
  <si>
    <t>No adverse comment</t>
  </si>
  <si>
    <t>Localised discontent</t>
  </si>
  <si>
    <t>Small, very local impact that can be managed and corrected</t>
  </si>
  <si>
    <t>Some internal and external criticism</t>
  </si>
  <si>
    <t>Impact restricted geographically and can be corrected quickly</t>
  </si>
  <si>
    <t>A severe test of customer loyalty</t>
  </si>
  <si>
    <t>Trust in organization is irreparably damaged</t>
  </si>
  <si>
    <t>Catastrophic impact affecting the environment badly over a wide area</t>
  </si>
  <si>
    <t>Opportunity Impact</t>
  </si>
  <si>
    <t>This table should be used as guidance to help to decide upon the correct impact rating for a particular opportunity.</t>
  </si>
  <si>
    <t xml:space="preserve"> EXAMPLE IMPACT AREAS</t>
  </si>
  <si>
    <t>Impact on financial performance</t>
  </si>
  <si>
    <t>Impact on reputation</t>
  </si>
  <si>
    <t>Impact on compliance with legal or regulatory requirements</t>
  </si>
  <si>
    <t>Environmental impact</t>
  </si>
  <si>
    <t>Very small additional benefit</t>
  </si>
  <si>
    <t>No positive comment</t>
  </si>
  <si>
    <t>Some local improvement to normal business operations</t>
  </si>
  <si>
    <t>Small increase in revenue or profitability</t>
  </si>
  <si>
    <t>Minor benefit to a few individuals</t>
  </si>
  <si>
    <t>Localised improvement on a small scale</t>
  </si>
  <si>
    <t>Small improvement in meeting compliance requirements</t>
  </si>
  <si>
    <t>Small, very local positive impact</t>
  </si>
  <si>
    <t xml:space="preserve">Temporary significant improvement or fair permanent change </t>
  </si>
  <si>
    <t>Reasonable increase in profit, revenue or other business metric</t>
  </si>
  <si>
    <t>Good improvement across a limited audience</t>
  </si>
  <si>
    <t>Some internal and external praise and positive attention</t>
  </si>
  <si>
    <t>Compliance is improved across a number of areas</t>
  </si>
  <si>
    <t xml:space="preserve">Positive impact restricted geographically </t>
  </si>
  <si>
    <t>product or service performance is significantly boosted in key areas</t>
  </si>
  <si>
    <t>Very significant increase in profit or business performance</t>
  </si>
  <si>
    <t>Major improvement to health and quality of life to a wide audience</t>
  </si>
  <si>
    <t>Major reputational improvement</t>
  </si>
  <si>
    <t>Level of compliance becomes very significant and/or more easily attained</t>
  </si>
  <si>
    <t>Huge improvement in existing or new products or services</t>
  </si>
  <si>
    <t>Complete transformation in business performance on a permanent basis</t>
  </si>
  <si>
    <t>Transformation of health and quality of life for a very large group of people</t>
  </si>
  <si>
    <t>The organization is seen as an industry leader in its sector</t>
  </si>
  <si>
    <t>Very large change in compliance levels with significant benefits</t>
  </si>
  <si>
    <t>Huge benefit to the environment on a wide scale</t>
  </si>
  <si>
    <t>The chart below shows the rating scheme used to determine risk and opportunity level based on a combination of likelihood and impact.</t>
  </si>
  <si>
    <t>IMPACT: How major could the consequences be if the risk/opportunity event happened?</t>
  </si>
  <si>
    <t>LIKELIHOOD: What are the chances of the risk/opportunity event happening?</t>
  </si>
  <si>
    <t>INSIGNIFICANT
1</t>
  </si>
  <si>
    <t>MINOR
2</t>
  </si>
  <si>
    <t>SIGNIFICANT
3</t>
  </si>
  <si>
    <t>MAJOR
4</t>
  </si>
  <si>
    <t>SEVERE
5</t>
  </si>
  <si>
    <t>MEDIUM
5</t>
  </si>
  <si>
    <t>MEDIUM
10</t>
  </si>
  <si>
    <t>HIGH
15</t>
  </si>
  <si>
    <t>HIGH
20</t>
  </si>
  <si>
    <t>HIGH
25</t>
  </si>
  <si>
    <t>LIKELY
4</t>
  </si>
  <si>
    <t>LOW
4</t>
  </si>
  <si>
    <t>MEDIUM
8</t>
  </si>
  <si>
    <t>HIGH
12</t>
  </si>
  <si>
    <t>HIGH
16</t>
  </si>
  <si>
    <t>MODERATE
3</t>
  </si>
  <si>
    <t>LOW
3</t>
  </si>
  <si>
    <t>MEDIUM
6</t>
  </si>
  <si>
    <t>MEDIUM
9</t>
  </si>
  <si>
    <t>UNLIKELY
2</t>
  </si>
  <si>
    <t>LOW
2</t>
  </si>
  <si>
    <t>RARE
1</t>
  </si>
  <si>
    <t>LOW
1</t>
  </si>
  <si>
    <t>Risk Level</t>
  </si>
  <si>
    <t>The following is a standard list of typical threats that may be use as guidance for your risk assessment.</t>
  </si>
  <si>
    <t>THREAT</t>
  </si>
  <si>
    <t>EXAMPLE</t>
  </si>
  <si>
    <t>Human</t>
  </si>
  <si>
    <t>Malicious outsider</t>
  </si>
  <si>
    <t>Someone launches a denial of service attack on your cloud service platform</t>
  </si>
  <si>
    <t>Malicious insider</t>
  </si>
  <si>
    <t>An employee or trusted third party accesses information in an unauthorised manner from inside your network</t>
  </si>
  <si>
    <t>Loss of key personnel</t>
  </si>
  <si>
    <t>One or more people with key skills or knowledge are unavailable perhaps due to extended sickness</t>
  </si>
  <si>
    <t>Human error</t>
  </si>
  <si>
    <t>An employee accidentally deletes customer data</t>
  </si>
  <si>
    <t>Accidental loss</t>
  </si>
  <si>
    <t xml:space="preserve">A manager loses a memory stick with customer bank details on it </t>
  </si>
  <si>
    <t>Natural</t>
  </si>
  <si>
    <t>Fire</t>
  </si>
  <si>
    <t>Your data centre burns down due to an electrical fault</t>
  </si>
  <si>
    <t>Flood</t>
  </si>
  <si>
    <t>The nearby river breaks its banks and your main office is severely flooded</t>
  </si>
  <si>
    <t>Severe weather</t>
  </si>
  <si>
    <t>Non-one can get into the office due to the weather</t>
  </si>
  <si>
    <t>Earthquake</t>
  </si>
  <si>
    <t>The area of your main data centre is affected by an earth tremor that damages all your servers</t>
  </si>
  <si>
    <t>Lightning</t>
  </si>
  <si>
    <t>All your servers are fried by a lightning strike on the data centre building</t>
  </si>
  <si>
    <t>Technical</t>
  </si>
  <si>
    <t>Hardware failure</t>
  </si>
  <si>
    <t>A key physical server has a processor failure</t>
  </si>
  <si>
    <t>Software failure</t>
  </si>
  <si>
    <t>Your financial system processes invoices incorrectly due to a bug</t>
  </si>
  <si>
    <t>Virus/Malicious code</t>
  </si>
  <si>
    <t>A virus spreads throughout your network preventing access to your (and your customers') data</t>
  </si>
  <si>
    <t>Physical</t>
  </si>
  <si>
    <t>Sabotage</t>
  </si>
  <si>
    <t>A disgruntled ex-employee takes an axe to your server room</t>
  </si>
  <si>
    <t>Theft</t>
  </si>
  <si>
    <t>You come in on Monday morning to find some important drives have been stolen</t>
  </si>
  <si>
    <t>Arson</t>
  </si>
  <si>
    <t>Environmental</t>
  </si>
  <si>
    <t>Hazardous waste</t>
  </si>
  <si>
    <t>A lorry carrying hazardous waste has an accident outside your office</t>
  </si>
  <si>
    <t>Power failure</t>
  </si>
  <si>
    <t>The sub-station supplying your area has a meltdown</t>
  </si>
  <si>
    <t>Gas supply failure</t>
  </si>
  <si>
    <t>There is a suspected leak and all supplies are turned off</t>
  </si>
  <si>
    <t>Operational</t>
  </si>
  <si>
    <t>Process error</t>
  </si>
  <si>
    <t>Your new data transfer procedure doesn't cater for unexpected circumstances and PII is lost or sent to the wrong destination</t>
  </si>
  <si>
    <t>Crime scene</t>
  </si>
  <si>
    <t>A crime happens in or near your office and the area is sealed off by police</t>
  </si>
  <si>
    <t xml:space="preserve"> THREAT CATEGORY</t>
  </si>
  <si>
    <t xml:space="preserve"> PRE-TREATMENT ASSESSMENT</t>
  </si>
  <si>
    <t xml:space="preserve"> POST-TREATMENT ASSESSMENT</t>
  </si>
  <si>
    <t>Treatment Cost</t>
  </si>
  <si>
    <t>Treatment Action Owner</t>
  </si>
  <si>
    <t>Treatment Action Timescale</t>
  </si>
  <si>
    <t>Risk Summary</t>
  </si>
  <si>
    <t>Risk Description</t>
  </si>
  <si>
    <t>Risk Owner</t>
  </si>
  <si>
    <t>Likelihood Rationale</t>
  </si>
  <si>
    <t>Impact Rationale</t>
  </si>
  <si>
    <t>Risk Score</t>
  </si>
  <si>
    <t>Treatment Option Chosen</t>
  </si>
  <si>
    <t>Proposed Treatment Action</t>
  </si>
  <si>
    <t xml:space="preserve"> TREATMENT PLAN</t>
  </si>
  <si>
    <t>Post-Treatment Likelihood</t>
  </si>
  <si>
    <t>Post-Treatment Likelihood Rationale</t>
  </si>
  <si>
    <t>Post- Treatment Impact</t>
  </si>
  <si>
    <t>Post-Treatment Impact Rationale</t>
  </si>
  <si>
    <t>Post-Treatment Risk Score</t>
  </si>
  <si>
    <t>Post-Treatment Risk Level</t>
  </si>
  <si>
    <t>Risk Likelihood</t>
  </si>
  <si>
    <t>Count of Risk Summary</t>
  </si>
  <si>
    <t>TREATMENT OPTIONS</t>
  </si>
  <si>
    <t>The charts below show the spread of risk severities before and after risk treatment.</t>
  </si>
  <si>
    <t xml:space="preserve">Assessment Title
</t>
  </si>
  <si>
    <t xml:space="preserve">Assessment Scope
</t>
  </si>
  <si>
    <t>Context of Assessment</t>
  </si>
  <si>
    <t xml:space="preserve">Assessors
</t>
  </si>
  <si>
    <t xml:space="preserve">Assessment Participants
</t>
  </si>
  <si>
    <t>Risk Assessment - Example Threats</t>
  </si>
  <si>
    <t>Risk or Opportunity Likelihood</t>
  </si>
  <si>
    <t>Count of Treatment Action Owner</t>
  </si>
  <si>
    <t>ALMOST
CERTAIN
5</t>
  </si>
  <si>
    <t>To refresh chart data on the risk dashboard, click on “Refresh All” on the Data ribbon.</t>
  </si>
  <si>
    <t>Infection</t>
  </si>
  <si>
    <t>A new strain of virus results in widespread lockdown of people's movements</t>
  </si>
  <si>
    <t>REF</t>
  </si>
  <si>
    <t>OPP SUMMARY</t>
  </si>
  <si>
    <t>OPP DESCRIPTION</t>
  </si>
  <si>
    <t>OPP TYPE</t>
  </si>
  <si>
    <t>OPP OWNER</t>
  </si>
  <si>
    <t>LIKELIHOOD</t>
  </si>
  <si>
    <t>LIKELIHOOD RATIONALE</t>
  </si>
  <si>
    <t>IMPACT</t>
  </si>
  <si>
    <t>IMPACT RATIONALE</t>
  </si>
  <si>
    <t>OPP SCORE</t>
  </si>
  <si>
    <t>OPP LEVEL</t>
  </si>
  <si>
    <t>ACTION</t>
  </si>
  <si>
    <t>ACTION OWNER</t>
  </si>
  <si>
    <t>ACTION TIMESCALE</t>
  </si>
  <si>
    <t>COMMENTS</t>
  </si>
  <si>
    <t>Business Continuity risk assessment and opportunity dashboard</t>
  </si>
  <si>
    <t>Pre-treatment assessment</t>
  </si>
  <si>
    <t>Post-treatment assessment</t>
  </si>
  <si>
    <t>Classification of risk and opportunity level</t>
  </si>
  <si>
    <t>Risk profile diagram</t>
  </si>
  <si>
    <t>Treatment plan</t>
  </si>
  <si>
    <t>Opportunity assessment</t>
  </si>
  <si>
    <t>Pre-treatment</t>
  </si>
  <si>
    <t>Post-treatment</t>
  </si>
  <si>
    <t>Risk impact</t>
  </si>
  <si>
    <t>Number of risks by risk level pre and post treatment</t>
  </si>
  <si>
    <t>Number of Post-mitigation risks by risk level</t>
  </si>
  <si>
    <t>(blank)</t>
  </si>
  <si>
    <t>Number of Pre-treatment risks by risk level</t>
  </si>
  <si>
    <t xml:space="preserve">Pre-treatment </t>
  </si>
  <si>
    <t>Pre-treatment risk levels by risk owner</t>
  </si>
  <si>
    <t xml:space="preserve">Post-treatment </t>
  </si>
  <si>
    <t>Risks by treatment option chosen</t>
  </si>
  <si>
    <t>Total treatment cost by risk level</t>
  </si>
  <si>
    <t xml:space="preserve">Treatment action owner </t>
  </si>
  <si>
    <t>Opportunity levels by opportunity owner</t>
  </si>
  <si>
    <t>Count of OPP LEVEL</t>
  </si>
  <si>
    <t>Opportunities by level and type</t>
  </si>
  <si>
    <t>Count of REF</t>
  </si>
  <si>
    <t>Opportunity action owner</t>
  </si>
  <si>
    <t>Opportunities by level</t>
  </si>
  <si>
    <r>
      <rPr>
        <b/>
        <sz val="18"/>
        <color theme="2" tint="-0.499984740745262"/>
        <rFont val="Calibri"/>
        <family val="2"/>
        <scheme val="minor"/>
      </rPr>
      <t>Implementation guidance</t>
    </r>
    <r>
      <rPr>
        <sz val="11"/>
        <color rgb="FF444444"/>
        <rFont val="Calibri"/>
        <family val="2"/>
        <scheme val="minor"/>
      </rPr>
      <t xml:space="preserve">
</t>
    </r>
    <r>
      <rPr>
        <sz val="11"/>
        <color theme="1"/>
        <rFont val="Calibri"/>
        <family val="2"/>
        <scheme val="minor"/>
      </rPr>
      <t xml:space="preserve">This Excel sheet must be removed from the final version of the document. </t>
    </r>
  </si>
  <si>
    <r>
      <rPr>
        <b/>
        <sz val="16"/>
        <color theme="2" tint="-0.499984740745262"/>
        <rFont val="Calibri"/>
        <family val="2"/>
        <scheme val="minor"/>
      </rPr>
      <t>Design</t>
    </r>
    <r>
      <rPr>
        <sz val="11"/>
        <color rgb="FF444444"/>
        <rFont val="Calibri"/>
        <family val="2"/>
        <scheme val="minor"/>
      </rPr>
      <t xml:space="preserve">
</t>
    </r>
    <r>
      <rPr>
        <sz val="11"/>
        <color theme="1"/>
        <rFont val="Calibri"/>
        <family val="2"/>
        <scheme val="minor"/>
      </rPr>
      <t>This spreadsheet has been designed using CertiKit's colour scheme. To choose a different table colour scheme, click in the table, select the Table Design menu tab and choose a  different style. The same applies to the drop-down menu "slicers" at the top of the screen. Click in one slicer, then hold down the Shift key and click on the rest, one by one. This will select them all. Then click on the Slicer menu tab and choose a different style. You can also create your own table and slicer styles using your own colour scheme to reflect your organization's branding.</t>
    </r>
  </si>
  <si>
    <r>
      <rPr>
        <b/>
        <sz val="16"/>
        <color theme="2" tint="-0.499984740745262"/>
        <rFont val="Calibri"/>
        <family val="2"/>
        <scheme val="minor"/>
      </rPr>
      <t>Purpose of this document</t>
    </r>
    <r>
      <rPr>
        <sz val="11"/>
        <color rgb="FF444444"/>
        <rFont val="Calibri"/>
        <family val="2"/>
        <scheme val="minor"/>
      </rPr>
      <t xml:space="preserve">
</t>
    </r>
    <r>
      <rPr>
        <sz val="11"/>
        <color theme="1"/>
        <rFont val="Calibri"/>
        <family val="2"/>
        <scheme val="minor"/>
      </rPr>
      <t>This document should be used to perform a risk assessment, including assessing the expected effects of treatments.</t>
    </r>
  </si>
  <si>
    <r>
      <rPr>
        <b/>
        <sz val="16"/>
        <color theme="2" tint="-0.499984740745262"/>
        <rFont val="Calibri"/>
        <family val="2"/>
        <scheme val="minor"/>
      </rPr>
      <t>Areas of the standard addressed</t>
    </r>
    <r>
      <rPr>
        <sz val="11"/>
        <color rgb="FF444444"/>
        <rFont val="Calibri"/>
        <family val="2"/>
        <scheme val="minor"/>
      </rPr>
      <t xml:space="preserve">
The following areas of the ISO22301 standard are addressed:
6. Planning
6.1 Actions to address risks and opportunities
6.1.1 Determining risks and opportunities
6.1.2 Addressing risks and opportunities
8. Operation
8.2 Business impact analysis and risk assessment
8.2.3 Risk assessment</t>
    </r>
  </si>
  <si>
    <r>
      <rPr>
        <b/>
        <sz val="16"/>
        <color theme="2" tint="-0.499984740745262"/>
        <rFont val="Calibri"/>
        <family val="2"/>
        <scheme val="minor"/>
      </rPr>
      <t>General guidance</t>
    </r>
    <r>
      <rPr>
        <sz val="11"/>
        <color rgb="FF444444"/>
        <rFont val="Calibri"/>
        <family val="2"/>
        <scheme val="minor"/>
      </rPr>
      <t xml:space="preserve">
The key objective of the risk assessment is to ensure that all of the serious risks that need treatment are identified so that something can be done about them. Be careful not to make your risk assessment too large or complicated as much of the impact will be lost and it will be difficult to repeat at a later date. This workbook is intended to be used to assess the effects of the proposed treatments also. Those risks that have been treated but still retain an unacceptable level of residual risk may be good candidates for business continuity plans.
The ISO22301 standard requires that opportunities are considered as well as risks. Opportunities are effectively "good risks" which, if they happen, are likely to have a positive effect on the BCMS. Examples of opportunities could include an increase in funding for business continuity, legislation that mandates suppliers to improve their business continuity controls or an improvement in technology that makes specific controls more effective (e.g. better backups, higher reliability or improved monitoring).
This tool may be used to assess the risks and opportunities for the BCMS itself (as required in section 6.1 of the ISO22301 standard), and the risks relating to the disruption of business activities (as required in section 8.2.3 of the ISO22301 standard).
Note that supporting tabs may be hidden. These tabs contain data and reference tables and will need to be unhidden if you wish to make any changes. Right click on any tab and select "Unhide".</t>
    </r>
  </si>
  <si>
    <r>
      <rPr>
        <b/>
        <sz val="16"/>
        <color theme="2" tint="-0.499984740745262"/>
        <rFont val="Calibri"/>
        <family val="2"/>
        <scheme val="minor"/>
      </rPr>
      <t>Toolkit version number</t>
    </r>
    <r>
      <rPr>
        <sz val="11"/>
        <color rgb="FF444444"/>
        <rFont val="Calibri"/>
        <family val="2"/>
        <scheme val="minor"/>
      </rPr>
      <t xml:space="preserve">
</t>
    </r>
    <r>
      <rPr>
        <sz val="11"/>
        <color theme="1"/>
        <rFont val="Calibri"/>
        <family val="2"/>
        <scheme val="minor"/>
      </rPr>
      <t>ISO22301 Toolkit Version 6</t>
    </r>
  </si>
  <si>
    <r>
      <rPr>
        <b/>
        <sz val="16"/>
        <color theme="2" tint="-0.499984740745262"/>
        <rFont val="Calibri"/>
        <family val="2"/>
        <scheme val="minor"/>
      </rPr>
      <t>Copyright notice</t>
    </r>
    <r>
      <rPr>
        <sz val="11"/>
        <color rgb="FF444444"/>
        <rFont val="Calibri"/>
        <family val="2"/>
        <scheme val="minor"/>
      </rPr>
      <t xml:space="preserve">
</t>
    </r>
    <r>
      <rPr>
        <sz val="11"/>
        <color theme="1"/>
        <rFont val="Calibri"/>
        <family val="2"/>
        <scheme val="minor"/>
      </rPr>
      <t>Except for any specifically identified third-party works included, this document has been authored by CertiKit, and is ©CertiKit except as stated below. CertiKit is a company registered in England and Wales with company number 6432088.</t>
    </r>
  </si>
  <si>
    <r>
      <rPr>
        <b/>
        <sz val="16"/>
        <color theme="2" tint="-0.499984740745262"/>
        <rFont val="Calibri"/>
        <family val="2"/>
        <scheme val="minor"/>
      </rPr>
      <t>Licence terms</t>
    </r>
    <r>
      <rPr>
        <sz val="11"/>
        <color rgb="FF444444"/>
        <rFont val="Calibri"/>
        <family val="2"/>
        <scheme val="minor"/>
      </rPr>
      <t xml:space="preserve">
</t>
    </r>
    <r>
      <rPr>
        <sz val="11"/>
        <color theme="1"/>
        <rFont val="Calibri"/>
        <family val="2"/>
        <scheme val="minor"/>
      </rPr>
      <t>This document is licensed on and subject to the standard licence terms of CertiKit, available on request, or by download from our website.  All other rights are reserved.  Unless you have purchased this product you only have an evaluation licence.  If this product was purchased, a full licence is granted to the person identified as the licensee in the relevant purchase order.  The standard licence terms include special terms relating to any third party copyright included in this document.</t>
    </r>
  </si>
  <si>
    <r>
      <rPr>
        <b/>
        <sz val="16"/>
        <color theme="2" tint="-0.499984740745262"/>
        <rFont val="Calibri"/>
        <family val="2"/>
        <scheme val="minor"/>
      </rPr>
      <t>Disclaimer</t>
    </r>
    <r>
      <rPr>
        <sz val="11"/>
        <color rgb="FF444444"/>
        <rFont val="Calibri"/>
        <family val="2"/>
        <scheme val="minor"/>
      </rPr>
      <t xml:space="preserve">
</t>
    </r>
    <r>
      <rPr>
        <sz val="11"/>
        <color theme="1"/>
        <rFont val="Calibri"/>
        <family val="2"/>
        <scheme val="minor"/>
      </rPr>
      <t>Please Note: Your use of and reliance on this document template is at your sole risk. Document templates are intended to be used as a starting point only from which you will create your own document and to which you will apply all reasonable quality checks before use.
Therefore please note that it is your responsibility to ensure that the content of any document you create that is based on our templates is correct and appropriate for your needs and complies with relevant laws in your country. You should take all reasonable and proper legal and other professional advice before using this document. 
CertiKit makes no claims, promises, or guarantees about the accuracy, completeness, or adequacy of our document templates, assumes no duty of care to any person with respect its document templates or their contents, and expressly excludes and disclaims liability for any cost, expense, loss or damage suffered or incurred in reliance on our document templates, or in expectation of our document templates meeting your needs, including (without limitation) as a result of misstatements, errors and omissions in their contents.</t>
    </r>
  </si>
  <si>
    <t>[Short, descriptive title]</t>
  </si>
  <si>
    <t>[Describe the scope of the assessment - for example, location, process, assets]</t>
  </si>
  <si>
    <t>[Describe the general environment in which the assessment is carried out and internal and external factors affecting it]</t>
  </si>
  <si>
    <t>[Set out the factors which will make a risk acceptable and therefore not require treatment]</t>
  </si>
  <si>
    <t>[Start at Version 1]</t>
  </si>
  <si>
    <t>[Date the assessment was carried out]</t>
  </si>
  <si>
    <t>[Name and title of person(s) carrying out the assessment]</t>
  </si>
  <si>
    <t>[Names and titles of people contributing to the assessment]</t>
  </si>
  <si>
    <t>[Name and title of approver]</t>
  </si>
  <si>
    <t>[Date the assessment was approved]</t>
  </si>
  <si>
    <t>Calculated</t>
  </si>
  <si>
    <t>Someone with a grudge against your organization starts a fire during the night</t>
  </si>
  <si>
    <t>Crippling; the organization will go out of business</t>
  </si>
  <si>
    <t>Geographically wide impact area with permanent improvement over time</t>
  </si>
  <si>
    <t>Geographically wide impact area with a degree of clean-up possible over time</t>
  </si>
  <si>
    <r>
      <rPr>
        <b/>
        <sz val="16"/>
        <color theme="2" tint="-0.499984740745262"/>
        <rFont val="Calibri"/>
        <family val="2"/>
        <scheme val="minor"/>
      </rPr>
      <t>Review frequency</t>
    </r>
    <r>
      <rPr>
        <sz val="11"/>
        <color rgb="FF444444"/>
        <rFont val="Calibri"/>
        <family val="2"/>
        <scheme val="minor"/>
      </rPr>
      <t xml:space="preserve">
It is a good idea to revisit this assessment on a regular basis and to ensure that new risks and opportunities are identified and assessed.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</si>
</sst>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6" formatCode="&quot;£&quot;#,##0;[Red]\-&quot;£&quot;#,##0"/>
    <numFmt numFmtId="41" formatCode="_-* #,##0_-;\-* #,##0_-;_-* &quot;-&quot;_-;_-@_-"/>
    <numFmt numFmtId="164" formatCode="[$-809]dd\ mmmm\ yyyy;@"/>
  </numFmts>
  <fonts count="29" x14ac:knownFonts="1">
    <font>
      <sz val="11"/>
      <color theme="1"/>
      <name val="Calibri"/>
      <family val="2"/>
      <scheme val="minor"/>
    </font>
    <font>
      <b/>
      <sz val="15"/>
      <color theme="3"/>
      <name val="Calibri"/>
      <family val="2"/>
      <scheme val="minor"/>
    </font>
    <font>
      <b/>
      <sz val="13"/>
      <color theme="3"/>
      <name val="Calibri"/>
      <family val="2"/>
      <scheme val="minor"/>
    </font>
    <font>
      <b/>
      <sz val="11"/>
      <color theme="0"/>
      <name val="Calibri"/>
      <family val="2"/>
      <scheme val="minor"/>
    </font>
    <font>
      <b/>
      <sz val="18"/>
      <color theme="1"/>
      <name val="Calibri"/>
      <family val="2"/>
      <scheme val="minor"/>
    </font>
    <font>
      <b/>
      <sz val="11"/>
      <color rgb="FFFFFFFF"/>
      <name val="Calibri"/>
      <family val="2"/>
      <scheme val="minor"/>
    </font>
    <font>
      <sz val="11"/>
      <color rgb="FF444444"/>
      <name val="Calibri"/>
      <family val="2"/>
      <scheme val="minor"/>
    </font>
    <font>
      <b/>
      <sz val="11"/>
      <color rgb="FF444444"/>
      <name val="Calibri"/>
      <family val="2"/>
      <scheme val="minor"/>
    </font>
    <font>
      <b/>
      <sz val="11"/>
      <color theme="1"/>
      <name val="Calibri"/>
      <family val="2"/>
      <scheme val="minor"/>
    </font>
    <font>
      <b/>
      <sz val="16"/>
      <color theme="1"/>
      <name val="Calibri"/>
      <family val="2"/>
      <scheme val="minor"/>
    </font>
    <font>
      <sz val="11"/>
      <color theme="0"/>
      <name val="Calibri"/>
      <family val="2"/>
      <scheme val="minor"/>
    </font>
    <font>
      <sz val="10"/>
      <color rgb="FF444444"/>
      <name val="Calibri"/>
      <family val="2"/>
      <scheme val="minor"/>
    </font>
    <font>
      <b/>
      <sz val="12"/>
      <color theme="1"/>
      <name val="Calibri"/>
      <family val="2"/>
      <scheme val="minor"/>
    </font>
    <font>
      <b/>
      <sz val="9"/>
      <color indexed="81"/>
      <name val="Tahoma"/>
      <family val="2"/>
    </font>
    <font>
      <sz val="11"/>
      <name val="Calibri"/>
      <family val="2"/>
      <scheme val="minor"/>
    </font>
    <font>
      <sz val="8"/>
      <name val="Calibri"/>
      <family val="2"/>
      <scheme val="minor"/>
    </font>
    <font>
      <sz val="9"/>
      <color rgb="FF444444"/>
      <name val="Calibri"/>
      <family val="2"/>
      <scheme val="minor"/>
    </font>
    <font>
      <b/>
      <sz val="9"/>
      <color rgb="FF444444"/>
      <name val="Calibri"/>
      <family val="2"/>
      <scheme val="minor"/>
    </font>
    <font>
      <b/>
      <sz val="9"/>
      <color theme="0"/>
      <name val="Calibri"/>
      <family val="2"/>
      <scheme val="minor"/>
    </font>
    <font>
      <b/>
      <u/>
      <sz val="9"/>
      <color rgb="FF444444"/>
      <name val="Calibri"/>
      <family val="2"/>
      <scheme val="minor"/>
    </font>
    <font>
      <b/>
      <sz val="14"/>
      <color theme="0"/>
      <name val="Calibri"/>
      <family val="2"/>
      <scheme val="minor"/>
    </font>
    <font>
      <b/>
      <sz val="9"/>
      <color theme="1"/>
      <name val="Calibri"/>
      <family val="2"/>
      <scheme val="minor"/>
    </font>
    <font>
      <b/>
      <sz val="14"/>
      <color theme="1"/>
      <name val="Calibri"/>
      <family val="2"/>
      <scheme val="minor"/>
    </font>
    <font>
      <b/>
      <sz val="14"/>
      <color rgb="FF000000"/>
      <name val="Calibri"/>
      <family val="2"/>
      <scheme val="minor"/>
    </font>
    <font>
      <sz val="14"/>
      <color rgb="FF000000"/>
      <name val="Calibri"/>
      <family val="2"/>
      <scheme val="minor"/>
    </font>
    <font>
      <b/>
      <sz val="18"/>
      <color theme="2" tint="-0.499984740745262"/>
      <name val="Calibri"/>
      <family val="2"/>
      <scheme val="minor"/>
    </font>
    <font>
      <b/>
      <sz val="16"/>
      <color theme="2" tint="-0.499984740745262"/>
      <name val="Calibri"/>
      <family val="2"/>
      <scheme val="minor"/>
    </font>
    <font>
      <i/>
      <sz val="11"/>
      <color rgb="FF444444"/>
      <name val="Calibri"/>
      <family val="2"/>
      <scheme val="minor"/>
    </font>
    <font>
      <sz val="12"/>
      <color theme="1"/>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theme="2" tint="-0.749992370372631"/>
        <bgColor indexed="64"/>
      </patternFill>
    </fill>
    <fill>
      <patternFill patternType="solid">
        <fgColor theme="2"/>
        <bgColor indexed="64"/>
      </patternFill>
    </fill>
    <fill>
      <patternFill patternType="solid">
        <fgColor theme="2" tint="-0.499984740745262"/>
        <bgColor indexed="64"/>
      </patternFill>
    </fill>
    <fill>
      <patternFill patternType="solid">
        <fgColor theme="0" tint="-4.9989318521683403E-2"/>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style="medium">
        <color theme="0"/>
      </right>
      <top/>
      <bottom/>
      <diagonal/>
    </border>
    <border>
      <left style="medium">
        <color theme="0"/>
      </left>
      <right/>
      <top/>
      <bottom/>
      <diagonal/>
    </border>
    <border>
      <left/>
      <right/>
      <top/>
      <bottom style="thick">
        <color theme="2"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bottom style="thin">
        <color theme="2" tint="-0.499984740745262"/>
      </bottom>
      <diagonal/>
    </border>
    <border>
      <left/>
      <right style="thin">
        <color theme="2" tint="-0.499984740745262"/>
      </right>
      <top/>
      <bottom/>
      <diagonal/>
    </border>
    <border>
      <left style="thin">
        <color theme="2" tint="-0.499984740745262"/>
      </left>
      <right style="thin">
        <color theme="2" tint="-0.499984740745262"/>
      </right>
      <top/>
      <bottom/>
      <diagonal/>
    </border>
    <border>
      <left/>
      <right/>
      <top/>
      <bottom style="thick">
        <color rgb="FF009BA4"/>
      </bottom>
      <diagonal/>
    </border>
    <border>
      <left style="thick">
        <color theme="0"/>
      </left>
      <right style="thick">
        <color theme="0"/>
      </right>
      <top style="thick">
        <color theme="0"/>
      </top>
      <bottom style="thick">
        <color theme="0"/>
      </bottom>
      <diagonal/>
    </border>
    <border>
      <left/>
      <right/>
      <top/>
      <bottom style="thick">
        <color theme="0"/>
      </bottom>
      <diagonal/>
    </border>
    <border>
      <left/>
      <right style="thick">
        <color theme="0"/>
      </right>
      <top/>
      <bottom style="thick">
        <color theme="0"/>
      </bottom>
      <diagonal/>
    </border>
    <border>
      <left style="thick">
        <color theme="0"/>
      </left>
      <right style="thick">
        <color theme="0"/>
      </right>
      <top/>
      <bottom style="thick">
        <color theme="0"/>
      </bottom>
      <diagonal/>
    </border>
    <border>
      <left/>
      <right style="thick">
        <color theme="0"/>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
      <left/>
      <right style="thin">
        <color theme="2" tint="-0.499984740745262"/>
      </right>
      <top style="thin">
        <color theme="2" tint="-0.499984740745262"/>
      </top>
      <bottom style="thin">
        <color theme="2" tint="-0.499984740745262"/>
      </bottom>
      <diagonal/>
    </border>
  </borders>
  <cellStyleXfs count="3">
    <xf numFmtId="0" fontId="0" fillId="0" borderId="0"/>
    <xf numFmtId="0" fontId="1" fillId="0" borderId="1" applyNumberFormat="0" applyFill="0" applyAlignment="0" applyProtection="0"/>
    <xf numFmtId="0" fontId="2" fillId="0" borderId="2" applyNumberFormat="0" applyFill="0" applyAlignment="0" applyProtection="0"/>
  </cellStyleXfs>
  <cellXfs count="124">
    <xf numFmtId="0" fontId="0" fillId="0" borderId="0" xfId="0"/>
    <xf numFmtId="0" fontId="6" fillId="0" borderId="0" xfId="0" applyFont="1"/>
    <xf numFmtId="0" fontId="6" fillId="0" borderId="0" xfId="0" applyFont="1" applyAlignment="1">
      <alignment vertical="top" wrapText="1"/>
    </xf>
    <xf numFmtId="0" fontId="6" fillId="0" borderId="0" xfId="0" applyFont="1" applyAlignment="1">
      <alignment vertical="top"/>
    </xf>
    <xf numFmtId="0" fontId="6" fillId="0" borderId="0" xfId="0" applyFont="1" applyAlignment="1">
      <alignment horizontal="right" vertical="top"/>
    </xf>
    <xf numFmtId="0" fontId="0" fillId="0" borderId="0" xfId="0" applyAlignment="1">
      <alignment horizontal="left"/>
    </xf>
    <xf numFmtId="0" fontId="7" fillId="0" borderId="0" xfId="0" applyFont="1" applyAlignment="1">
      <alignment vertical="top" wrapText="1"/>
    </xf>
    <xf numFmtId="0" fontId="0" fillId="0" borderId="0" xfId="0" applyAlignment="1">
      <alignment vertical="top" wrapText="1"/>
    </xf>
    <xf numFmtId="0" fontId="9" fillId="0" borderId="0" xfId="0" applyFont="1" applyAlignment="1">
      <alignment vertical="top"/>
    </xf>
    <xf numFmtId="0" fontId="0" fillId="0" borderId="0" xfId="0" applyFont="1" applyAlignment="1">
      <alignment vertical="top"/>
    </xf>
    <xf numFmtId="0" fontId="0" fillId="0" borderId="0" xfId="0" applyFont="1" applyAlignment="1">
      <alignment vertical="top" wrapText="1"/>
    </xf>
    <xf numFmtId="0" fontId="0" fillId="0" borderId="0" xfId="0" applyFont="1" applyAlignment="1">
      <alignment horizontal="left" vertical="top" wrapText="1"/>
    </xf>
    <xf numFmtId="0" fontId="6" fillId="0" borderId="0" xfId="0" applyFont="1" applyBorder="1" applyAlignment="1">
      <alignment vertical="top"/>
    </xf>
    <xf numFmtId="0" fontId="6" fillId="0" borderId="0" xfId="0" applyFont="1" applyAlignment="1">
      <alignment horizontal="left" vertical="top" wrapText="1"/>
    </xf>
    <xf numFmtId="0" fontId="0" fillId="0" borderId="0" xfId="0" applyFont="1" applyFill="1" applyBorder="1" applyAlignment="1" applyProtection="1">
      <alignment horizontal="left" vertical="top" wrapText="1"/>
      <protection locked="0"/>
    </xf>
    <xf numFmtId="0" fontId="0" fillId="0" borderId="0" xfId="0" applyFont="1" applyFill="1" applyBorder="1" applyAlignment="1" applyProtection="1">
      <alignment horizontal="left" vertical="top" wrapText="1"/>
    </xf>
    <xf numFmtId="0" fontId="0" fillId="0" borderId="0" xfId="0" applyAlignment="1" applyProtection="1">
      <alignment vertical="top"/>
    </xf>
    <xf numFmtId="0" fontId="0" fillId="0" borderId="0" xfId="0" applyAlignment="1" applyProtection="1">
      <alignment horizontal="centerContinuous" vertical="top"/>
    </xf>
    <xf numFmtId="0" fontId="4" fillId="0" borderId="0" xfId="0" applyFont="1" applyAlignment="1" applyProtection="1">
      <alignment horizontal="left" vertical="top"/>
    </xf>
    <xf numFmtId="0" fontId="0" fillId="0" borderId="0" xfId="0" applyAlignment="1" applyProtection="1">
      <alignment horizontal="left" vertical="top"/>
    </xf>
    <xf numFmtId="0" fontId="9" fillId="0" borderId="0" xfId="0" applyFont="1" applyAlignment="1" applyProtection="1">
      <alignment vertical="top"/>
    </xf>
    <xf numFmtId="0" fontId="3" fillId="0" borderId="0" xfId="0" applyFont="1" applyFill="1" applyAlignment="1" applyProtection="1">
      <alignment vertical="top"/>
    </xf>
    <xf numFmtId="0" fontId="0" fillId="0" borderId="0" xfId="0" applyFill="1" applyAlignment="1" applyProtection="1">
      <alignment vertical="top"/>
    </xf>
    <xf numFmtId="0" fontId="0" fillId="0" borderId="0" xfId="0" quotePrefix="1" applyAlignment="1" applyProtection="1">
      <alignment horizontal="center" vertical="top"/>
    </xf>
    <xf numFmtId="0" fontId="0" fillId="0" borderId="0" xfId="0" applyAlignment="1" applyProtection="1">
      <alignment horizontal="center" vertical="top"/>
    </xf>
    <xf numFmtId="0" fontId="0" fillId="0" borderId="0" xfId="0" applyFont="1" applyFill="1" applyAlignment="1" applyProtection="1">
      <alignment horizontal="centerContinuous" vertical="top"/>
    </xf>
    <xf numFmtId="0" fontId="0" fillId="0" borderId="0" xfId="0" applyAlignment="1">
      <alignment vertical="top"/>
    </xf>
    <xf numFmtId="0" fontId="8" fillId="7" borderId="6" xfId="0" applyFont="1" applyFill="1" applyBorder="1" applyAlignment="1">
      <alignment vertical="top" wrapText="1"/>
    </xf>
    <xf numFmtId="0" fontId="8" fillId="7" borderId="7" xfId="0" applyFont="1" applyFill="1" applyBorder="1" applyAlignment="1">
      <alignment vertical="top" wrapText="1"/>
    </xf>
    <xf numFmtId="0" fontId="6" fillId="0" borderId="8" xfId="0" applyFont="1" applyBorder="1" applyAlignment="1">
      <alignment vertical="top"/>
    </xf>
    <xf numFmtId="0" fontId="8" fillId="7" borderId="9" xfId="0" applyFont="1" applyFill="1" applyBorder="1" applyAlignment="1">
      <alignment vertical="top" wrapText="1"/>
    </xf>
    <xf numFmtId="0" fontId="3" fillId="8" borderId="0" xfId="0" applyFont="1" applyFill="1" applyAlignment="1">
      <alignment vertical="center" wrapText="1"/>
    </xf>
    <xf numFmtId="0" fontId="3" fillId="8" borderId="0" xfId="0" applyFont="1" applyFill="1" applyAlignment="1">
      <alignment vertical="center"/>
    </xf>
    <xf numFmtId="0" fontId="0" fillId="0" borderId="5" xfId="0" applyFont="1" applyBorder="1" applyAlignment="1">
      <alignment vertical="top"/>
    </xf>
    <xf numFmtId="0" fontId="5" fillId="8" borderId="0" xfId="0" applyFont="1" applyFill="1" applyAlignment="1">
      <alignment vertical="top" wrapText="1"/>
    </xf>
    <xf numFmtId="0" fontId="6" fillId="0" borderId="10" xfId="0" applyFont="1" applyBorder="1" applyAlignment="1">
      <alignment vertical="top"/>
    </xf>
    <xf numFmtId="0" fontId="3" fillId="6" borderId="0" xfId="0" applyFont="1" applyFill="1" applyAlignment="1">
      <alignment horizontal="left" vertical="center"/>
    </xf>
    <xf numFmtId="0" fontId="3" fillId="6" borderId="3" xfId="0" applyFont="1" applyFill="1" applyBorder="1" applyAlignment="1">
      <alignment horizontal="left" vertical="center"/>
    </xf>
    <xf numFmtId="0" fontId="0" fillId="0" borderId="0" xfId="0" applyAlignment="1">
      <alignment horizontal="centerContinuous" vertical="top"/>
    </xf>
    <xf numFmtId="0" fontId="4" fillId="0" borderId="0" xfId="0" applyFont="1" applyAlignment="1">
      <alignment horizontal="left" vertical="top"/>
    </xf>
    <xf numFmtId="0" fontId="0" fillId="0" borderId="0" xfId="0" applyAlignment="1">
      <alignment horizontal="left" vertical="top"/>
    </xf>
    <xf numFmtId="0" fontId="0" fillId="0" borderId="0" xfId="0" quotePrefix="1" applyAlignment="1">
      <alignment horizontal="center" vertical="top"/>
    </xf>
    <xf numFmtId="0" fontId="0" fillId="0" borderId="0" xfId="0" applyAlignment="1">
      <alignment horizontal="center" vertical="top"/>
    </xf>
    <xf numFmtId="0" fontId="3" fillId="0" borderId="0" xfId="0" applyFont="1" applyAlignment="1">
      <alignment vertical="top"/>
    </xf>
    <xf numFmtId="0" fontId="0" fillId="0" borderId="0" xfId="0" applyAlignment="1">
      <alignment horizontal="left" vertical="top" wrapText="1"/>
    </xf>
    <xf numFmtId="0" fontId="8" fillId="0" borderId="0" xfId="0" applyFont="1" applyAlignment="1">
      <alignment horizontal="left" vertical="top" wrapText="1"/>
    </xf>
    <xf numFmtId="0" fontId="12" fillId="0" borderId="0" xfId="0" applyFont="1" applyAlignment="1">
      <alignment horizontal="left" vertical="top" wrapText="1"/>
    </xf>
    <xf numFmtId="6" fontId="0" fillId="0" borderId="0" xfId="0" applyNumberFormat="1" applyFont="1" applyFill="1" applyBorder="1" applyAlignment="1" applyProtection="1">
      <alignment horizontal="left" vertical="top" wrapText="1"/>
      <protection locked="0"/>
    </xf>
    <xf numFmtId="0" fontId="0" fillId="0" borderId="0" xfId="0" applyNumberFormat="1"/>
    <xf numFmtId="0" fontId="10" fillId="0" borderId="0" xfId="0" applyFont="1" applyFill="1"/>
    <xf numFmtId="0" fontId="14" fillId="0" borderId="0" xfId="0" applyFont="1" applyFill="1"/>
    <xf numFmtId="0" fontId="0" fillId="0" borderId="0" xfId="0" applyAlignment="1">
      <alignment horizontal="left" vertical="center" wrapText="1"/>
    </xf>
    <xf numFmtId="0" fontId="0" fillId="0" borderId="0" xfId="0" applyFont="1" applyAlignment="1" applyProtection="1">
      <alignment horizontal="left" vertical="top" wrapText="1"/>
      <protection locked="0"/>
    </xf>
    <xf numFmtId="0" fontId="0" fillId="0" borderId="0" xfId="0" applyFont="1" applyAlignment="1" applyProtection="1">
      <alignment vertical="top" wrapText="1"/>
      <protection locked="0"/>
    </xf>
    <xf numFmtId="0" fontId="0" fillId="0" borderId="0" xfId="0" applyFill="1"/>
    <xf numFmtId="0" fontId="0" fillId="0" borderId="0" xfId="0" applyFill="1" applyBorder="1" applyAlignment="1">
      <alignment horizontal="center" vertical="center"/>
    </xf>
    <xf numFmtId="0" fontId="11" fillId="0" borderId="0" xfId="0" applyFont="1" applyBorder="1" applyAlignment="1">
      <alignment horizontal="center" vertical="top" textRotation="90"/>
    </xf>
    <xf numFmtId="0" fontId="16" fillId="9" borderId="11" xfId="0" applyFont="1" applyFill="1" applyBorder="1" applyAlignment="1">
      <alignment horizontal="left" vertical="top" indent="1"/>
    </xf>
    <xf numFmtId="0" fontId="17" fillId="3" borderId="11" xfId="0" applyFont="1" applyFill="1" applyBorder="1" applyAlignment="1">
      <alignment horizontal="left" vertical="center" wrapText="1" indent="1"/>
    </xf>
    <xf numFmtId="0" fontId="18" fillId="4" borderId="11" xfId="0" applyFont="1" applyFill="1" applyBorder="1" applyAlignment="1">
      <alignment horizontal="left" vertical="center" wrapText="1" indent="1"/>
    </xf>
    <xf numFmtId="0" fontId="17" fillId="5" borderId="11" xfId="0" applyFont="1" applyFill="1" applyBorder="1" applyAlignment="1">
      <alignment horizontal="left" vertical="center" wrapText="1" indent="1"/>
    </xf>
    <xf numFmtId="0" fontId="0" fillId="8" borderId="0" xfId="0" applyFill="1"/>
    <xf numFmtId="0" fontId="10" fillId="8" borderId="0" xfId="0" applyFont="1" applyFill="1"/>
    <xf numFmtId="0" fontId="20" fillId="8" borderId="0" xfId="0" applyFont="1" applyFill="1"/>
    <xf numFmtId="0" fontId="6" fillId="8" borderId="0" xfId="0" applyFont="1" applyFill="1" applyAlignment="1">
      <alignment vertical="top"/>
    </xf>
    <xf numFmtId="0" fontId="19" fillId="0" borderId="0" xfId="0" applyFont="1" applyBorder="1" applyAlignment="1">
      <alignment horizontal="left" vertical="center"/>
    </xf>
    <xf numFmtId="0" fontId="20" fillId="8" borderId="0" xfId="0" applyFont="1" applyFill="1" applyAlignment="1">
      <alignment vertical="top"/>
    </xf>
    <xf numFmtId="0" fontId="20" fillId="0" borderId="0" xfId="0" applyFont="1" applyFill="1" applyAlignment="1">
      <alignment vertical="top"/>
    </xf>
    <xf numFmtId="0" fontId="0" fillId="9" borderId="13" xfId="0" applyFont="1" applyFill="1" applyBorder="1" applyAlignment="1">
      <alignment horizontal="center" vertical="center"/>
    </xf>
    <xf numFmtId="0" fontId="0" fillId="9" borderId="15" xfId="0" applyFont="1" applyFill="1" applyBorder="1" applyAlignment="1">
      <alignment horizontal="center" vertical="center"/>
    </xf>
    <xf numFmtId="0" fontId="0" fillId="9" borderId="16" xfId="0" applyFill="1" applyBorder="1"/>
    <xf numFmtId="0" fontId="0" fillId="9" borderId="17" xfId="0" applyFill="1" applyBorder="1" applyAlignment="1">
      <alignment horizontal="center" vertical="center"/>
    </xf>
    <xf numFmtId="0" fontId="0" fillId="9" borderId="18" xfId="0" applyFill="1" applyBorder="1" applyAlignment="1">
      <alignment horizontal="center" vertical="center"/>
    </xf>
    <xf numFmtId="0" fontId="8" fillId="0" borderId="0" xfId="0" applyFont="1" applyFill="1" applyAlignment="1">
      <alignment horizontal="center" vertical="center"/>
    </xf>
    <xf numFmtId="0" fontId="9" fillId="0" borderId="0" xfId="0" applyFont="1" applyFill="1" applyAlignment="1">
      <alignment vertical="top"/>
    </xf>
    <xf numFmtId="0" fontId="0" fillId="0" borderId="0" xfId="0" applyFill="1" applyAlignment="1" applyProtection="1">
      <alignment horizontal="centerContinuous" vertical="top"/>
    </xf>
    <xf numFmtId="0" fontId="0" fillId="0" borderId="0" xfId="0" quotePrefix="1" applyFill="1" applyAlignment="1" applyProtection="1">
      <alignment horizontal="center" vertical="top"/>
    </xf>
    <xf numFmtId="0" fontId="0" fillId="0" borderId="0" xfId="0" applyFill="1" applyAlignment="1" applyProtection="1">
      <alignment horizontal="center" vertical="top"/>
    </xf>
    <xf numFmtId="0" fontId="0" fillId="0" borderId="0" xfId="0" applyFill="1" applyAlignment="1">
      <alignment horizontal="centerContinuous" vertical="top"/>
    </xf>
    <xf numFmtId="0" fontId="0" fillId="0" borderId="0" xfId="0" quotePrefix="1" applyFill="1" applyAlignment="1">
      <alignment horizontal="center" vertical="top"/>
    </xf>
    <xf numFmtId="0" fontId="0" fillId="0" borderId="0" xfId="0" applyFill="1" applyAlignment="1">
      <alignment horizontal="center" vertical="top"/>
    </xf>
    <xf numFmtId="0" fontId="0" fillId="0" borderId="0" xfId="0" applyFill="1" applyAlignment="1">
      <alignment vertical="top"/>
    </xf>
    <xf numFmtId="0" fontId="0" fillId="0" borderId="0" xfId="0" applyFont="1" applyFill="1" applyAlignment="1" applyProtection="1">
      <alignment horizontal="left" vertical="top" wrapText="1"/>
      <protection locked="0"/>
    </xf>
    <xf numFmtId="0" fontId="0" fillId="0" borderId="0" xfId="0" applyNumberFormat="1" applyFont="1" applyFill="1" applyBorder="1" applyAlignment="1" applyProtection="1">
      <alignment horizontal="left" vertical="top" wrapText="1"/>
    </xf>
    <xf numFmtId="0" fontId="21" fillId="9" borderId="11" xfId="0" applyFont="1" applyFill="1" applyBorder="1" applyAlignment="1">
      <alignment horizontal="left" vertical="center" wrapText="1" indent="1"/>
    </xf>
    <xf numFmtId="0" fontId="22" fillId="0" borderId="0" xfId="0" applyFont="1"/>
    <xf numFmtId="0" fontId="23" fillId="0" borderId="0" xfId="0" applyFont="1" applyAlignment="1">
      <alignment horizontal="left" vertical="top" readingOrder="1"/>
    </xf>
    <xf numFmtId="0" fontId="3" fillId="8" borderId="0" xfId="0" applyFont="1" applyFill="1"/>
    <xf numFmtId="0" fontId="8" fillId="0" borderId="0" xfId="0" applyFont="1"/>
    <xf numFmtId="0" fontId="10" fillId="0" borderId="0" xfId="0" applyFont="1" applyFill="1" applyAlignment="1">
      <alignment horizontal="left"/>
    </xf>
    <xf numFmtId="3" fontId="0" fillId="0" borderId="0" xfId="0" applyNumberFormat="1"/>
    <xf numFmtId="0" fontId="24" fillId="0" borderId="0" xfId="0" applyFont="1" applyAlignment="1">
      <alignment horizontal="left" vertical="center" readingOrder="1"/>
    </xf>
    <xf numFmtId="0" fontId="0" fillId="0" borderId="0" xfId="0" applyFont="1" applyFill="1"/>
    <xf numFmtId="0" fontId="0" fillId="0" borderId="0" xfId="0" applyNumberFormat="1" applyFont="1" applyFill="1"/>
    <xf numFmtId="0" fontId="6" fillId="0" borderId="0" xfId="0" applyFont="1" applyAlignment="1">
      <alignment horizontal="left" vertical="top"/>
    </xf>
    <xf numFmtId="0" fontId="27" fillId="0" borderId="0" xfId="0" applyFont="1" applyAlignment="1">
      <alignment vertical="top"/>
    </xf>
    <xf numFmtId="0" fontId="6" fillId="0" borderId="5" xfId="0" applyFont="1" applyBorder="1" applyAlignment="1">
      <alignment vertical="top"/>
    </xf>
    <xf numFmtId="0" fontId="0" fillId="0" borderId="6" xfId="0" applyBorder="1" applyAlignment="1" applyProtection="1">
      <alignment vertical="top" wrapText="1"/>
      <protection locked="0"/>
    </xf>
    <xf numFmtId="0" fontId="0" fillId="0" borderId="7" xfId="0" applyBorder="1" applyAlignment="1" applyProtection="1">
      <alignment vertical="top" wrapText="1"/>
      <protection locked="0"/>
    </xf>
    <xf numFmtId="0" fontId="0" fillId="0" borderId="9" xfId="0" applyBorder="1" applyAlignment="1" applyProtection="1">
      <alignment vertical="top" wrapText="1"/>
      <protection locked="0"/>
    </xf>
    <xf numFmtId="164" fontId="0" fillId="0" borderId="9" xfId="0" applyNumberFormat="1" applyBorder="1" applyAlignment="1" applyProtection="1">
      <alignment vertical="top" wrapText="1"/>
      <protection locked="0"/>
    </xf>
    <xf numFmtId="0" fontId="0" fillId="0" borderId="19" xfId="0" applyBorder="1" applyAlignment="1" applyProtection="1">
      <alignment vertical="top" wrapText="1"/>
      <protection locked="0"/>
    </xf>
    <xf numFmtId="0" fontId="0" fillId="0" borderId="0" xfId="0" applyNumberFormat="1" applyFont="1" applyFill="1" applyAlignment="1" applyProtection="1">
      <alignment horizontal="left" vertical="top" wrapText="1"/>
    </xf>
    <xf numFmtId="0" fontId="0" fillId="0" borderId="0" xfId="0" applyFont="1" applyFill="1" applyAlignment="1" applyProtection="1">
      <alignment vertical="top" wrapText="1"/>
      <protection locked="0"/>
    </xf>
    <xf numFmtId="41" fontId="0" fillId="0" borderId="0" xfId="0" applyNumberFormat="1" applyFont="1" applyFill="1" applyBorder="1" applyAlignment="1" applyProtection="1">
      <alignment horizontal="left" vertical="top" wrapText="1"/>
      <protection locked="0"/>
    </xf>
    <xf numFmtId="0" fontId="9" fillId="0" borderId="0" xfId="0" applyFont="1"/>
    <xf numFmtId="0" fontId="10" fillId="0" borderId="0" xfId="0" applyFont="1"/>
    <xf numFmtId="0" fontId="28" fillId="0" borderId="0" xfId="0" applyFont="1"/>
    <xf numFmtId="0" fontId="8" fillId="3" borderId="14" xfId="0" applyFont="1" applyFill="1" applyBorder="1" applyAlignment="1">
      <alignment horizontal="center" vertical="center"/>
    </xf>
    <xf numFmtId="0" fontId="8" fillId="4" borderId="14" xfId="0" applyFont="1" applyFill="1" applyBorder="1" applyAlignment="1">
      <alignment horizontal="center" vertical="center"/>
    </xf>
    <xf numFmtId="0" fontId="8" fillId="5" borderId="14" xfId="0" applyFont="1" applyFill="1" applyBorder="1" applyAlignment="1">
      <alignment horizontal="center" vertical="center"/>
    </xf>
    <xf numFmtId="0" fontId="8" fillId="2" borderId="0" xfId="0" applyFont="1" applyFill="1" applyAlignment="1" applyProtection="1">
      <alignment horizontal="left" vertical="top" wrapText="1"/>
    </xf>
    <xf numFmtId="0" fontId="3" fillId="6" borderId="0" xfId="0" applyFont="1" applyFill="1" applyAlignment="1" applyProtection="1">
      <alignment horizontal="left" vertical="center"/>
    </xf>
    <xf numFmtId="0" fontId="3" fillId="6" borderId="3" xfId="0" applyFont="1" applyFill="1" applyBorder="1" applyAlignment="1" applyProtection="1">
      <alignment horizontal="left" vertical="center"/>
    </xf>
    <xf numFmtId="0" fontId="3" fillId="6" borderId="4" xfId="0" applyFont="1" applyFill="1" applyBorder="1" applyAlignment="1" applyProtection="1">
      <alignment horizontal="left" vertical="center"/>
    </xf>
    <xf numFmtId="0" fontId="3" fillId="6" borderId="0" xfId="0" applyFont="1" applyFill="1" applyBorder="1" applyAlignment="1" applyProtection="1">
      <alignment horizontal="left" vertical="center"/>
    </xf>
    <xf numFmtId="0" fontId="8" fillId="0" borderId="0" xfId="0" applyFont="1" applyFill="1" applyAlignment="1" applyProtection="1">
      <alignment horizontal="left" vertical="top" wrapText="1"/>
    </xf>
    <xf numFmtId="0" fontId="8" fillId="0" borderId="0" xfId="0" applyFont="1" applyFill="1" applyAlignment="1">
      <alignment horizontal="left" vertical="top" wrapText="1"/>
    </xf>
    <xf numFmtId="0" fontId="0" fillId="2" borderId="0" xfId="0" applyFill="1" applyAlignment="1">
      <alignment horizontal="left" vertical="top" wrapText="1"/>
    </xf>
    <xf numFmtId="0" fontId="0" fillId="0" borderId="0" xfId="0" applyFont="1" applyAlignment="1">
      <alignment vertical="top" wrapText="1"/>
    </xf>
    <xf numFmtId="0" fontId="8" fillId="0" borderId="0" xfId="0" applyFont="1" applyFill="1" applyAlignment="1">
      <alignment horizontal="center" vertical="center" textRotation="90"/>
    </xf>
    <xf numFmtId="0" fontId="8" fillId="0" borderId="0" xfId="0" applyFont="1" applyFill="1" applyAlignment="1">
      <alignment horizontal="center" vertical="center"/>
    </xf>
    <xf numFmtId="0" fontId="21" fillId="0" borderId="0" xfId="0" applyFont="1" applyBorder="1" applyAlignment="1">
      <alignment horizontal="center" vertical="center" textRotation="90"/>
    </xf>
    <xf numFmtId="0" fontId="19" fillId="0" borderId="12" xfId="0" applyFont="1" applyBorder="1" applyAlignment="1">
      <alignment horizontal="center" vertical="center"/>
    </xf>
  </cellXfs>
  <cellStyles count="3">
    <cellStyle name="Heading 1" xfId="1" builtinId="16" customBuiltin="1"/>
    <cellStyle name="Heading 2" xfId="2" builtinId="17" customBuiltin="1"/>
    <cellStyle name="Normal" xfId="0" builtinId="0"/>
  </cellStyles>
  <dxfs count="170">
    <dxf>
      <font>
        <strike val="0"/>
        <outline val="0"/>
        <shadow val="0"/>
        <u val="none"/>
        <vertAlign val="baseline"/>
        <sz val="11"/>
        <color theme="0"/>
        <name val="Calibri"/>
        <family val="2"/>
        <scheme val="minor"/>
      </font>
      <fill>
        <patternFill patternType="none">
          <fgColor indexed="64"/>
          <bgColor auto="1"/>
        </patternFill>
      </fill>
    </dxf>
    <dxf>
      <alignment horizontal="left" vertical="bottom" textRotation="0" wrapText="0" indent="0" justifyLastLine="0" shrinkToFit="0" readingOrder="0"/>
    </dxf>
    <dxf>
      <alignment horizontal="left" vertical="bottom" textRotation="0" wrapText="0" indent="0" justifyLastLine="0" shrinkToFit="0" readingOrder="0"/>
    </dxf>
    <dxf>
      <font>
        <strike val="0"/>
        <outline val="0"/>
        <shadow val="0"/>
        <u val="none"/>
        <vertAlign val="baseline"/>
        <sz val="11"/>
        <color theme="0"/>
        <name val="Calibri"/>
        <family val="2"/>
        <scheme val="minor"/>
      </font>
      <fill>
        <patternFill patternType="none">
          <fgColor indexed="64"/>
          <bgColor auto="1"/>
        </patternFill>
      </fill>
      <alignment horizontal="left" vertical="bottom" textRotation="0" wrapText="0" indent="0" justifyLastLine="0" shrinkToFit="0" readingOrder="0"/>
    </dxf>
    <dxf>
      <font>
        <color theme="0"/>
      </font>
    </dxf>
    <dxf>
      <font>
        <color theme="0"/>
      </font>
    </dxf>
    <dxf>
      <fill>
        <patternFill patternType="solid">
          <bgColor theme="2" tint="-0.499984740745262"/>
        </patternFill>
      </fill>
    </dxf>
    <dxf>
      <fill>
        <patternFill patternType="solid">
          <bgColor theme="2" tint="-0.499984740745262"/>
        </patternFill>
      </fill>
    </dxf>
    <dxf>
      <font>
        <color theme="0"/>
      </font>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ont>
        <color theme="0"/>
      </font>
    </dxf>
    <dxf>
      <font>
        <color theme="0"/>
      </font>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none">
          <bgColor auto="1"/>
        </patternFill>
      </fill>
    </dxf>
    <dxf>
      <fill>
        <patternFill patternType="none">
          <bgColor auto="1"/>
        </patternFill>
      </fill>
    </dxf>
    <dxf>
      <fill>
        <patternFill patternType="none">
          <bgColor auto="1"/>
        </patternFill>
      </fill>
    </dxf>
    <dxf>
      <font>
        <color theme="1"/>
      </font>
    </dxf>
    <dxf>
      <font>
        <color theme="1"/>
      </font>
    </dxf>
    <dxf>
      <font>
        <color theme="1"/>
      </font>
    </dxf>
    <dxf>
      <font>
        <color theme="1"/>
      </font>
    </dxf>
    <dxf>
      <font>
        <color theme="1"/>
      </font>
    </dxf>
    <dxf>
      <font>
        <color theme="1"/>
      </font>
    </dxf>
    <dxf>
      <fill>
        <patternFill patternType="solid">
          <bgColor theme="2" tint="-0.499984740745262"/>
        </patternFill>
      </fill>
    </dxf>
    <dxf>
      <font>
        <color theme="0"/>
      </font>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ont>
        <color theme="0"/>
      </font>
    </dxf>
    <dxf>
      <font>
        <color theme="0"/>
      </font>
    </dxf>
    <dxf>
      <fill>
        <patternFill patternType="solid">
          <bgColor theme="2" tint="-0.499984740745262"/>
        </patternFill>
      </fill>
    </dxf>
    <dxf>
      <fill>
        <patternFill patternType="solid">
          <bgColor theme="2" tint="-0.499984740745262"/>
        </patternFill>
      </fill>
    </dxf>
    <dxf>
      <font>
        <color theme="0"/>
      </font>
    </dxf>
    <dxf>
      <font>
        <color theme="0"/>
      </font>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numFmt numFmtId="3" formatCode="#,##0"/>
    </dxf>
    <dxf>
      <font>
        <color theme="0"/>
      </font>
    </dxf>
    <dxf>
      <font>
        <color theme="0"/>
      </font>
    </dxf>
    <dxf>
      <fill>
        <patternFill patternType="solid">
          <bgColor theme="2" tint="-0.499984740745262"/>
        </patternFill>
      </fill>
    </dxf>
    <dxf>
      <fill>
        <patternFill patternType="solid">
          <bgColor theme="2" tint="-0.499984740745262"/>
        </patternFill>
      </fill>
    </dxf>
    <dxf>
      <font>
        <color theme="0"/>
      </font>
    </dxf>
    <dxf>
      <fill>
        <patternFill patternType="solid">
          <bgColor theme="2" tint="-0.499984740745262"/>
        </patternFill>
      </fill>
    </dxf>
    <dxf>
      <font>
        <color theme="0"/>
      </font>
    </dxf>
    <dxf>
      <fill>
        <patternFill patternType="solid">
          <bgColor theme="2" tint="-0.499984740745262"/>
        </patternFill>
      </fill>
    </dxf>
    <dxf>
      <numFmt numFmtId="0" formatCode="General"/>
    </dxf>
    <dxf>
      <numFmt numFmtId="0" formatCode="General"/>
    </dxf>
    <dxf>
      <font>
        <b/>
        <strike val="0"/>
        <outline val="0"/>
        <shadow val="0"/>
        <u val="none"/>
        <vertAlign val="baseline"/>
        <sz val="11"/>
        <color theme="0"/>
        <name val="Calibri"/>
        <family val="2"/>
        <scheme val="minor"/>
      </font>
      <fill>
        <patternFill patternType="solid">
          <fgColor indexed="64"/>
          <bgColor theme="2" tint="-0.499984740745262"/>
        </patternFill>
      </fill>
    </dxf>
    <dxf>
      <font>
        <color theme="0"/>
      </font>
    </dxf>
    <dxf>
      <fill>
        <patternFill patternType="solid">
          <bgColor theme="2" tint="-0.499984740745262"/>
        </patternFill>
      </fill>
    </dxf>
    <dxf>
      <font>
        <color theme="0"/>
      </font>
    </dxf>
    <dxf>
      <font>
        <color theme="0"/>
      </font>
    </dxf>
    <dxf>
      <fill>
        <patternFill patternType="solid">
          <bgColor theme="2" tint="-0.499984740745262"/>
        </patternFill>
      </fill>
    </dxf>
    <dxf>
      <fill>
        <patternFill patternType="solid">
          <bgColor theme="2" tint="-0.499984740745262"/>
        </patternFill>
      </fill>
    </dxf>
    <dxf>
      <font>
        <color theme="0"/>
      </font>
    </dxf>
    <dxf>
      <fill>
        <patternFill patternType="solid">
          <bgColor theme="2" tint="-0.499984740745262"/>
        </patternFill>
      </fill>
    </dxf>
    <dxf>
      <numFmt numFmtId="0" formatCode="General"/>
    </dxf>
    <dxf>
      <font>
        <b/>
        <strike val="0"/>
        <outline val="0"/>
        <shadow val="0"/>
        <u val="none"/>
        <vertAlign val="baseline"/>
        <sz val="11"/>
        <color theme="0"/>
        <name val="Calibri"/>
        <family val="2"/>
        <scheme val="minor"/>
      </font>
      <fill>
        <patternFill patternType="solid">
          <fgColor indexed="64"/>
          <bgColor theme="2" tint="-0.499984740745262"/>
        </patternFill>
      </fill>
    </dxf>
    <dxf>
      <font>
        <color theme="0"/>
      </font>
    </dxf>
    <dxf>
      <font>
        <color theme="0"/>
      </font>
    </dxf>
    <dxf>
      <fill>
        <patternFill patternType="solid">
          <bgColor theme="2" tint="-0.499984740745262"/>
        </patternFill>
      </fill>
    </dxf>
    <dxf>
      <fill>
        <patternFill patternType="solid">
          <bgColor theme="2" tint="-0.499984740745262"/>
        </patternFill>
      </fill>
    </dxf>
    <dxf>
      <fill>
        <patternFill>
          <bgColor theme="2" tint="-0.499984740745262"/>
        </patternFill>
      </fill>
    </dxf>
    <dxf>
      <fill>
        <patternFill patternType="solid">
          <bgColor theme="2" tint="-9.9978637043366805E-2"/>
        </patternFill>
      </fill>
    </dxf>
    <dxf>
      <font>
        <color theme="0"/>
      </font>
    </dxf>
    <dxf>
      <font>
        <color theme="0"/>
      </font>
    </dxf>
    <dxf>
      <fill>
        <patternFill patternType="solid">
          <bgColor theme="2" tint="-0.499984740745262"/>
        </patternFill>
      </fill>
    </dxf>
    <dxf>
      <fill>
        <patternFill patternType="solid">
          <bgColor theme="2" tint="-0.499984740745262"/>
        </patternFill>
      </fill>
    </dxf>
    <dxf>
      <font>
        <color theme="0"/>
      </font>
    </dxf>
    <dxf>
      <font>
        <color theme="0"/>
      </font>
    </dxf>
    <dxf>
      <font>
        <color theme="0"/>
      </font>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numFmt numFmtId="0" formatCode="General"/>
    </dxf>
    <dxf>
      <font>
        <b/>
        <strike val="0"/>
        <outline val="0"/>
        <shadow val="0"/>
        <u val="none"/>
        <vertAlign val="baseline"/>
        <sz val="11"/>
        <color theme="0"/>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font>
        <color theme="0"/>
      </font>
    </dxf>
    <dxf>
      <font>
        <color theme="0"/>
      </fon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general"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solid">
          <fgColor indexed="64"/>
          <bgColor theme="6" tint="0.39997558519241921"/>
        </patternFill>
      </fill>
      <alignment horizontal="general"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1" hidden="0"/>
    </dxf>
    <dxf>
      <alignment horizontal="left" vertical="center" textRotation="0" wrapText="1" indent="0" justifyLastLine="0" shrinkToFit="0" readingOrder="0"/>
    </dxf>
    <dxf>
      <font>
        <b/>
        <i val="0"/>
        <color rgb="FF444444"/>
      </font>
      <fill>
        <patternFill>
          <bgColor rgb="FF92D050"/>
        </patternFill>
      </fill>
    </dxf>
    <dxf>
      <font>
        <b/>
        <i val="0"/>
        <color rgb="FF444444"/>
      </font>
      <fill>
        <patternFill>
          <bgColor rgb="FFFFC000"/>
        </patternFill>
      </fill>
    </dxf>
    <dxf>
      <font>
        <b/>
        <i val="0"/>
        <color theme="0"/>
      </font>
      <fill>
        <patternFill>
          <bgColor rgb="FFFF0000"/>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5" formatCode="_-[$€-2]\ * #,##0_-;\-[$€-2]\ * #,##0_-;_-[$€-2]\ * &quot;-&quot;??_-;_-@_-"/>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fill>
        <patternFill>
          <bgColor theme="1" tint="0.39994506668294322"/>
        </patternFill>
      </fill>
    </dxf>
    <dxf>
      <font>
        <b/>
        <i val="0"/>
        <color rgb="FF444444"/>
      </font>
      <fill>
        <patternFill>
          <bgColor rgb="FF92D050"/>
        </patternFill>
      </fill>
    </dxf>
    <dxf>
      <font>
        <b/>
        <i val="0"/>
        <color rgb="FF444444"/>
      </font>
      <fill>
        <patternFill>
          <bgColor rgb="FFFFC000"/>
        </patternFill>
      </fill>
    </dxf>
    <dxf>
      <font>
        <b/>
        <i val="0"/>
        <color theme="0"/>
      </font>
      <fill>
        <patternFill>
          <bgColor rgb="FFFF0000"/>
        </patternFill>
      </fill>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s>
  <tableStyles count="2" defaultTableStyle="TableStyleMedium2" defaultPivotStyle="PivotStyleLight16">
    <tableStyle name="CertiKit Slicer 2" pivot="0" table="0" count="10" xr9:uid="{5D848576-823C-483B-BE8A-686B0D09D0E5}">
      <tableStyleElement type="wholeTable" dxfId="169"/>
      <tableStyleElement type="headerRow" dxfId="168"/>
    </tableStyle>
    <tableStyle name="CertiKit table style 2" pivot="0" count="4" xr9:uid="{757A8666-9061-42F6-B73E-BB6A80120961}">
      <tableStyleElement type="wholeTable" dxfId="167"/>
      <tableStyleElement type="headerRow" dxfId="166"/>
      <tableStyleElement type="firstRowStripe" dxfId="165"/>
      <tableStyleElement type="secondRowStripe" dxfId="164"/>
    </tableStyle>
  </tableStyles>
  <colors>
    <mruColors>
      <color rgb="FFD0EAEB"/>
      <color rgb="FF009BA4"/>
      <color rgb="FFCCC900"/>
      <color rgb="FFDBDC2C"/>
      <color rgb="FF444444"/>
      <color rgb="FFFFFFFF"/>
    </mruColors>
  </colors>
  <extLst>
    <ext xmlns:x14="http://schemas.microsoft.com/office/spreadsheetml/2009/9/main" uri="{46F421CA-312F-682f-3DD2-61675219B42D}">
      <x14:dxfs count="8">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ertiKit Slicer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5.xml"/><Relationship Id="rId39"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07/relationships/slicerCache" Target="slicerCaches/slicerCache8.xml"/><Relationship Id="rId42"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4.xml"/><Relationship Id="rId33" Type="http://schemas.microsoft.com/office/2007/relationships/slicerCache" Target="slicerCaches/slicerCache7.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3.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32" Type="http://schemas.microsoft.com/office/2007/relationships/slicerCache" Target="slicerCaches/slicerCache6.xml"/><Relationship Id="rId37" Type="http://schemas.openxmlformats.org/officeDocument/2006/relationships/styles" Target="style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microsoft.com/office/2007/relationships/slicerCache" Target="slicerCaches/slicerCache2.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5.xml"/><Relationship Id="rId44"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microsoft.com/office/2007/relationships/slicerCache" Target="slicerCaches/slicerCache1.xml"/><Relationship Id="rId30" Type="http://schemas.microsoft.com/office/2007/relationships/slicerCache" Target="slicerCaches/slicerCache4.xml"/><Relationship Id="rId35" Type="http://schemas.microsoft.com/office/2007/relationships/slicerCache" Target="slicerCaches/slicerCache9.xml"/><Relationship Id="rId43"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[BCMS-FORM-08-2 ROAT Tool.xlsx]Pre-treatment Risks Pivot!Pre-treatmentRisksPivot</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US" sz="1400" b="0" i="0" baseline="0">
                <a:solidFill>
                  <a:schemeClr val="tx1"/>
                </a:solidFill>
                <a:effectLst/>
              </a:rPr>
              <a:t>Number of pre-treatment risks</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25400">
            <a:solidFill>
              <a:schemeClr val="lt1"/>
            </a:solidFill>
          </a:ln>
          <a:effectLst/>
          <a:sp3d contourW="25400">
            <a:contourClr>
              <a:schemeClr val="lt1"/>
            </a:contourClr>
          </a:sp3d>
        </c:spPr>
      </c:pivotFmt>
      <c:pivotFmt>
        <c:idx val="2"/>
        <c:spPr>
          <a:solidFill>
            <a:srgbClr val="FFC000"/>
          </a:solidFill>
          <a:ln w="25400">
            <a:solidFill>
              <a:schemeClr val="lt1"/>
            </a:solidFill>
          </a:ln>
          <a:effectLst/>
          <a:sp3d contourW="25400">
            <a:contourClr>
              <a:schemeClr val="lt1"/>
            </a:contourClr>
          </a:sp3d>
        </c:spPr>
      </c:pivotFmt>
      <c:pivotFmt>
        <c:idx val="3"/>
        <c:spPr>
          <a:solidFill>
            <a:srgbClr val="FF0000"/>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w="25400">
            <a:solidFill>
              <a:schemeClr val="lt1"/>
            </a:solidFill>
          </a:ln>
          <a:effectLst/>
          <a:sp3d contourW="25400">
            <a:contourClr>
              <a:schemeClr val="lt1"/>
            </a:contourClr>
          </a:sp3d>
        </c:spPr>
      </c:pivotFmt>
      <c:pivotFmt>
        <c:idx val="6"/>
        <c:spPr>
          <a:solidFill>
            <a:srgbClr val="FFC000"/>
          </a:solidFill>
          <a:ln w="25400">
            <a:solidFill>
              <a:schemeClr val="lt1"/>
            </a:solidFill>
          </a:ln>
          <a:effectLst/>
          <a:sp3d contourW="25400">
            <a:contourClr>
              <a:schemeClr val="lt1"/>
            </a:contourClr>
          </a:sp3d>
        </c:spPr>
      </c:pivotFmt>
      <c:pivotFmt>
        <c:idx val="7"/>
        <c:spPr>
          <a:solidFill>
            <a:srgbClr val="FF0000"/>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25400">
            <a:solidFill>
              <a:schemeClr val="lt1"/>
            </a:solidFill>
          </a:ln>
          <a:effectLst/>
          <a:sp3d contourW="25400">
            <a:contourClr>
              <a:schemeClr val="lt1"/>
            </a:contourClr>
          </a:sp3d>
        </c:spPr>
      </c:pivotFmt>
      <c:pivotFmt>
        <c:idx val="10"/>
        <c:spPr>
          <a:solidFill>
            <a:srgbClr val="FFC000"/>
          </a:solidFill>
          <a:ln w="25400">
            <a:solidFill>
              <a:schemeClr val="lt1"/>
            </a:solidFill>
          </a:ln>
          <a:effectLst/>
          <a:sp3d contourW="25400">
            <a:contourClr>
              <a:schemeClr val="lt1"/>
            </a:contourClr>
          </a:sp3d>
        </c:spPr>
      </c:pivotFmt>
      <c:pivotFmt>
        <c:idx val="11"/>
        <c:spPr>
          <a:solidFill>
            <a:srgbClr val="FF000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'Pre-treatment Risks Pivot'!$C$12</c:f>
              <c:strCache>
                <c:ptCount val="1"/>
                <c:pt idx="0">
                  <c:v>Total</c:v>
                </c:pt>
              </c:strCache>
            </c:strRef>
          </c:tx>
          <c:dPt>
            <c:idx val="0"/>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1-848E-476F-A1C8-D6FE2C01C25D}"/>
              </c:ext>
            </c:extLst>
          </c:dPt>
          <c:dPt>
            <c:idx val="1"/>
            <c:bubble3D val="0"/>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848E-476F-A1C8-D6FE2C01C25D}"/>
              </c:ext>
            </c:extLst>
          </c:dPt>
          <c:dPt>
            <c:idx val="2"/>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5-848E-476F-A1C8-D6FE2C01C2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'Pre-treatment Risks Pivot'!$B$13:$B$15</c:f>
              <c:strCache>
                <c:ptCount val="3"/>
                <c:pt idx="0">
                  <c:v> Low</c:v>
                </c:pt>
                <c:pt idx="1">
                  <c:v> Medium</c:v>
                </c:pt>
                <c:pt idx="2">
                  <c:v> High</c:v>
                </c:pt>
              </c:strCache>
            </c:strRef>
          </c:cat>
          <c:val>
            <c:numRef>
              <c:f>'Pre-treatment Risks Pivot'!$C$13:$C$15</c:f>
              <c:numCache>
                <c:formatCode>General</c:formatCode>
                <c:ptCount val="3"/>
                <c:pt idx="0">
                  <c:v>0</c:v>
                </c:pt>
                <c:pt idx="1">
                  <c:v>0</c:v>
                </c:pt>
                <c:pt idx="2">
                  <c:v>0</c:v>
                </c:pt>
              </c:numCache>
            </c:numRef>
          </c:val>
          <c:extLst>
            <c:ext xmlns:c16="http://schemas.microsoft.com/office/drawing/2014/chart" uri="{C3380CC4-5D6E-409C-BE32-E72D297353CC}">
              <c16:uniqueId val="{00000006-848E-476F-A1C8-D6FE2C01C25D}"/>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[BCMS-FORM-08-2 ROAT Tool.xlsx]Pre-treatment Risk Owners Pivot!Pre-treatmentRiskOwnersPivot</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baseline="0">
                <a:solidFill>
                  <a:schemeClr val="tx1"/>
                </a:solidFill>
                <a:effectLst/>
              </a:rPr>
              <a:t>Pre-treatment risk levels by risk owner</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a:sp3d/>
        </c:spPr>
        <c:marker>
          <c:symbol val="none"/>
        </c:marker>
      </c:pivotFmt>
      <c:pivotFmt>
        <c:idx val="1"/>
        <c:spPr>
          <a:solidFill>
            <a:srgbClr val="FFC000"/>
          </a:solidFill>
          <a:ln>
            <a:noFill/>
          </a:ln>
          <a:effectLst/>
          <a:sp3d/>
        </c:spPr>
        <c:marker>
          <c:symbol val="none"/>
        </c:marker>
      </c:pivotFmt>
      <c:pivotFmt>
        <c:idx val="2"/>
        <c:spPr>
          <a:solidFill>
            <a:srgbClr val="FF0000"/>
          </a:solidFill>
          <a:ln>
            <a:noFill/>
          </a:ln>
          <a:effectLst/>
          <a:sp3d/>
        </c:spPr>
        <c:marker>
          <c:symbol val="none"/>
        </c:marker>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a:sp3d/>
        </c:spPr>
      </c:pivotFmt>
      <c:pivotFmt>
        <c:idx val="5"/>
        <c:spPr>
          <a:solidFill>
            <a:srgbClr val="92D050"/>
          </a:solidFill>
          <a:ln>
            <a:noFill/>
          </a:ln>
          <a:effectLst/>
          <a:sp3d/>
        </c:spPr>
      </c:pivotFmt>
      <c:pivotFmt>
        <c:idx val="6"/>
        <c:spPr>
          <a:solidFill>
            <a:srgbClr val="FFC000"/>
          </a:solidFill>
          <a:ln>
            <a:noFill/>
          </a:ln>
          <a:effectLst/>
          <a:sp3d/>
        </c:spPr>
      </c:pivotFmt>
      <c:pivotFmt>
        <c:idx val="7"/>
        <c:spPr>
          <a:solidFill>
            <a:srgbClr val="FFC000"/>
          </a:solidFill>
          <a:ln>
            <a:noFill/>
          </a:ln>
          <a:effectLst/>
          <a:sp3d/>
        </c:spPr>
      </c:pivotFmt>
      <c:pivotFmt>
        <c:idx val="8"/>
        <c:spPr>
          <a:solidFill>
            <a:srgbClr val="FF0000"/>
          </a:solidFill>
          <a:ln>
            <a:noFill/>
          </a:ln>
          <a:effectLst/>
          <a:sp3d/>
        </c:spPr>
      </c:pivotFmt>
      <c:pivotFmt>
        <c:idx val="9"/>
        <c:spPr>
          <a:solidFill>
            <a:srgbClr val="FF0000"/>
          </a:solidFill>
          <a:ln>
            <a:noFill/>
          </a:ln>
          <a:effectLst/>
          <a:sp3d/>
        </c:spPr>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92D050"/>
          </a:solidFill>
          <a:ln>
            <a:noFill/>
          </a:ln>
          <a:effectLst/>
          <a:sp3d/>
        </c:spPr>
      </c:pivotFmt>
      <c:pivotFmt>
        <c:idx val="12"/>
        <c:spPr>
          <a:solidFill>
            <a:srgbClr val="92D050"/>
          </a:solidFill>
          <a:ln>
            <a:noFill/>
          </a:ln>
          <a:effectLst/>
          <a:sp3d/>
        </c:spPr>
      </c:pivotFmt>
      <c:pivotFmt>
        <c:idx val="13"/>
        <c:spPr>
          <a:solidFill>
            <a:srgbClr val="FFC000"/>
          </a:solidFill>
          <a:ln>
            <a:noFill/>
          </a:ln>
          <a:effectLst/>
          <a:sp3d/>
        </c:spPr>
      </c:pivotFmt>
      <c:pivotFmt>
        <c:idx val="14"/>
        <c:spPr>
          <a:solidFill>
            <a:srgbClr val="FFC000"/>
          </a:solidFill>
          <a:ln>
            <a:noFill/>
          </a:ln>
          <a:effectLst/>
          <a:sp3d/>
        </c:spPr>
      </c:pivotFmt>
      <c:pivotFmt>
        <c:idx val="15"/>
        <c:spPr>
          <a:solidFill>
            <a:srgbClr val="FF0000"/>
          </a:solidFill>
          <a:ln>
            <a:noFill/>
          </a:ln>
          <a:effectLst/>
          <a:sp3d/>
        </c:spPr>
      </c:pivotFmt>
      <c:pivotFmt>
        <c:idx val="16"/>
        <c:spPr>
          <a:solidFill>
            <a:srgbClr val="FF0000"/>
          </a:solidFill>
          <a:ln>
            <a:noFill/>
          </a:ln>
          <a:effectLst/>
          <a:sp3d/>
        </c:spPr>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92D050"/>
          </a:solidFill>
          <a:ln>
            <a:noFill/>
          </a:ln>
          <a:effectLst/>
          <a:sp3d/>
        </c:spPr>
      </c:pivotFmt>
      <c:pivotFmt>
        <c:idx val="19"/>
        <c:spPr>
          <a:solidFill>
            <a:srgbClr val="92D050"/>
          </a:solidFill>
          <a:ln>
            <a:noFill/>
          </a:ln>
          <a:effectLst/>
          <a:sp3d/>
        </c:spPr>
      </c:pivotFmt>
      <c:pivotFmt>
        <c:idx val="20"/>
        <c:spPr>
          <a:solidFill>
            <a:srgbClr val="FFC000"/>
          </a:solidFill>
          <a:ln>
            <a:noFill/>
          </a:ln>
          <a:effectLst/>
          <a:sp3d/>
        </c:spPr>
      </c:pivotFmt>
      <c:pivotFmt>
        <c:idx val="21"/>
        <c:spPr>
          <a:solidFill>
            <a:srgbClr val="FFC000"/>
          </a:solidFill>
          <a:ln>
            <a:noFill/>
          </a:ln>
          <a:effectLst/>
          <a:sp3d/>
        </c:spPr>
      </c:pivotFmt>
      <c:pivotFmt>
        <c:idx val="22"/>
        <c:spPr>
          <a:solidFill>
            <a:srgbClr val="FF0000"/>
          </a:solidFill>
          <a:ln>
            <a:noFill/>
          </a:ln>
          <a:effectLst/>
          <a:sp3d/>
        </c:spPr>
      </c:pivotFmt>
      <c:pivotFmt>
        <c:idx val="23"/>
        <c:spPr>
          <a:solidFill>
            <a:srgbClr val="FF0000"/>
          </a:solidFill>
          <a:ln>
            <a:noFill/>
          </a:ln>
          <a:effectLst/>
          <a:sp3d/>
        </c:spPr>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92D050"/>
          </a:solidFill>
          <a:ln>
            <a:noFill/>
          </a:ln>
          <a:effectLst/>
          <a:sp3d/>
        </c:spPr>
      </c:pivotFmt>
      <c:pivotFmt>
        <c:idx val="26"/>
        <c:spPr>
          <a:solidFill>
            <a:srgbClr val="92D050"/>
          </a:solidFill>
          <a:ln>
            <a:noFill/>
          </a:ln>
          <a:effectLst/>
          <a:sp3d/>
        </c:spPr>
      </c:pivotFmt>
      <c:pivotFmt>
        <c:idx val="27"/>
        <c:spPr>
          <a:solidFill>
            <a:srgbClr val="FFC000"/>
          </a:solidFill>
          <a:ln>
            <a:noFill/>
          </a:ln>
          <a:effectLst/>
          <a:sp3d/>
        </c:spPr>
      </c:pivotFmt>
      <c:pivotFmt>
        <c:idx val="28"/>
        <c:spPr>
          <a:solidFill>
            <a:srgbClr val="FFC000"/>
          </a:solidFill>
          <a:ln>
            <a:noFill/>
          </a:ln>
          <a:effectLst/>
          <a:sp3d/>
        </c:spPr>
      </c:pivotFmt>
      <c:pivotFmt>
        <c:idx val="29"/>
        <c:spPr>
          <a:solidFill>
            <a:srgbClr val="FF0000"/>
          </a:solidFill>
          <a:ln>
            <a:noFill/>
          </a:ln>
          <a:effectLst/>
          <a:sp3d/>
        </c:spPr>
      </c:pivotFmt>
      <c:pivotFmt>
        <c:idx val="30"/>
        <c:spPr>
          <a:solidFill>
            <a:srgbClr val="FF0000"/>
          </a:solidFill>
          <a:ln>
            <a:noFill/>
          </a:ln>
          <a:effectLst/>
          <a:sp3d/>
        </c:spPr>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pivotFmt>
      <c:pivotFmt>
        <c:idx val="33"/>
        <c:spPr>
          <a:solidFill>
            <a:schemeClr val="accent2"/>
          </a:solidFill>
          <a:ln>
            <a:noFill/>
          </a:ln>
          <a:effectLst/>
          <a:sp3d/>
        </c:spPr>
      </c:pivotFmt>
      <c:pivotFmt>
        <c:idx val="34"/>
        <c:spPr>
          <a:solidFill>
            <a:schemeClr val="accent3"/>
          </a:solidFill>
          <a:ln>
            <a:noFill/>
          </a:ln>
          <a:effectLst/>
          <a:sp3d/>
        </c:spPr>
      </c:pivotFmt>
      <c:pivotFmt>
        <c:idx val="35"/>
        <c:spPr>
          <a:solidFill>
            <a:schemeClr val="accent4"/>
          </a:solidFill>
          <a:ln>
            <a:noFill/>
          </a:ln>
          <a:effectLst/>
          <a:sp3d/>
        </c:spPr>
      </c:pivotFmt>
      <c:pivotFmt>
        <c:idx val="36"/>
        <c:spPr>
          <a:solidFill>
            <a:schemeClr val="accent5"/>
          </a:solidFill>
          <a:ln>
            <a:noFill/>
          </a:ln>
          <a:effectLst/>
          <a:sp3d/>
        </c:spPr>
      </c:pivotFmt>
      <c:pivotFmt>
        <c:idx val="37"/>
        <c:spPr>
          <a:solidFill>
            <a:schemeClr val="accent6"/>
          </a:solidFill>
          <a:ln>
            <a:noFill/>
          </a:ln>
          <a:effectLst/>
          <a:sp3d/>
        </c:spPr>
      </c:pivotFmt>
      <c:pivotFmt>
        <c:idx val="3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pivotFmt>
      <c:pivotFmt>
        <c:idx val="40"/>
        <c:spPr>
          <a:solidFill>
            <a:schemeClr val="accent1"/>
          </a:solidFill>
          <a:ln>
            <a:noFill/>
          </a:ln>
          <a:effectLst/>
          <a:sp3d/>
        </c:spPr>
      </c:pivotFmt>
      <c:pivotFmt>
        <c:idx val="41"/>
        <c:spPr>
          <a:solidFill>
            <a:schemeClr val="accent1"/>
          </a:solidFill>
          <a:ln>
            <a:noFill/>
          </a:ln>
          <a:effectLst/>
          <a:sp3d/>
        </c:spPr>
      </c:pivotFmt>
      <c:pivotFmt>
        <c:idx val="42"/>
        <c:spPr>
          <a:solidFill>
            <a:schemeClr val="accent1"/>
          </a:solidFill>
          <a:ln>
            <a:noFill/>
          </a:ln>
          <a:effectLst/>
          <a:sp3d/>
        </c:spPr>
      </c:pivotFmt>
      <c:pivotFmt>
        <c:idx val="43"/>
        <c:spPr>
          <a:solidFill>
            <a:schemeClr val="accent1"/>
          </a:solidFill>
          <a:ln>
            <a:noFill/>
          </a:ln>
          <a:effectLst/>
          <a:sp3d/>
        </c:spPr>
      </c:pivotFmt>
      <c:pivotFmt>
        <c:idx val="44"/>
        <c:spPr>
          <a:solidFill>
            <a:schemeClr val="accent1"/>
          </a:solidFill>
          <a:ln>
            <a:noFill/>
          </a:ln>
          <a:effectLst/>
          <a:sp3d/>
        </c:spPr>
      </c:pivotFmt>
      <c:pivotFmt>
        <c:idx val="4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sp3d/>
        </c:spPr>
      </c:pivotFmt>
      <c:pivotFmt>
        <c:idx val="47"/>
        <c:spPr>
          <a:solidFill>
            <a:schemeClr val="accent1"/>
          </a:solidFill>
          <a:ln>
            <a:noFill/>
          </a:ln>
          <a:effectLst/>
          <a:sp3d/>
        </c:spPr>
      </c:pivotFmt>
      <c:pivotFmt>
        <c:idx val="48"/>
        <c:spPr>
          <a:solidFill>
            <a:schemeClr val="accent1"/>
          </a:solidFill>
          <a:ln>
            <a:noFill/>
          </a:ln>
          <a:effectLst/>
          <a:sp3d/>
        </c:spPr>
      </c:pivotFmt>
      <c:pivotFmt>
        <c:idx val="49"/>
        <c:spPr>
          <a:solidFill>
            <a:schemeClr val="accent1"/>
          </a:solidFill>
          <a:ln>
            <a:noFill/>
          </a:ln>
          <a:effectLst/>
          <a:sp3d/>
        </c:spPr>
      </c:pivotFmt>
      <c:pivotFmt>
        <c:idx val="50"/>
        <c:spPr>
          <a:solidFill>
            <a:schemeClr val="accent1"/>
          </a:solidFill>
          <a:ln>
            <a:noFill/>
          </a:ln>
          <a:effectLst/>
          <a:sp3d/>
        </c:spPr>
      </c:pivotFmt>
      <c:pivotFmt>
        <c:idx val="51"/>
        <c:spPr>
          <a:solidFill>
            <a:schemeClr val="accent1"/>
          </a:solidFill>
          <a:ln>
            <a:noFill/>
          </a:ln>
          <a:effectLst/>
          <a:sp3d/>
        </c:spPr>
      </c:pivotFmt>
      <c:pivotFmt>
        <c:idx val="52"/>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'Pre-treatment Risk Owners Pivot'!$D$6</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E607-4F38-B3F5-FDA4A35ACE1C}"/>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E607-4F38-B3F5-FDA4A35ACE1C}"/>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E607-4F38-B3F5-FDA4A35ACE1C}"/>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E607-4F38-B3F5-FDA4A35ACE1C}"/>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9-E607-4F38-B3F5-FDA4A35ACE1C}"/>
              </c:ext>
            </c:extLst>
          </c:dPt>
          <c:dPt>
            <c:idx val="5"/>
            <c:invertIfNegative val="0"/>
            <c:bubble3D val="0"/>
            <c:spPr>
              <a:solidFill>
                <a:schemeClr val="accent6"/>
              </a:solidFill>
              <a:ln>
                <a:noFill/>
              </a:ln>
              <a:effectLst/>
              <a:sp3d/>
            </c:spPr>
            <c:extLst>
              <c:ext xmlns:c16="http://schemas.microsoft.com/office/drawing/2014/chart" uri="{C3380CC4-5D6E-409C-BE32-E72D297353CC}">
                <c16:uniqueId val="{0000000B-E607-4F38-B3F5-FDA4A35ACE1C}"/>
              </c:ext>
            </c:extLst>
          </c:dPt>
          <c:cat>
            <c:multiLvlStrRef>
              <c:f>'Pre-treatment Risk Owners Pivot'!$B$7:$C$7</c:f>
              <c:multiLvlStrCache>
                <c:ptCount val="1"/>
                <c:lvl>
                  <c:pt idx="0">
                    <c:v>(blank)</c:v>
                  </c:pt>
                </c:lvl>
                <c:lvl>
                  <c:pt idx="0">
                    <c:v>Calculated</c:v>
                  </c:pt>
                </c:lvl>
              </c:multiLvlStrCache>
            </c:multiLvlStrRef>
          </c:cat>
          <c:val>
            <c:numRef>
              <c:f>'Pre-treatment Risk Owners Pivot'!$D$7</c:f>
              <c:numCache>
                <c:formatCode>General</c:formatCode>
                <c:ptCount val="1"/>
                <c:pt idx="0">
                  <c:v>20</c:v>
                </c:pt>
              </c:numCache>
            </c:numRef>
          </c:val>
          <c:extLst>
            <c:ext xmlns:c16="http://schemas.microsoft.com/office/drawing/2014/chart" uri="{C3380CC4-5D6E-409C-BE32-E72D297353CC}">
              <c16:uniqueId val="{0000000C-E607-4F38-B3F5-FDA4A35ACE1C}"/>
            </c:ext>
          </c:extLst>
        </c:ser>
        <c:dLbls>
          <c:showLegendKey val="0"/>
          <c:showVal val="0"/>
          <c:showCatName val="0"/>
          <c:showSerName val="0"/>
          <c:showPercent val="0"/>
          <c:showBubbleSize val="0"/>
        </c:dLbls>
        <c:gapWidth val="150"/>
        <c:shape val="box"/>
        <c:axId val="1063244000"/>
        <c:axId val="1063238752"/>
        <c:axId val="0"/>
      </c:bar3DChart>
      <c:catAx>
        <c:axId val="1063244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238752"/>
        <c:crosses val="autoZero"/>
        <c:auto val="1"/>
        <c:lblAlgn val="ctr"/>
        <c:lblOffset val="100"/>
        <c:noMultiLvlLbl val="0"/>
      </c:catAx>
      <c:valAx>
        <c:axId val="1063238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63244000"/>
        <c:crosses val="autoZero"/>
        <c:crossBetween val="between"/>
        <c:majorUnit val="2"/>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[BCMS-FORM-08-2 ROAT Tool.xlsx]Post-treatment Risks Pivot!Post-treatmentRisksPivot</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GB" sz="1400" b="0" i="0" baseline="0">
                <a:solidFill>
                  <a:schemeClr val="tx1"/>
                </a:solidFill>
                <a:effectLst/>
              </a:rPr>
              <a:t>Number of post-treatment risks</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25400">
            <a:solidFill>
              <a:schemeClr val="lt1"/>
            </a:solidFill>
          </a:ln>
          <a:effectLst/>
          <a:sp3d contourW="25400">
            <a:contourClr>
              <a:schemeClr val="lt1"/>
            </a:contourClr>
          </a:sp3d>
        </c:spPr>
      </c:pivotFmt>
      <c:pivotFmt>
        <c:idx val="2"/>
        <c:spPr>
          <a:solidFill>
            <a:srgbClr val="FFC000"/>
          </a:solidFill>
          <a:ln w="25400">
            <a:solidFill>
              <a:schemeClr val="lt1"/>
            </a:solidFill>
          </a:ln>
          <a:effectLst/>
          <a:sp3d contourW="25400">
            <a:contourClr>
              <a:schemeClr val="lt1"/>
            </a:contourClr>
          </a:sp3d>
        </c:spPr>
      </c:pivotFmt>
      <c:pivotFmt>
        <c:idx val="3"/>
        <c:spPr>
          <a:solidFill>
            <a:srgbClr val="FF0000"/>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w="25400">
            <a:solidFill>
              <a:schemeClr val="lt1"/>
            </a:solidFill>
          </a:ln>
          <a:effectLst/>
          <a:sp3d contourW="25400">
            <a:contourClr>
              <a:schemeClr val="lt1"/>
            </a:contourClr>
          </a:sp3d>
        </c:spPr>
      </c:pivotFmt>
      <c:pivotFmt>
        <c:idx val="6"/>
        <c:spPr>
          <a:solidFill>
            <a:srgbClr val="FFC000"/>
          </a:solidFill>
          <a:ln w="25400">
            <a:solidFill>
              <a:schemeClr val="lt1"/>
            </a:solidFill>
          </a:ln>
          <a:effectLst/>
          <a:sp3d contourW="25400">
            <a:contourClr>
              <a:schemeClr val="lt1"/>
            </a:contourClr>
          </a:sp3d>
        </c:spPr>
      </c:pivotFmt>
      <c:pivotFmt>
        <c:idx val="7"/>
        <c:spPr>
          <a:solidFill>
            <a:srgbClr val="FF0000"/>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25400">
            <a:solidFill>
              <a:schemeClr val="lt1"/>
            </a:solidFill>
          </a:ln>
          <a:effectLst/>
          <a:sp3d contourW="25400">
            <a:contourClr>
              <a:schemeClr val="lt1"/>
            </a:contourClr>
          </a:sp3d>
        </c:spPr>
      </c:pivotFmt>
      <c:pivotFmt>
        <c:idx val="10"/>
        <c:spPr>
          <a:solidFill>
            <a:srgbClr val="FFC000"/>
          </a:solidFill>
          <a:ln w="25400">
            <a:solidFill>
              <a:schemeClr val="lt1"/>
            </a:solidFill>
          </a:ln>
          <a:effectLst/>
          <a:sp3d contourW="25400">
            <a:contourClr>
              <a:schemeClr val="lt1"/>
            </a:contourClr>
          </a:sp3d>
        </c:spPr>
      </c:pivotFmt>
      <c:pivotFmt>
        <c:idx val="11"/>
        <c:spPr>
          <a:solidFill>
            <a:srgbClr val="FF000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'Post-treatment Risks Pivot'!$C$12</c:f>
              <c:strCache>
                <c:ptCount val="1"/>
                <c:pt idx="0">
                  <c:v>Total</c:v>
                </c:pt>
              </c:strCache>
            </c:strRef>
          </c:tx>
          <c:dPt>
            <c:idx val="0"/>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1-3FF1-43ED-84DD-A2B6AFE39608}"/>
              </c:ext>
            </c:extLst>
          </c:dPt>
          <c:dPt>
            <c:idx val="1"/>
            <c:bubble3D val="0"/>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3FF1-43ED-84DD-A2B6AFE39608}"/>
              </c:ext>
            </c:extLst>
          </c:dPt>
          <c:dPt>
            <c:idx val="2"/>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5-3FF1-43ED-84DD-A2B6AFE396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'Post-treatment Risks Pivot'!$B$13:$B$15</c:f>
              <c:strCache>
                <c:ptCount val="3"/>
                <c:pt idx="0">
                  <c:v> Low</c:v>
                </c:pt>
                <c:pt idx="1">
                  <c:v> Medium</c:v>
                </c:pt>
                <c:pt idx="2">
                  <c:v> High</c:v>
                </c:pt>
              </c:strCache>
            </c:strRef>
          </c:cat>
          <c:val>
            <c:numRef>
              <c:f>'Post-treatment Risks Pivot'!$C$13:$C$15</c:f>
              <c:numCache>
                <c:formatCode>General</c:formatCode>
                <c:ptCount val="3"/>
                <c:pt idx="0">
                  <c:v>0</c:v>
                </c:pt>
                <c:pt idx="1">
                  <c:v>0</c:v>
                </c:pt>
                <c:pt idx="2">
                  <c:v>0</c:v>
                </c:pt>
              </c:numCache>
            </c:numRef>
          </c:val>
          <c:extLst>
            <c:ext xmlns:c16="http://schemas.microsoft.com/office/drawing/2014/chart" uri="{C3380CC4-5D6E-409C-BE32-E72D297353CC}">
              <c16:uniqueId val="{00000006-3FF1-43ED-84DD-A2B6AFE39608}"/>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[BCMS-FORM-08-2 ROAT Tool.xlsx]Pre &amp; Post Risks By Level Pivot!Pre&amp;PostRisksByLevel</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baseline="0">
                <a:solidFill>
                  <a:schemeClr val="tx1"/>
                </a:solidFill>
                <a:effectLst/>
              </a:rPr>
              <a:t>Number of risks by risk level pre and post treatment</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'Pre &amp; Post Risks By Level Pivot'!$C$12</c:f>
              <c:strCache>
                <c:ptCount val="1"/>
                <c:pt idx="0">
                  <c:v>Pre-treatment </c:v>
                </c:pt>
              </c:strCache>
            </c:strRef>
          </c:tx>
          <c:spPr>
            <a:solidFill>
              <a:schemeClr val="bg2">
                <a:lumMod val="50000"/>
              </a:schemeClr>
            </a:solidFill>
            <a:ln>
              <a:noFill/>
            </a:ln>
            <a:effectLst/>
            <a:sp3d/>
          </c:spPr>
          <c:invertIfNegative val="0"/>
          <c:cat>
            <c:strRef>
              <c:f>'Pre &amp; Post Risks By Level Pivot'!$B$13:$B$15</c:f>
              <c:strCache>
                <c:ptCount val="3"/>
                <c:pt idx="0">
                  <c:v> Low</c:v>
                </c:pt>
                <c:pt idx="1">
                  <c:v> Medium</c:v>
                </c:pt>
                <c:pt idx="2">
                  <c:v> High</c:v>
                </c:pt>
              </c:strCache>
            </c:strRef>
          </c:cat>
          <c:val>
            <c:numRef>
              <c:f>'Pre &amp; Post Risks By Level Pivot'!$C$13:$C$15</c:f>
              <c:numCache>
                <c:formatCode>General</c:formatCode>
                <c:ptCount val="3"/>
                <c:pt idx="0">
                  <c:v>0</c:v>
                </c:pt>
                <c:pt idx="1">
                  <c:v>0</c:v>
                </c:pt>
                <c:pt idx="2">
                  <c:v>0</c:v>
                </c:pt>
              </c:numCache>
            </c:numRef>
          </c:val>
          <c:extLst>
            <c:ext xmlns:c16="http://schemas.microsoft.com/office/drawing/2014/chart" uri="{C3380CC4-5D6E-409C-BE32-E72D297353CC}">
              <c16:uniqueId val="{00000000-6709-4C55-8CA5-9D11F7B50BC0}"/>
            </c:ext>
          </c:extLst>
        </c:ser>
        <c:ser>
          <c:idx val="1"/>
          <c:order val="1"/>
          <c:tx>
            <c:strRef>
              <c:f>'Pre &amp; Post Risks By Level Pivot'!$D$12</c:f>
              <c:strCache>
                <c:ptCount val="1"/>
                <c:pt idx="0">
                  <c:v>Post-treatment </c:v>
                </c:pt>
              </c:strCache>
            </c:strRef>
          </c:tx>
          <c:spPr>
            <a:solidFill>
              <a:schemeClr val="bg2">
                <a:lumMod val="90000"/>
              </a:schemeClr>
            </a:solidFill>
            <a:ln>
              <a:noFill/>
            </a:ln>
            <a:effectLst/>
            <a:sp3d/>
          </c:spPr>
          <c:invertIfNegative val="0"/>
          <c:cat>
            <c:strRef>
              <c:f>'Pre &amp; Post Risks By Level Pivot'!$B$13:$B$15</c:f>
              <c:strCache>
                <c:ptCount val="3"/>
                <c:pt idx="0">
                  <c:v> Low</c:v>
                </c:pt>
                <c:pt idx="1">
                  <c:v> Medium</c:v>
                </c:pt>
                <c:pt idx="2">
                  <c:v> High</c:v>
                </c:pt>
              </c:strCache>
            </c:strRef>
          </c:cat>
          <c:val>
            <c:numRef>
              <c:f>'Pre &amp; Post Risks By Level Pivot'!$D$13:$D$15</c:f>
              <c:numCache>
                <c:formatCode>General</c:formatCode>
                <c:ptCount val="3"/>
                <c:pt idx="0">
                  <c:v>0</c:v>
                </c:pt>
                <c:pt idx="1">
                  <c:v>0</c:v>
                </c:pt>
                <c:pt idx="2">
                  <c:v>0</c:v>
                </c:pt>
              </c:numCache>
            </c:numRef>
          </c:val>
          <c:extLst>
            <c:ext xmlns:c16="http://schemas.microsoft.com/office/drawing/2014/chart" uri="{C3380CC4-5D6E-409C-BE32-E72D297353CC}">
              <c16:uniqueId val="{00000001-6709-4C55-8CA5-9D11F7B50BC0}"/>
            </c:ext>
          </c:extLst>
        </c:ser>
        <c:dLbls>
          <c:showLegendKey val="0"/>
          <c:showVal val="0"/>
          <c:showCatName val="0"/>
          <c:showSerName val="0"/>
          <c:showPercent val="0"/>
          <c:showBubbleSize val="0"/>
        </c:dLbls>
        <c:gapWidth val="150"/>
        <c:shape val="box"/>
        <c:axId val="891807176"/>
        <c:axId val="891808816"/>
        <c:axId val="0"/>
      </c:bar3DChart>
      <c:catAx>
        <c:axId val="891807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91808816"/>
        <c:crosses val="autoZero"/>
        <c:auto val="1"/>
        <c:lblAlgn val="ctr"/>
        <c:lblOffset val="100"/>
        <c:noMultiLvlLbl val="0"/>
      </c:catAx>
      <c:valAx>
        <c:axId val="891808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91807176"/>
        <c:crosses val="autoZero"/>
        <c:crossBetween val="between"/>
        <c:majorUnit val="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[BCMS-FORM-08-2 ROAT Tool.xlsx]Treatment option chosen Pivot!TreatmentChosen</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GB" sz="1400" b="0" i="0" baseline="0">
                <a:solidFill>
                  <a:schemeClr val="tx1"/>
                </a:solidFill>
                <a:effectLst/>
              </a:rPr>
              <a:t>Risks by treatment option chosen</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w="25400">
            <a:solidFill>
              <a:schemeClr val="lt1"/>
            </a:solidFill>
          </a:ln>
          <a:effectLst/>
          <a:sp3d contourW="25400">
            <a:contourClr>
              <a:schemeClr val="lt1"/>
            </a:contourClr>
          </a:sp3d>
        </c:spPr>
      </c:pivotFmt>
      <c:pivotFmt>
        <c:idx val="2"/>
        <c:spPr>
          <a:solidFill>
            <a:schemeClr val="bg2">
              <a:lumMod val="75000"/>
            </a:schemeClr>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75000"/>
            </a:schemeClr>
          </a:solidFill>
          <a:ln w="25400">
            <a:solidFill>
              <a:schemeClr val="lt1"/>
            </a:solidFill>
          </a:ln>
          <a:effectLst/>
          <a:sp3d contourW="25400">
            <a:contourClr>
              <a:schemeClr val="lt1"/>
            </a:contourClr>
          </a:sp3d>
        </c:spPr>
      </c:pivotFmt>
      <c:pivotFmt>
        <c:idx val="5"/>
        <c:spPr>
          <a:solidFill>
            <a:schemeClr val="bg2">
              <a:lumMod val="50000"/>
            </a:schemeClr>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75000"/>
            </a:schemeClr>
          </a:solidFill>
          <a:ln w="25400">
            <a:solidFill>
              <a:schemeClr val="lt1"/>
            </a:solidFill>
          </a:ln>
          <a:effectLst/>
          <a:sp3d contourW="25400">
            <a:contourClr>
              <a:schemeClr val="lt1"/>
            </a:contourClr>
          </a:sp3d>
        </c:spPr>
      </c:pivotFmt>
      <c:pivotFmt>
        <c:idx val="8"/>
        <c:spPr>
          <a:solidFill>
            <a:schemeClr val="bg2">
              <a:lumMod val="50000"/>
            </a:schemeClr>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75000"/>
            </a:schemeClr>
          </a:solidFill>
          <a:ln w="25400">
            <a:solidFill>
              <a:schemeClr val="lt1"/>
            </a:solidFill>
          </a:ln>
          <a:effectLst/>
          <a:sp3d contourW="25400">
            <a:contourClr>
              <a:schemeClr val="lt1"/>
            </a:contourClr>
          </a:sp3d>
        </c:spPr>
      </c:pivotFmt>
      <c:pivotFmt>
        <c:idx val="11"/>
        <c:spPr>
          <a:solidFill>
            <a:schemeClr val="bg2">
              <a:lumMod val="50000"/>
            </a:schemeClr>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2"/>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'Treatment option chosen Pivot'!$C$7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05C-456A-96FF-ABEDD9348E6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05C-456A-96FF-ABEDD9348E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'Treatment option chosen Pivot'!$B$8</c:f>
              <c:strCache>
                <c:ptCount val="1"/>
                <c:pt idx="0">
                  <c:v>Select…</c:v>
                </c:pt>
              </c:strCache>
            </c:strRef>
          </c:cat>
          <c:val>
            <c:numRef>
              <c:f>'Treatment option chosen Pivot'!$C$8</c:f>
              <c:numCache>
                <c:formatCode>General</c:formatCode>
                <c:ptCount val="1"/>
              </c:numCache>
            </c:numRef>
          </c:val>
          <c:extLst>
            <c:ext xmlns:c16="http://schemas.microsoft.com/office/drawing/2014/chart" uri="{C3380CC4-5D6E-409C-BE32-E72D297353CC}">
              <c16:uniqueId val="{00000004-F05C-456A-96FF-ABEDD9348E6F}"/>
            </c:ext>
          </c:extLst>
        </c:ser>
        <c:dLbls>
          <c:dLblPos val="outEnd"/>
          <c:showLegendKey val="0"/>
          <c:showVal val="1"/>
          <c:showCatName val="0"/>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[BCMS-FORM-08-2 ROAT Tool.xlsx]Total treatment costs Pivot!TreatmentCosts</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US" sz="1400" b="0" i="0" baseline="0">
                <a:solidFill>
                  <a:schemeClr val="tx1"/>
                </a:solidFill>
                <a:effectLst/>
              </a:rPr>
              <a:t>Total treatment cost by risk level</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a:sp3d/>
        </c:spPr>
      </c:pivotFmt>
      <c:pivotFmt>
        <c:idx val="2"/>
        <c:spPr>
          <a:solidFill>
            <a:srgbClr val="FFC000"/>
          </a:solidFill>
          <a:ln>
            <a:noFill/>
          </a:ln>
          <a:effectLst/>
          <a:sp3d/>
        </c:spPr>
      </c:pivotFmt>
      <c:pivotFmt>
        <c:idx val="3"/>
        <c:spPr>
          <a:solidFill>
            <a:srgbClr val="FF0000"/>
          </a:solidFill>
          <a:ln>
            <a:noFill/>
          </a:ln>
          <a:effectLst/>
          <a:sp3d/>
        </c:spPr>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a:sp3d/>
        </c:spPr>
      </c:pivotFmt>
      <c:pivotFmt>
        <c:idx val="6"/>
        <c:spPr>
          <a:solidFill>
            <a:srgbClr val="FFC000"/>
          </a:solidFill>
          <a:ln>
            <a:noFill/>
          </a:ln>
          <a:effectLst/>
          <a:sp3d/>
        </c:spPr>
      </c:pivotFmt>
      <c:pivotFmt>
        <c:idx val="7"/>
        <c:spPr>
          <a:solidFill>
            <a:srgbClr val="FF0000"/>
          </a:solidFill>
          <a:ln>
            <a:noFill/>
          </a:ln>
          <a:effectLst/>
          <a:sp3d/>
        </c:spPr>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92D050"/>
          </a:solidFill>
          <a:ln>
            <a:noFill/>
          </a:ln>
          <a:effectLst/>
          <a:sp3d/>
        </c:spPr>
      </c:pivotFmt>
      <c:pivotFmt>
        <c:idx val="10"/>
        <c:spPr>
          <a:solidFill>
            <a:srgbClr val="FFC000"/>
          </a:solidFill>
          <a:ln>
            <a:noFill/>
          </a:ln>
          <a:effectLst/>
          <a:sp3d/>
        </c:spPr>
      </c:pivotFmt>
      <c:pivotFmt>
        <c:idx val="11"/>
        <c:spPr>
          <a:solidFill>
            <a:srgbClr val="FF000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'Total treatment costs Pivot'!$C$7</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1-B583-49EB-98EA-49EAB5EE90BF}"/>
              </c:ext>
            </c:extLst>
          </c:dPt>
          <c:dPt>
            <c:idx val="1"/>
            <c:invertIfNegative val="0"/>
            <c:bubble3D val="0"/>
            <c:extLst>
              <c:ext xmlns:c16="http://schemas.microsoft.com/office/drawing/2014/chart" uri="{C3380CC4-5D6E-409C-BE32-E72D297353CC}">
                <c16:uniqueId val="{00000003-B583-49EB-98EA-49EAB5EE90BF}"/>
              </c:ext>
            </c:extLst>
          </c:dPt>
          <c:dPt>
            <c:idx val="2"/>
            <c:invertIfNegative val="0"/>
            <c:bubble3D val="0"/>
            <c:extLst>
              <c:ext xmlns:c16="http://schemas.microsoft.com/office/drawing/2014/chart" uri="{C3380CC4-5D6E-409C-BE32-E72D297353CC}">
                <c16:uniqueId val="{00000005-B583-49EB-98EA-49EAB5EE90BF}"/>
              </c:ext>
            </c:extLst>
          </c:dPt>
          <c:cat>
            <c:strRef>
              <c:f>'Total treatment costs Pivot'!$B$8</c:f>
              <c:strCache>
                <c:ptCount val="1"/>
                <c:pt idx="0">
                  <c:v>Calculated</c:v>
                </c:pt>
              </c:strCache>
            </c:strRef>
          </c:cat>
          <c:val>
            <c:numRef>
              <c:f>'Total treatment costs Pivot'!$C$8</c:f>
              <c:numCache>
                <c:formatCode>#,##0</c:formatCode>
                <c:ptCount val="1"/>
                <c:pt idx="0">
                  <c:v>0</c:v>
                </c:pt>
              </c:numCache>
            </c:numRef>
          </c:val>
          <c:extLst>
            <c:ext xmlns:c16="http://schemas.microsoft.com/office/drawing/2014/chart" uri="{C3380CC4-5D6E-409C-BE32-E72D297353CC}">
              <c16:uniqueId val="{00000006-B583-49EB-98EA-49EAB5EE90BF}"/>
            </c:ext>
          </c:extLst>
        </c:ser>
        <c:dLbls>
          <c:showLegendKey val="0"/>
          <c:showVal val="0"/>
          <c:showCatName val="0"/>
          <c:showSerName val="0"/>
          <c:showPercent val="0"/>
          <c:showBubbleSize val="0"/>
        </c:dLbls>
        <c:gapWidth val="150"/>
        <c:shape val="box"/>
        <c:axId val="786893784"/>
        <c:axId val="786891160"/>
        <c:axId val="0"/>
      </c:bar3DChart>
      <c:catAx>
        <c:axId val="786893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6891160"/>
        <c:crosses val="autoZero"/>
        <c:auto val="1"/>
        <c:lblAlgn val="ctr"/>
        <c:lblOffset val="100"/>
        <c:noMultiLvlLbl val="0"/>
      </c:catAx>
      <c:valAx>
        <c:axId val="7868911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6893784"/>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[BCMS-FORM-08-2 ROAT Tool.xlsx]Treatment Action Owner!TreatmentActionOwner</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baseline="0">
                <a:solidFill>
                  <a:schemeClr val="tx1"/>
                </a:solidFill>
                <a:effectLst/>
              </a:rPr>
              <a:t>Treatment action owner </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'Treatment Action Owner'!$C$6:$C$7</c:f>
              <c:strCache>
                <c:ptCount val="1"/>
                <c:pt idx="0">
                  <c:v>Calculated</c:v>
                </c:pt>
              </c:strCache>
            </c:strRef>
          </c:tx>
          <c:spPr>
            <a:solidFill>
              <a:schemeClr val="accent1"/>
            </a:solidFill>
            <a:ln>
              <a:noFill/>
            </a:ln>
            <a:effectLst/>
            <a:sp3d/>
          </c:spPr>
          <c:invertIfNegative val="0"/>
          <c:cat>
            <c:strRef>
              <c:f>'Treatment Action Owner'!$B$8</c:f>
              <c:strCache>
                <c:ptCount val="1"/>
                <c:pt idx="0">
                  <c:v>(blank)</c:v>
                </c:pt>
              </c:strCache>
            </c:strRef>
          </c:cat>
          <c:val>
            <c:numRef>
              <c:f>'Treatment Action Owner'!$C$8</c:f>
              <c:numCache>
                <c:formatCode>General</c:formatCode>
                <c:ptCount val="1"/>
              </c:numCache>
            </c:numRef>
          </c:val>
          <c:extLst>
            <c:ext xmlns:c16="http://schemas.microsoft.com/office/drawing/2014/chart" uri="{C3380CC4-5D6E-409C-BE32-E72D297353CC}">
              <c16:uniqueId val="{00000000-C0B0-46C0-9F4A-6003A0618277}"/>
            </c:ext>
          </c:extLst>
        </c:ser>
        <c:dLbls>
          <c:showLegendKey val="0"/>
          <c:showVal val="0"/>
          <c:showCatName val="0"/>
          <c:showSerName val="0"/>
          <c:showPercent val="0"/>
          <c:showBubbleSize val="0"/>
        </c:dLbls>
        <c:gapWidth val="150"/>
        <c:shape val="box"/>
        <c:axId val="779601376"/>
        <c:axId val="779598096"/>
        <c:axId val="0"/>
      </c:bar3DChart>
      <c:catAx>
        <c:axId val="779601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79598096"/>
        <c:crosses val="autoZero"/>
        <c:auto val="1"/>
        <c:lblAlgn val="ctr"/>
        <c:lblOffset val="100"/>
        <c:noMultiLvlLbl val="0"/>
      </c:catAx>
      <c:valAx>
        <c:axId val="779598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79601376"/>
        <c:crosses val="autoZero"/>
        <c:crossBetween val="between"/>
        <c:majorUnit val="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[BCMS-FORM-08-2 ROAT Tool.xlsx]Opps By Level!OppsByLevel</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Opportunities by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w="25400">
            <a:solidFill>
              <a:schemeClr val="lt1"/>
            </a:solidFill>
          </a:ln>
          <a:effectLst/>
          <a:sp3d contourW="25400">
            <a:contourClr>
              <a:schemeClr val="lt1"/>
            </a:contourClr>
          </a:sp3d>
        </c:spPr>
      </c:pivotFmt>
      <c:pivotFmt>
        <c:idx val="2"/>
        <c:spPr>
          <a:solidFill>
            <a:srgbClr val="FF0000"/>
          </a:solidFill>
          <a:ln w="25400">
            <a:solidFill>
              <a:schemeClr val="lt1"/>
            </a:solidFill>
          </a:ln>
          <a:effectLst/>
          <a:sp3d contourW="25400">
            <a:contourClr>
              <a:schemeClr val="lt1"/>
            </a:contourClr>
          </a:sp3d>
        </c:spPr>
      </c:pivotFmt>
      <c:pivotFmt>
        <c:idx val="3"/>
        <c:spPr>
          <a:solidFill>
            <a:srgbClr val="92D050"/>
          </a:solidFill>
          <a:ln w="25400">
            <a:solidFill>
              <a:schemeClr val="lt1"/>
            </a:solidFill>
          </a:ln>
          <a:effectLst/>
          <a:sp3d contourW="25400">
            <a:contourClr>
              <a:schemeClr val="lt1"/>
            </a:contourClr>
          </a:sp3d>
        </c:spPr>
      </c:pivotFmt>
      <c:pivotFmt>
        <c:idx val="4"/>
        <c:spPr>
          <a:solidFill>
            <a:srgbClr val="92D050"/>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w="25400">
            <a:solidFill>
              <a:schemeClr val="lt1"/>
            </a:solidFill>
          </a:ln>
          <a:effectLst/>
          <a:sp3d contourW="25400">
            <a:contourClr>
              <a:schemeClr val="lt1"/>
            </a:contourClr>
          </a:sp3d>
        </c:spPr>
      </c:pivotFmt>
      <c:pivotFmt>
        <c:idx val="7"/>
        <c:spPr>
          <a:solidFill>
            <a:srgbClr val="FF0000"/>
          </a:solidFill>
          <a:ln w="25400">
            <a:solidFill>
              <a:schemeClr val="lt1"/>
            </a:solidFill>
          </a:ln>
          <a:effectLst/>
          <a:sp3d contourW="25400">
            <a:contourClr>
              <a:schemeClr val="lt1"/>
            </a:contourClr>
          </a:sp3d>
        </c:spPr>
      </c:pivotFmt>
      <c:pivotFmt>
        <c:idx val="8"/>
        <c:spPr>
          <a:solidFill>
            <a:srgbClr val="92D050"/>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w="25400">
            <a:solidFill>
              <a:schemeClr val="lt1"/>
            </a:solidFill>
          </a:ln>
          <a:effectLst/>
          <a:sp3d contourW="25400">
            <a:contourClr>
              <a:schemeClr val="lt1"/>
            </a:contourClr>
          </a:sp3d>
        </c:spPr>
      </c:pivotFmt>
      <c:pivotFmt>
        <c:idx val="11"/>
        <c:spPr>
          <a:solidFill>
            <a:srgbClr val="FF0000"/>
          </a:solidFill>
          <a:ln w="25400">
            <a:solidFill>
              <a:schemeClr val="lt1"/>
            </a:solidFill>
          </a:ln>
          <a:effectLst/>
          <a:sp3d contourW="25400">
            <a:contourClr>
              <a:schemeClr val="lt1"/>
            </a:contourClr>
          </a:sp3d>
        </c:spPr>
      </c:pivotFmt>
      <c:pivotFmt>
        <c:idx val="12"/>
        <c:spPr>
          <a:solidFill>
            <a:srgbClr val="92D050"/>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'Opps By Level'!$C$6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C5F-4693-8087-503A97ABBC9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C5F-4693-8087-503A97ABBC9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C5F-4693-8087-503A97ABBC9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'Opps By Level'!$B$7</c:f>
              <c:strCache>
                <c:ptCount val="1"/>
                <c:pt idx="0">
                  <c:v>Calculated</c:v>
                </c:pt>
              </c:strCache>
            </c:strRef>
          </c:cat>
          <c:val>
            <c:numRef>
              <c:f>'Opps By Level'!$C$7</c:f>
              <c:numCache>
                <c:formatCode>General</c:formatCode>
                <c:ptCount val="1"/>
                <c:pt idx="0">
                  <c:v>20</c:v>
                </c:pt>
              </c:numCache>
            </c:numRef>
          </c:val>
          <c:extLst>
            <c:ext xmlns:c16="http://schemas.microsoft.com/office/drawing/2014/chart" uri="{C3380CC4-5D6E-409C-BE32-E72D297353CC}">
              <c16:uniqueId val="{00000006-9C5F-4693-8087-503A97ABBC98}"/>
            </c:ext>
          </c:extLst>
        </c:ser>
        <c:dLbls>
          <c:showLegendKey val="0"/>
          <c:showVal val="0"/>
          <c:showCatName val="0"/>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[BCMS-FORM-08-2 ROAT Tool.xlsx]Opps By Level &amp; Type!PivotTable7</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US" sz="1400" b="0" i="0" baseline="0">
                <a:solidFill>
                  <a:schemeClr val="tx1"/>
                </a:solidFill>
                <a:effectLst/>
              </a:rPr>
              <a:t>Opportunities by level and type</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sp3d/>
        </c:spPr>
      </c:pivotFmt>
      <c:pivotFmt>
        <c:idx val="2"/>
        <c:spPr>
          <a:solidFill>
            <a:srgbClr val="92D050"/>
          </a:solidFill>
          <a:ln>
            <a:noFill/>
          </a:ln>
          <a:effectLst/>
          <a:sp3d/>
        </c:spPr>
      </c:pivotFmt>
      <c:pivotFmt>
        <c:idx val="3"/>
        <c:spPr>
          <a:solidFill>
            <a:srgbClr val="92D050"/>
          </a:solidFill>
          <a:ln>
            <a:noFill/>
          </a:ln>
          <a:effectLst/>
          <a:sp3d/>
        </c:spPr>
      </c:pivotFmt>
      <c:pivotFmt>
        <c:idx val="4"/>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a:sp3d/>
        </c:spPr>
      </c:pivotFmt>
      <c:pivotFmt>
        <c:idx val="6"/>
        <c:spPr>
          <a:solidFill>
            <a:srgbClr val="92D050"/>
          </a:solidFill>
          <a:ln>
            <a:noFill/>
          </a:ln>
          <a:effectLst/>
          <a:sp3d/>
        </c:spPr>
      </c:pivotFmt>
      <c:pivotFmt>
        <c:idx val="7"/>
        <c:spPr>
          <a:solidFill>
            <a:srgbClr val="FF0000"/>
          </a:solidFill>
          <a:ln>
            <a:noFill/>
          </a:ln>
          <a:effectLst/>
          <a:sp3d/>
        </c:spPr>
      </c:pivotFmt>
      <c:pivotFmt>
        <c:idx val="8"/>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92D050"/>
          </a:solidFill>
          <a:ln>
            <a:noFill/>
          </a:ln>
          <a:effectLst/>
          <a:sp3d/>
        </c:spPr>
      </c:pivotFmt>
      <c:pivotFmt>
        <c:idx val="10"/>
        <c:spPr>
          <a:solidFill>
            <a:srgbClr val="92D050"/>
          </a:solidFill>
          <a:ln>
            <a:noFill/>
          </a:ln>
          <a:effectLst/>
          <a:sp3d/>
        </c:spPr>
      </c:pivotFmt>
      <c:pivotFmt>
        <c:idx val="11"/>
        <c:spPr>
          <a:solidFill>
            <a:srgbClr val="FF0000"/>
          </a:solidFill>
          <a:ln>
            <a:noFill/>
          </a:ln>
          <a:effectLst/>
          <a:sp3d/>
        </c:spPr>
      </c:pivotFmt>
      <c:pivotFmt>
        <c:idx val="12"/>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92D050"/>
          </a:solidFill>
          <a:ln>
            <a:noFill/>
          </a:ln>
          <a:effectLst/>
          <a:sp3d/>
        </c:spPr>
      </c:pivotFmt>
      <c:pivotFmt>
        <c:idx val="14"/>
        <c:spPr>
          <a:solidFill>
            <a:srgbClr val="92D050"/>
          </a:solidFill>
          <a:ln>
            <a:noFill/>
          </a:ln>
          <a:effectLst/>
          <a:sp3d/>
        </c:spPr>
      </c:pivotFmt>
      <c:pivotFmt>
        <c:idx val="15"/>
        <c:spPr>
          <a:solidFill>
            <a:srgbClr val="FF0000"/>
          </a:solidFill>
          <a:ln>
            <a:noFill/>
          </a:ln>
          <a:effectLst/>
          <a:sp3d/>
        </c:spPr>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92D050"/>
          </a:solidFill>
          <a:ln>
            <a:noFill/>
          </a:ln>
          <a:effectLst/>
          <a:sp3d/>
        </c:spPr>
      </c:pivotFmt>
      <c:pivotFmt>
        <c:idx val="18"/>
        <c:spPr>
          <a:solidFill>
            <a:srgbClr val="92D050"/>
          </a:solidFill>
          <a:ln>
            <a:noFill/>
          </a:ln>
          <a:effectLst/>
          <a:sp3d/>
        </c:spPr>
      </c:pivotFmt>
      <c:pivotFmt>
        <c:idx val="19"/>
        <c:spPr>
          <a:solidFill>
            <a:schemeClr val="accent3"/>
          </a:solidFill>
          <a:ln>
            <a:noFill/>
          </a:ln>
          <a:effectLst/>
          <a:sp3d/>
        </c:spPr>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pivotFmt>
      <c:pivotFmt>
        <c:idx val="22"/>
        <c:spPr>
          <a:solidFill>
            <a:schemeClr val="accent1"/>
          </a:solidFill>
          <a:ln>
            <a:noFill/>
          </a:ln>
          <a:effectLst/>
          <a:sp3d/>
        </c:spPr>
      </c:pivotFmt>
      <c:pivotFmt>
        <c:idx val="23"/>
        <c:spPr>
          <a:solidFill>
            <a:schemeClr val="accent1"/>
          </a:solidFill>
          <a:ln>
            <a:noFill/>
          </a:ln>
          <a:effectLst/>
          <a:sp3d/>
        </c:spPr>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pivotFmt>
      <c:pivotFmt>
        <c:idx val="26"/>
        <c:spPr>
          <a:solidFill>
            <a:schemeClr val="accent1"/>
          </a:solidFill>
          <a:ln>
            <a:noFill/>
          </a:ln>
          <a:effectLst/>
          <a:sp3d/>
        </c:spPr>
      </c:pivotFmt>
      <c:pivotFmt>
        <c:idx val="27"/>
        <c:spPr>
          <a:solidFill>
            <a:schemeClr val="accent1"/>
          </a:solidFill>
          <a:ln>
            <a:noFill/>
          </a:ln>
          <a:effectLst/>
          <a:sp3d/>
        </c:spPr>
      </c:pivotFmt>
      <c:pivotFmt>
        <c:idx val="28"/>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'Opps By Level &amp; Type'!$D$6</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4504-49EC-B8FC-12353ED22DB0}"/>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4504-49EC-B8FC-12353ED22DB0}"/>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4504-49EC-B8FC-12353ED22DB0}"/>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4504-49EC-B8FC-12353ED22DB0}"/>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9-4504-49EC-B8FC-12353ED22DB0}"/>
              </c:ext>
            </c:extLst>
          </c:dPt>
          <c:cat>
            <c:multiLvlStrRef>
              <c:f>'Opps By Level &amp; Type'!$B$7:$C$7</c:f>
              <c:multiLvlStrCache>
                <c:ptCount val="1"/>
                <c:lvl>
                  <c:pt idx="0">
                    <c:v>Calculated</c:v>
                  </c:pt>
                </c:lvl>
                <c:lvl>
                  <c:pt idx="0">
                    <c:v>(blank)</c:v>
                  </c:pt>
                </c:lvl>
              </c:multiLvlStrCache>
            </c:multiLvlStrRef>
          </c:cat>
          <c:val>
            <c:numRef>
              <c:f>'Opps By Level &amp; Type'!$D$7</c:f>
              <c:numCache>
                <c:formatCode>General</c:formatCode>
                <c:ptCount val="1"/>
                <c:pt idx="0">
                  <c:v>20</c:v>
                </c:pt>
              </c:numCache>
            </c:numRef>
          </c:val>
          <c:extLst>
            <c:ext xmlns:c16="http://schemas.microsoft.com/office/drawing/2014/chart" uri="{C3380CC4-5D6E-409C-BE32-E72D297353CC}">
              <c16:uniqueId val="{0000000A-4504-49EC-B8FC-12353ED22DB0}"/>
            </c:ext>
          </c:extLst>
        </c:ser>
        <c:dLbls>
          <c:showLegendKey val="0"/>
          <c:showVal val="0"/>
          <c:showCatName val="0"/>
          <c:showSerName val="0"/>
          <c:showPercent val="0"/>
          <c:showBubbleSize val="0"/>
        </c:dLbls>
        <c:gapWidth val="150"/>
        <c:shape val="box"/>
        <c:axId val="1164330144"/>
        <c:axId val="1164342280"/>
        <c:axId val="0"/>
      </c:bar3DChart>
      <c:catAx>
        <c:axId val="1164330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342280"/>
        <c:crosses val="autoZero"/>
        <c:auto val="1"/>
        <c:lblAlgn val="ctr"/>
        <c:lblOffset val="100"/>
        <c:noMultiLvlLbl val="0"/>
      </c:catAx>
      <c:valAx>
        <c:axId val="1164342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330144"/>
        <c:crosses val="autoZero"/>
        <c:crossBetween val="between"/>
        <c:majorUnit val="2"/>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[BCMS-FORM-08-2 ROAT Tool.xlsx]Opp Levels By Opp Owner!OppLevelsbyOppOwner</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baseline="0">
                <a:solidFill>
                  <a:schemeClr val="tx1"/>
                </a:solidFill>
                <a:effectLst/>
              </a:rPr>
              <a:t>Opportunity levels by opportunity owner</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pivotFmt>
      <c:pivotFmt>
        <c:idx val="24"/>
        <c:spPr>
          <a:solidFill>
            <a:schemeClr val="accent1"/>
          </a:solidFill>
          <a:ln>
            <a:noFill/>
          </a:ln>
          <a:effectLst/>
          <a:sp3d/>
        </c:spPr>
      </c:pivotFmt>
      <c:pivotFmt>
        <c:idx val="25"/>
        <c:spPr>
          <a:solidFill>
            <a:schemeClr val="accent1"/>
          </a:solidFill>
          <a:ln>
            <a:noFill/>
          </a:ln>
          <a:effectLst/>
          <a:sp3d/>
        </c:spPr>
      </c:pivotFmt>
      <c:pivotFmt>
        <c:idx val="26"/>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'Opp Levels By Opp Owner'!$D$6</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F8E8-4D7C-B175-0D41F34B2FA0}"/>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F8E8-4D7C-B175-0D41F34B2FA0}"/>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F8E8-4D7C-B175-0D41F34B2FA0}"/>
              </c:ext>
            </c:extLst>
          </c:dPt>
          <c:cat>
            <c:multiLvlStrRef>
              <c:f>'Opp Levels By Opp Owner'!$B$7:$C$7</c:f>
              <c:multiLvlStrCache>
                <c:ptCount val="1"/>
                <c:lvl>
                  <c:pt idx="0">
                    <c:v>Calculated</c:v>
                  </c:pt>
                </c:lvl>
                <c:lvl>
                  <c:pt idx="0">
                    <c:v>(blank)</c:v>
                  </c:pt>
                </c:lvl>
              </c:multiLvlStrCache>
            </c:multiLvlStrRef>
          </c:cat>
          <c:val>
            <c:numRef>
              <c:f>'Opp Levels By Opp Owner'!$D$7</c:f>
              <c:numCache>
                <c:formatCode>General</c:formatCode>
                <c:ptCount val="1"/>
                <c:pt idx="0">
                  <c:v>20</c:v>
                </c:pt>
              </c:numCache>
            </c:numRef>
          </c:val>
          <c:extLst>
            <c:ext xmlns:c16="http://schemas.microsoft.com/office/drawing/2014/chart" uri="{C3380CC4-5D6E-409C-BE32-E72D297353CC}">
              <c16:uniqueId val="{00000006-F8E8-4D7C-B175-0D41F34B2FA0}"/>
            </c:ext>
          </c:extLst>
        </c:ser>
        <c:dLbls>
          <c:showLegendKey val="0"/>
          <c:showVal val="0"/>
          <c:showCatName val="0"/>
          <c:showSerName val="0"/>
          <c:showPercent val="0"/>
          <c:showBubbleSize val="0"/>
        </c:dLbls>
        <c:gapWidth val="150"/>
        <c:shape val="box"/>
        <c:axId val="951352552"/>
        <c:axId val="951351568"/>
        <c:axId val="0"/>
      </c:bar3DChart>
      <c:catAx>
        <c:axId val="951352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351568"/>
        <c:crosses val="autoZero"/>
        <c:auto val="1"/>
        <c:lblAlgn val="ctr"/>
        <c:lblOffset val="100"/>
        <c:noMultiLvlLbl val="0"/>
      </c:catAx>
      <c:valAx>
        <c:axId val="951351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51352552"/>
        <c:crosses val="autoZero"/>
        <c:crossBetween val="between"/>
        <c:majorUnit val="2"/>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[BCMS-FORM-08-2 ROAT Tool.xlsx]Opp Action Owner!PivotTable8</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US" sz="1400" b="0" i="0" baseline="0">
                <a:solidFill>
                  <a:schemeClr val="tx1"/>
                </a:solidFill>
                <a:effectLst/>
              </a:rPr>
              <a:t>Opportunity action owner</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'Opp Action Owner'!$D$6</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38FE-4295-A340-89B487C88EC0}"/>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38FE-4295-A340-89B487C88EC0}"/>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38FE-4295-A340-89B487C88EC0}"/>
              </c:ext>
            </c:extLst>
          </c:dPt>
          <c:cat>
            <c:multiLvlStrRef>
              <c:f>'Opp Action Owner'!$B$7:$C$7</c:f>
              <c:multiLvlStrCache>
                <c:ptCount val="1"/>
                <c:lvl>
                  <c:pt idx="0">
                    <c:v>Calculated</c:v>
                  </c:pt>
                </c:lvl>
                <c:lvl>
                  <c:pt idx="0">
                    <c:v>(blank)</c:v>
                  </c:pt>
                </c:lvl>
              </c:multiLvlStrCache>
            </c:multiLvlStrRef>
          </c:cat>
          <c:val>
            <c:numRef>
              <c:f>'Opp Action Owner'!$D$7</c:f>
              <c:numCache>
                <c:formatCode>General</c:formatCode>
                <c:ptCount val="1"/>
                <c:pt idx="0">
                  <c:v>20</c:v>
                </c:pt>
              </c:numCache>
            </c:numRef>
          </c:val>
          <c:extLst>
            <c:ext xmlns:c16="http://schemas.microsoft.com/office/drawing/2014/chart" uri="{C3380CC4-5D6E-409C-BE32-E72D297353CC}">
              <c16:uniqueId val="{00000006-38FE-4295-A340-89B487C88EC0}"/>
            </c:ext>
          </c:extLst>
        </c:ser>
        <c:dLbls>
          <c:showLegendKey val="0"/>
          <c:showVal val="0"/>
          <c:showCatName val="0"/>
          <c:showSerName val="0"/>
          <c:showPercent val="0"/>
          <c:showBubbleSize val="0"/>
        </c:dLbls>
        <c:gapWidth val="150"/>
        <c:shape val="box"/>
        <c:axId val="808306232"/>
        <c:axId val="808310824"/>
        <c:axId val="0"/>
      </c:bar3DChart>
      <c:catAx>
        <c:axId val="808306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310824"/>
        <c:crosses val="autoZero"/>
        <c:auto val="1"/>
        <c:lblAlgn val="ctr"/>
        <c:lblOffset val="100"/>
        <c:noMultiLvlLbl val="0"/>
      </c:catAx>
      <c:valAx>
        <c:axId val="808310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08306232"/>
        <c:crosses val="autoZero"/>
        <c:crossBetween val="between"/>
        <c:majorUnit val="2"/>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11.xml"/><Relationship Id="rId2" Type="http://schemas.openxmlformats.org/officeDocument/2006/relationships/chart" Target="../charts/chart1.xml"/><Relationship Id="rId1" Type="http://schemas.openxmlformats.org/officeDocument/2006/relationships/image" Target="../media/image3.jpeg"/><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absolute">
    <xdr:from>
      <xdr:col>1</xdr:col>
      <xdr:colOff>3009901</xdr:colOff>
      <xdr:row>0</xdr:row>
      <xdr:rowOff>152400</xdr:rowOff>
    </xdr:from>
    <xdr:to>
      <xdr:col>2</xdr:col>
      <xdr:colOff>66676</xdr:colOff>
      <xdr:row>7</xdr:row>
      <xdr:rowOff>76200</xdr:rowOff>
    </xdr:to>
    <xdr:sp macro="" textlink="">
      <xdr:nvSpPr>
        <xdr:cNvPr id="2" name="TextBox 1">
          <a:extLst>
            <a:ext uri="{FF2B5EF4-FFF2-40B4-BE49-F238E27FC236}">
              <a16:creationId xmlns:a16="http://schemas.microsoft.com/office/drawing/2014/main" id="{854434F6-654A-4100-9C10-D639AD25FB87}"/>
            </a:ext>
          </a:extLst>
        </xdr:cNvPr>
        <xdr:cNvSpPr txBox="1"/>
      </xdr:nvSpPr>
      <xdr:spPr>
        <a:xfrm>
          <a:off x="3200401" y="152400"/>
          <a:ext cx="3524250" cy="125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Risk and Opportunity</a:t>
          </a:r>
          <a:r>
            <a:rPr lang="en-GB" sz="1800" b="1" baseline="0">
              <a:solidFill>
                <a:schemeClr val="tx1"/>
              </a:solidFill>
            </a:rPr>
            <a:t> </a:t>
          </a:r>
          <a:r>
            <a:rPr lang="en-GB" sz="1800" b="1">
              <a:solidFill>
                <a:schemeClr val="tx1"/>
              </a:solidFill>
            </a:rPr>
            <a:t>Assessment and</a:t>
          </a:r>
          <a:r>
            <a:rPr lang="en-GB" sz="1800" b="1" baseline="0">
              <a:solidFill>
                <a:schemeClr val="tx1"/>
              </a:solidFill>
            </a:rPr>
            <a:t> </a:t>
          </a:r>
          <a:r>
            <a:rPr lang="en-GB" sz="1800" b="1">
              <a:solidFill>
                <a:schemeClr val="tx1"/>
              </a:solidFill>
            </a:rPr>
            <a:t>Treatment Tool</a:t>
          </a:r>
        </a:p>
        <a:p>
          <a:pPr algn="r"/>
          <a:r>
            <a:rPr lang="en-GB" sz="1200" b="0">
              <a:solidFill>
                <a:schemeClr val="tx1"/>
              </a:solidFill>
              <a:latin typeface="+mn-lt"/>
            </a:rPr>
            <a:t>BCMS-FORM-08-2</a:t>
          </a:r>
        </a:p>
      </xdr:txBody>
    </xdr:sp>
    <xdr:clientData/>
  </xdr:twoCellAnchor>
  <xdr:twoCellAnchor editAs="oneCell">
    <xdr:from>
      <xdr:col>1</xdr:col>
      <xdr:colOff>1</xdr:colOff>
      <xdr:row>1</xdr:row>
      <xdr:rowOff>0</xdr:rowOff>
    </xdr:from>
    <xdr:to>
      <xdr:col>1</xdr:col>
      <xdr:colOff>2956159</xdr:colOff>
      <xdr:row>5</xdr:row>
      <xdr:rowOff>9525</xdr:rowOff>
    </xdr:to>
    <xdr:pic>
      <xdr:nvPicPr>
        <xdr:cNvPr id="3" name="Picture 2">
          <a:extLst>
            <a:ext uri="{FF2B5EF4-FFF2-40B4-BE49-F238E27FC236}">
              <a16:creationId xmlns:a16="http://schemas.microsoft.com/office/drawing/2014/main" id="{4629199B-1556-4FF3-A2D3-D95DB947C3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1" y="190500"/>
          <a:ext cx="2956158" cy="771525"/>
        </a:xfrm>
        <a:prstGeom prst="rect">
          <a:avLst/>
        </a:prstGeom>
      </xdr:spPr>
    </xdr:pic>
    <xdr:clientData/>
  </xdr:twoCellAnchor>
  <xdr:twoCellAnchor editAs="oneCell">
    <xdr:from>
      <xdr:col>1</xdr:col>
      <xdr:colOff>1</xdr:colOff>
      <xdr:row>1</xdr:row>
      <xdr:rowOff>0</xdr:rowOff>
    </xdr:from>
    <xdr:to>
      <xdr:col>1</xdr:col>
      <xdr:colOff>2956159</xdr:colOff>
      <xdr:row>5</xdr:row>
      <xdr:rowOff>9525</xdr:rowOff>
    </xdr:to>
    <xdr:pic>
      <xdr:nvPicPr>
        <xdr:cNvPr id="4" name="Picture 3">
          <a:extLst>
            <a:ext uri="{FF2B5EF4-FFF2-40B4-BE49-F238E27FC236}">
              <a16:creationId xmlns:a16="http://schemas.microsoft.com/office/drawing/2014/main" id="{D092C9AF-87E3-42B6-8A39-71804632B7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1" y="190500"/>
          <a:ext cx="2956158" cy="77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952500</xdr:colOff>
      <xdr:row>0</xdr:row>
      <xdr:rowOff>152399</xdr:rowOff>
    </xdr:from>
    <xdr:to>
      <xdr:col>3</xdr:col>
      <xdr:colOff>57150</xdr:colOff>
      <xdr:row>7</xdr:row>
      <xdr:rowOff>28574</xdr:rowOff>
    </xdr:to>
    <xdr:sp macro="" textlink="">
      <xdr:nvSpPr>
        <xdr:cNvPr id="2" name="TextBox 1">
          <a:extLst>
            <a:ext uri="{FF2B5EF4-FFF2-40B4-BE49-F238E27FC236}">
              <a16:creationId xmlns:a16="http://schemas.microsoft.com/office/drawing/2014/main" id="{E13A2F51-684F-4B66-BC99-4586B2B6B8EE}"/>
            </a:ext>
          </a:extLst>
        </xdr:cNvPr>
        <xdr:cNvSpPr txBox="1"/>
      </xdr:nvSpPr>
      <xdr:spPr>
        <a:xfrm>
          <a:off x="2809875" y="152399"/>
          <a:ext cx="3381375" cy="1209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kumimoji="0" lang="en-GB" sz="1800" b="1" i="0" u="none" strike="noStrike" kern="0" cap="none" spc="0" normalizeH="0" baseline="0" noProof="0">
              <a:ln>
                <a:noFill/>
              </a:ln>
              <a:solidFill>
                <a:srgbClr val="444444"/>
              </a:solidFill>
              <a:effectLst/>
              <a:uLnTx/>
              <a:uFillTx/>
              <a:latin typeface="+mn-lt"/>
              <a:ea typeface="+mn-ea"/>
              <a:cs typeface="+mn-cs"/>
            </a:rPr>
            <a:t>Risk and Opportunity Assessment and Treatment Tool</a:t>
          </a:r>
        </a:p>
        <a:p>
          <a:pPr marL="0" marR="0" lvl="0" indent="0" algn="r"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rgbClr val="444444"/>
              </a:solidFill>
              <a:effectLst/>
              <a:uLnTx/>
              <a:uFillTx/>
              <a:latin typeface="+mn-lt"/>
              <a:ea typeface="+mn-ea"/>
              <a:cs typeface="+mn-cs"/>
            </a:rPr>
            <a:t>BCMS-FORM-08-2</a:t>
          </a:r>
        </a:p>
      </xdr:txBody>
    </xdr:sp>
    <xdr:clientData/>
  </xdr:twoCellAnchor>
  <xdr:twoCellAnchor editAs="oneCell">
    <xdr:from>
      <xdr:col>1</xdr:col>
      <xdr:colOff>0</xdr:colOff>
      <xdr:row>1</xdr:row>
      <xdr:rowOff>0</xdr:rowOff>
    </xdr:from>
    <xdr:to>
      <xdr:col>2</xdr:col>
      <xdr:colOff>860900</xdr:colOff>
      <xdr:row>6</xdr:row>
      <xdr:rowOff>5490</xdr:rowOff>
    </xdr:to>
    <xdr:pic>
      <xdr:nvPicPr>
        <xdr:cNvPr id="3" name="Picture 2" descr="Auto Replace">
          <a:extLst>
            <a:ext uri="{FF2B5EF4-FFF2-40B4-BE49-F238E27FC236}">
              <a16:creationId xmlns:a16="http://schemas.microsoft.com/office/drawing/2014/main" id="{8DB55ED4-32CD-4C62-8C63-D10477F448E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1280000</xdr:colOff>
      <xdr:row>6</xdr:row>
      <xdr:rowOff>5490</xdr:rowOff>
    </xdr:to>
    <xdr:pic>
      <xdr:nvPicPr>
        <xdr:cNvPr id="12" name="Picture 11" descr="Auto Replace">
          <a:extLst>
            <a:ext uri="{FF2B5EF4-FFF2-40B4-BE49-F238E27FC236}">
              <a16:creationId xmlns:a16="http://schemas.microsoft.com/office/drawing/2014/main" id="{00000000-0008-0000-0200-00000C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twoCellAnchor editAs="absolute">
    <xdr:from>
      <xdr:col>9</xdr:col>
      <xdr:colOff>723900</xdr:colOff>
      <xdr:row>1</xdr:row>
      <xdr:rowOff>0</xdr:rowOff>
    </xdr:from>
    <xdr:to>
      <xdr:col>11</xdr:col>
      <xdr:colOff>352425</xdr:colOff>
      <xdr:row>10</xdr:row>
      <xdr:rowOff>0</xdr:rowOff>
    </xdr:to>
    <mc:AlternateContent xmlns:mc="http://schemas.openxmlformats.org/markup-compatibility/2006" xmlns:sle15="http://schemas.microsoft.com/office/drawing/2012/slicer">
      <mc:Choice Requires="sle15">
        <xdr:graphicFrame macro="">
          <xdr:nvGraphicFramePr>
            <xdr:cNvPr id="8" name="Risk owner 1">
              <a:extLst>
                <a:ext uri="{FF2B5EF4-FFF2-40B4-BE49-F238E27FC236}">
                  <a16:creationId xmlns:a16="http://schemas.microsoft.com/office/drawing/2014/main" id="{6FA07D93-0C16-40E8-B53F-BA1FDF48E624}"/>
                </a:ext>
              </a:extLst>
            </xdr:cNvPr>
            <xdr:cNvGraphicFramePr/>
          </xdr:nvGraphicFramePr>
          <xdr:xfrm>
            <a:off x="0" y="0"/>
            <a:ext cx="0" cy="0"/>
          </xdr:xfrm>
          <a:graphic>
            <a:graphicData uri="http://schemas.microsoft.com/office/drawing/2010/slicer">
              <sle:slicer xmlns:sle="http://schemas.microsoft.com/office/drawing/2010/slicer" name="Risk owner 1"/>
            </a:graphicData>
          </a:graphic>
        </xdr:graphicFrame>
      </mc:Choice>
      <mc:Fallback xmlns="">
        <xdr:sp macro="" textlink="">
          <xdr:nvSpPr>
            <xdr:cNvPr id="0" name=""/>
            <xdr:cNvSpPr>
              <a:spLocks noTextEdit="1"/>
            </xdr:cNvSpPr>
          </xdr:nvSpPr>
          <xdr:spPr>
            <a:xfrm>
              <a:off x="8610600" y="190500"/>
              <a:ext cx="1828800" cy="17907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352425</xdr:colOff>
      <xdr:row>1</xdr:row>
      <xdr:rowOff>0</xdr:rowOff>
    </xdr:from>
    <xdr:to>
      <xdr:col>13</xdr:col>
      <xdr:colOff>485775</xdr:colOff>
      <xdr:row>10</xdr:row>
      <xdr:rowOff>0</xdr:rowOff>
    </xdr:to>
    <mc:AlternateContent xmlns:mc="http://schemas.openxmlformats.org/markup-compatibility/2006" xmlns:sle15="http://schemas.microsoft.com/office/drawing/2012/slicer">
      <mc:Choice Requires="sle15">
        <xdr:graphicFrame macro="">
          <xdr:nvGraphicFramePr>
            <xdr:cNvPr id="9" name="Risk level 1">
              <a:extLst>
                <a:ext uri="{FF2B5EF4-FFF2-40B4-BE49-F238E27FC236}">
                  <a16:creationId xmlns:a16="http://schemas.microsoft.com/office/drawing/2014/main" id="{FE458DBA-046F-44F7-AF3F-1E4C1FB3E37F}"/>
                </a:ext>
              </a:extLst>
            </xdr:cNvPr>
            <xdr:cNvGraphicFramePr/>
          </xdr:nvGraphicFramePr>
          <xdr:xfrm>
            <a:off x="0" y="0"/>
            <a:ext cx="0" cy="0"/>
          </xdr:xfrm>
          <a:graphic>
            <a:graphicData uri="http://schemas.microsoft.com/office/drawing/2010/slicer">
              <sle:slicer xmlns:sle="http://schemas.microsoft.com/office/drawing/2010/slicer" name="Risk level 1"/>
            </a:graphicData>
          </a:graphic>
        </xdr:graphicFrame>
      </mc:Choice>
      <mc:Fallback xmlns="">
        <xdr:sp macro="" textlink="">
          <xdr:nvSpPr>
            <xdr:cNvPr id="0" name=""/>
            <xdr:cNvSpPr>
              <a:spLocks noTextEdit="1"/>
            </xdr:cNvSpPr>
          </xdr:nvSpPr>
          <xdr:spPr>
            <a:xfrm>
              <a:off x="10439400" y="190500"/>
              <a:ext cx="1828800" cy="17907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485775</xdr:colOff>
      <xdr:row>1</xdr:row>
      <xdr:rowOff>0</xdr:rowOff>
    </xdr:from>
    <xdr:to>
      <xdr:col>15</xdr:col>
      <xdr:colOff>123825</xdr:colOff>
      <xdr:row>10</xdr:row>
      <xdr:rowOff>0</xdr:rowOff>
    </xdr:to>
    <mc:AlternateContent xmlns:mc="http://schemas.openxmlformats.org/markup-compatibility/2006" xmlns:sle15="http://schemas.microsoft.com/office/drawing/2012/slicer">
      <mc:Choice Requires="sle15">
        <xdr:graphicFrame macro="">
          <xdr:nvGraphicFramePr>
            <xdr:cNvPr id="10" name="Treatment option chosen 1">
              <a:extLst>
                <a:ext uri="{FF2B5EF4-FFF2-40B4-BE49-F238E27FC236}">
                  <a16:creationId xmlns:a16="http://schemas.microsoft.com/office/drawing/2014/main" id="{1383B778-820B-4965-8C46-E987DDD4D1D1}"/>
                </a:ext>
              </a:extLst>
            </xdr:cNvPr>
            <xdr:cNvGraphicFramePr/>
          </xdr:nvGraphicFramePr>
          <xdr:xfrm>
            <a:off x="0" y="0"/>
            <a:ext cx="0" cy="0"/>
          </xdr:xfrm>
          <a:graphic>
            <a:graphicData uri="http://schemas.microsoft.com/office/drawing/2010/slicer">
              <sle:slicer xmlns:sle="http://schemas.microsoft.com/office/drawing/2010/slicer" name="Treatment option chosen 1"/>
            </a:graphicData>
          </a:graphic>
        </xdr:graphicFrame>
      </mc:Choice>
      <mc:Fallback xmlns="">
        <xdr:sp macro="" textlink="">
          <xdr:nvSpPr>
            <xdr:cNvPr id="0" name=""/>
            <xdr:cNvSpPr>
              <a:spLocks noTextEdit="1"/>
            </xdr:cNvSpPr>
          </xdr:nvSpPr>
          <xdr:spPr>
            <a:xfrm>
              <a:off x="12268200" y="190500"/>
              <a:ext cx="1828800" cy="17907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123825</xdr:colOff>
      <xdr:row>1</xdr:row>
      <xdr:rowOff>0</xdr:rowOff>
    </xdr:from>
    <xdr:to>
      <xdr:col>17</xdr:col>
      <xdr:colOff>295275</xdr:colOff>
      <xdr:row>9</xdr:row>
      <xdr:rowOff>190499</xdr:rowOff>
    </xdr:to>
    <mc:AlternateContent xmlns:mc="http://schemas.openxmlformats.org/markup-compatibility/2006" xmlns:sle15="http://schemas.microsoft.com/office/drawing/2012/slicer">
      <mc:Choice Requires="sle15">
        <xdr:graphicFrame macro="">
          <xdr:nvGraphicFramePr>
            <xdr:cNvPr id="3" name="Treatment Action Owner">
              <a:extLst>
                <a:ext uri="{FF2B5EF4-FFF2-40B4-BE49-F238E27FC236}">
                  <a16:creationId xmlns:a16="http://schemas.microsoft.com/office/drawing/2014/main" id="{5B02905C-7265-4205-B699-63892D3C7BCB}"/>
                </a:ext>
              </a:extLst>
            </xdr:cNvPr>
            <xdr:cNvGraphicFramePr/>
          </xdr:nvGraphicFramePr>
          <xdr:xfrm>
            <a:off x="0" y="0"/>
            <a:ext cx="0" cy="0"/>
          </xdr:xfrm>
          <a:graphic>
            <a:graphicData uri="http://schemas.microsoft.com/office/drawing/2010/slicer">
              <sle:slicer xmlns:sle="http://schemas.microsoft.com/office/drawing/2010/slicer" name="Treatment Action Owner"/>
            </a:graphicData>
          </a:graphic>
        </xdr:graphicFrame>
      </mc:Choice>
      <mc:Fallback xmlns="">
        <xdr:sp macro="" textlink="">
          <xdr:nvSpPr>
            <xdr:cNvPr id="0" name=""/>
            <xdr:cNvSpPr>
              <a:spLocks noTextEdit="1"/>
            </xdr:cNvSpPr>
          </xdr:nvSpPr>
          <xdr:spPr>
            <a:xfrm>
              <a:off x="14097000" y="190500"/>
              <a:ext cx="1828800" cy="1790699"/>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295275</xdr:colOff>
      <xdr:row>1</xdr:row>
      <xdr:rowOff>0</xdr:rowOff>
    </xdr:from>
    <xdr:to>
      <xdr:col>19</xdr:col>
      <xdr:colOff>104775</xdr:colOff>
      <xdr:row>10</xdr:row>
      <xdr:rowOff>0</xdr:rowOff>
    </xdr:to>
    <mc:AlternateContent xmlns:mc="http://schemas.openxmlformats.org/markup-compatibility/2006" xmlns:sle15="http://schemas.microsoft.com/office/drawing/2012/slicer">
      <mc:Choice Requires="sle15">
        <xdr:graphicFrame macro="">
          <xdr:nvGraphicFramePr>
            <xdr:cNvPr id="4" name="Post-Treatment Risk Level">
              <a:extLst>
                <a:ext uri="{FF2B5EF4-FFF2-40B4-BE49-F238E27FC236}">
                  <a16:creationId xmlns:a16="http://schemas.microsoft.com/office/drawing/2014/main" id="{1BB23C05-3DE3-4A95-8F03-56ED01973B03}"/>
                </a:ext>
              </a:extLst>
            </xdr:cNvPr>
            <xdr:cNvGraphicFramePr/>
          </xdr:nvGraphicFramePr>
          <xdr:xfrm>
            <a:off x="0" y="0"/>
            <a:ext cx="0" cy="0"/>
          </xdr:xfrm>
          <a:graphic>
            <a:graphicData uri="http://schemas.microsoft.com/office/drawing/2010/slicer">
              <sle:slicer xmlns:sle="http://schemas.microsoft.com/office/drawing/2010/slicer" name="Post-Treatment Risk Level"/>
            </a:graphicData>
          </a:graphic>
        </xdr:graphicFrame>
      </mc:Choice>
      <mc:Fallback xmlns="">
        <xdr:sp macro="" textlink="">
          <xdr:nvSpPr>
            <xdr:cNvPr id="0" name=""/>
            <xdr:cNvSpPr>
              <a:spLocks noTextEdit="1"/>
            </xdr:cNvSpPr>
          </xdr:nvSpPr>
          <xdr:spPr>
            <a:xfrm>
              <a:off x="15925800" y="190500"/>
              <a:ext cx="1828800" cy="17907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851375</xdr:colOff>
      <xdr:row>5</xdr:row>
      <xdr:rowOff>91215</xdr:rowOff>
    </xdr:to>
    <xdr:pic>
      <xdr:nvPicPr>
        <xdr:cNvPr id="4" name="Picture 3" descr="Auto Replac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twoCellAnchor editAs="absolute">
    <xdr:from>
      <xdr:col>10</xdr:col>
      <xdr:colOff>219075</xdr:colOff>
      <xdr:row>1</xdr:row>
      <xdr:rowOff>0</xdr:rowOff>
    </xdr:from>
    <xdr:to>
      <xdr:col>12</xdr:col>
      <xdr:colOff>180975</xdr:colOff>
      <xdr:row>9</xdr:row>
      <xdr:rowOff>0</xdr:rowOff>
    </xdr:to>
    <mc:AlternateContent xmlns:mc="http://schemas.openxmlformats.org/markup-compatibility/2006" xmlns:sle15="http://schemas.microsoft.com/office/drawing/2012/slicer">
      <mc:Choice Requires="sle15">
        <xdr:graphicFrame macro="">
          <xdr:nvGraphicFramePr>
            <xdr:cNvPr id="7" name="OPPORTUNITY TYPE">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microsoft.com/office/drawing/2010/slicer">
              <sle:slicer xmlns:sle="http://schemas.microsoft.com/office/drawing/2010/slicer" name="OPPORTUNITY TYPE"/>
            </a:graphicData>
          </a:graphic>
        </xdr:graphicFrame>
      </mc:Choice>
      <mc:Fallback xmlns="">
        <xdr:sp macro="" textlink="">
          <xdr:nvSpPr>
            <xdr:cNvPr id="0" name=""/>
            <xdr:cNvSpPr>
              <a:spLocks noTextEdit="1"/>
            </xdr:cNvSpPr>
          </xdr:nvSpPr>
          <xdr:spPr>
            <a:xfrm>
              <a:off x="10382250" y="190500"/>
              <a:ext cx="1828800" cy="19145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180975</xdr:colOff>
      <xdr:row>1</xdr:row>
      <xdr:rowOff>0</xdr:rowOff>
    </xdr:from>
    <xdr:to>
      <xdr:col>12</xdr:col>
      <xdr:colOff>2009775</xdr:colOff>
      <xdr:row>9</xdr:row>
      <xdr:rowOff>0</xdr:rowOff>
    </xdr:to>
    <mc:AlternateContent xmlns:mc="http://schemas.openxmlformats.org/markup-compatibility/2006" xmlns:sle15="http://schemas.microsoft.com/office/drawing/2012/slicer">
      <mc:Choice Requires="sle15">
        <xdr:graphicFrame macro="">
          <xdr:nvGraphicFramePr>
            <xdr:cNvPr id="8" name="OPPORTUNITY OWNER">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microsoft.com/office/drawing/2010/slicer">
              <sle:slicer xmlns:sle="http://schemas.microsoft.com/office/drawing/2010/slicer" name="OPPORTUNITY OWNER"/>
            </a:graphicData>
          </a:graphic>
        </xdr:graphicFrame>
      </mc:Choice>
      <mc:Fallback xmlns="">
        <xdr:sp macro="" textlink="">
          <xdr:nvSpPr>
            <xdr:cNvPr id="0" name=""/>
            <xdr:cNvSpPr>
              <a:spLocks noTextEdit="1"/>
            </xdr:cNvSpPr>
          </xdr:nvSpPr>
          <xdr:spPr>
            <a:xfrm>
              <a:off x="12211050" y="190500"/>
              <a:ext cx="1828800" cy="19145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2009775</xdr:colOff>
      <xdr:row>1</xdr:row>
      <xdr:rowOff>0</xdr:rowOff>
    </xdr:from>
    <xdr:to>
      <xdr:col>14</xdr:col>
      <xdr:colOff>704850</xdr:colOff>
      <xdr:row>9</xdr:row>
      <xdr:rowOff>0</xdr:rowOff>
    </xdr:to>
    <mc:AlternateContent xmlns:mc="http://schemas.openxmlformats.org/markup-compatibility/2006" xmlns:sle15="http://schemas.microsoft.com/office/drawing/2012/slicer">
      <mc:Choice Requires="sle15">
        <xdr:graphicFrame macro="">
          <xdr:nvGraphicFramePr>
            <xdr:cNvPr id="9" name="OPPORTUNITY LEVEL">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microsoft.com/office/drawing/2010/slicer">
              <sle:slicer xmlns:sle="http://schemas.microsoft.com/office/drawing/2010/slicer" name="OPPORTUNITY LEVEL"/>
            </a:graphicData>
          </a:graphic>
        </xdr:graphicFrame>
      </mc:Choice>
      <mc:Fallback xmlns="">
        <xdr:sp macro="" textlink="">
          <xdr:nvSpPr>
            <xdr:cNvPr id="0" name=""/>
            <xdr:cNvSpPr>
              <a:spLocks noTextEdit="1"/>
            </xdr:cNvSpPr>
          </xdr:nvSpPr>
          <xdr:spPr>
            <a:xfrm>
              <a:off x="14039850" y="190500"/>
              <a:ext cx="1828800" cy="19145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704850</xdr:colOff>
      <xdr:row>1</xdr:row>
      <xdr:rowOff>0</xdr:rowOff>
    </xdr:from>
    <xdr:to>
      <xdr:col>16</xdr:col>
      <xdr:colOff>9525</xdr:colOff>
      <xdr:row>9</xdr:row>
      <xdr:rowOff>0</xdr:rowOff>
    </xdr:to>
    <mc:AlternateContent xmlns:mc="http://schemas.openxmlformats.org/markup-compatibility/2006" xmlns:sle15="http://schemas.microsoft.com/office/drawing/2012/slicer">
      <mc:Choice Requires="sle15">
        <xdr:graphicFrame macro="">
          <xdr:nvGraphicFramePr>
            <xdr:cNvPr id="10" name="ACTION OWNER">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microsoft.com/office/drawing/2010/slicer">
              <sle:slicer xmlns:sle="http://schemas.microsoft.com/office/drawing/2010/slicer" name="ACTION OWNER"/>
            </a:graphicData>
          </a:graphic>
        </xdr:graphicFrame>
      </mc:Choice>
      <mc:Fallback xmlns="">
        <xdr:sp macro="" textlink="">
          <xdr:nvSpPr>
            <xdr:cNvPr id="0" name=""/>
            <xdr:cNvSpPr>
              <a:spLocks noTextEdit="1"/>
            </xdr:cNvSpPr>
          </xdr:nvSpPr>
          <xdr:spPr>
            <a:xfrm>
              <a:off x="15868650" y="190500"/>
              <a:ext cx="1828800" cy="19145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1</xdr:row>
      <xdr:rowOff>9525</xdr:rowOff>
    </xdr:from>
    <xdr:to>
      <xdr:col>4</xdr:col>
      <xdr:colOff>204236</xdr:colOff>
      <xdr:row>6</xdr:row>
      <xdr:rowOff>15015</xdr:rowOff>
    </xdr:to>
    <xdr:pic>
      <xdr:nvPicPr>
        <xdr:cNvPr id="2" name="Picture 1" descr="Auto Replace">
          <a:extLst>
            <a:ext uri="{FF2B5EF4-FFF2-40B4-BE49-F238E27FC236}">
              <a16:creationId xmlns:a16="http://schemas.microsoft.com/office/drawing/2014/main" id="{0F65B55E-2D34-4FA2-84D4-DDE720983CE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200025"/>
          <a:ext cx="2537861" cy="957990"/>
        </a:xfrm>
        <a:prstGeom prst="rect">
          <a:avLst/>
        </a:prstGeom>
      </xdr:spPr>
    </xdr:pic>
    <xdr:clientData/>
  </xdr:twoCellAnchor>
  <xdr:twoCellAnchor>
    <xdr:from>
      <xdr:col>1</xdr:col>
      <xdr:colOff>0</xdr:colOff>
      <xdr:row>12</xdr:row>
      <xdr:rowOff>0</xdr:rowOff>
    </xdr:from>
    <xdr:to>
      <xdr:col>25</xdr:col>
      <xdr:colOff>569925</xdr:colOff>
      <xdr:row>30</xdr:row>
      <xdr:rowOff>171000</xdr:rowOff>
    </xdr:to>
    <xdr:grpSp>
      <xdr:nvGrpSpPr>
        <xdr:cNvPr id="12" name="Group 11">
          <a:extLst>
            <a:ext uri="{FF2B5EF4-FFF2-40B4-BE49-F238E27FC236}">
              <a16:creationId xmlns:a16="http://schemas.microsoft.com/office/drawing/2014/main" id="{6529AB6F-9FAA-4451-8A90-621F84165795}"/>
            </a:ext>
          </a:extLst>
        </xdr:cNvPr>
        <xdr:cNvGrpSpPr/>
      </xdr:nvGrpSpPr>
      <xdr:grpSpPr>
        <a:xfrm>
          <a:off x="190500" y="2419350"/>
          <a:ext cx="16448100" cy="3600000"/>
          <a:chOff x="190500" y="2638425"/>
          <a:chExt cx="16448100" cy="3600000"/>
        </a:xfrm>
      </xdr:grpSpPr>
      <xdr:graphicFrame macro="">
        <xdr:nvGraphicFramePr>
          <xdr:cNvPr id="18" name="Chart 17">
            <a:extLst>
              <a:ext uri="{FF2B5EF4-FFF2-40B4-BE49-F238E27FC236}">
                <a16:creationId xmlns:a16="http://schemas.microsoft.com/office/drawing/2014/main" id="{9A56830C-1403-474A-908F-6196012D3216}"/>
              </a:ext>
            </a:extLst>
          </xdr:cNvPr>
          <xdr:cNvGraphicFramePr>
            <a:graphicFrameLocks/>
          </xdr:cNvGraphicFramePr>
        </xdr:nvGraphicFramePr>
        <xdr:xfrm>
          <a:off x="190500" y="2638425"/>
          <a:ext cx="5086800" cy="36000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9" name="Chart 18">
            <a:extLst>
              <a:ext uri="{FF2B5EF4-FFF2-40B4-BE49-F238E27FC236}">
                <a16:creationId xmlns:a16="http://schemas.microsoft.com/office/drawing/2014/main" id="{5455CE68-CADD-4E18-9CD7-DE768DD0426C}"/>
              </a:ext>
            </a:extLst>
          </xdr:cNvPr>
          <xdr:cNvGraphicFramePr>
            <a:graphicFrameLocks/>
          </xdr:cNvGraphicFramePr>
        </xdr:nvGraphicFramePr>
        <xdr:xfrm>
          <a:off x="5286375" y="2638425"/>
          <a:ext cx="11352225" cy="36000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xdr:col>
      <xdr:colOff>0</xdr:colOff>
      <xdr:row>35</xdr:row>
      <xdr:rowOff>0</xdr:rowOff>
    </xdr:from>
    <xdr:to>
      <xdr:col>26</xdr:col>
      <xdr:colOff>0</xdr:colOff>
      <xdr:row>53</xdr:row>
      <xdr:rowOff>171000</xdr:rowOff>
    </xdr:to>
    <xdr:grpSp>
      <xdr:nvGrpSpPr>
        <xdr:cNvPr id="22" name="Group 21">
          <a:extLst>
            <a:ext uri="{FF2B5EF4-FFF2-40B4-BE49-F238E27FC236}">
              <a16:creationId xmlns:a16="http://schemas.microsoft.com/office/drawing/2014/main" id="{142F0F87-C0B7-45F1-843E-7478CDC173DA}"/>
            </a:ext>
          </a:extLst>
        </xdr:cNvPr>
        <xdr:cNvGrpSpPr/>
      </xdr:nvGrpSpPr>
      <xdr:grpSpPr>
        <a:xfrm>
          <a:off x="190500" y="6858000"/>
          <a:ext cx="16459200" cy="3600000"/>
          <a:chOff x="190500" y="7077075"/>
          <a:chExt cx="16459200" cy="3600000"/>
        </a:xfrm>
      </xdr:grpSpPr>
      <xdr:graphicFrame macro="">
        <xdr:nvGraphicFramePr>
          <xdr:cNvPr id="20" name="Chart 19">
            <a:extLst>
              <a:ext uri="{FF2B5EF4-FFF2-40B4-BE49-F238E27FC236}">
                <a16:creationId xmlns:a16="http://schemas.microsoft.com/office/drawing/2014/main" id="{8DBEE043-A374-4750-9C22-36F8CE8F901C}"/>
              </a:ext>
            </a:extLst>
          </xdr:cNvPr>
          <xdr:cNvGraphicFramePr>
            <a:graphicFrameLocks/>
          </xdr:cNvGraphicFramePr>
        </xdr:nvGraphicFramePr>
        <xdr:xfrm>
          <a:off x="190500" y="7077075"/>
          <a:ext cx="5086350" cy="36000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1" name="Chart 20">
            <a:extLst>
              <a:ext uri="{FF2B5EF4-FFF2-40B4-BE49-F238E27FC236}">
                <a16:creationId xmlns:a16="http://schemas.microsoft.com/office/drawing/2014/main" id="{66F51626-E8B2-4C64-B1BA-FC9588FD9E35}"/>
              </a:ext>
            </a:extLst>
          </xdr:cNvPr>
          <xdr:cNvGraphicFramePr>
            <a:graphicFrameLocks/>
          </xdr:cNvGraphicFramePr>
        </xdr:nvGraphicFramePr>
        <xdr:xfrm>
          <a:off x="5286376" y="7077075"/>
          <a:ext cx="11363324" cy="36000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xdr:col>
      <xdr:colOff>0</xdr:colOff>
      <xdr:row>71</xdr:row>
      <xdr:rowOff>180975</xdr:rowOff>
    </xdr:from>
    <xdr:to>
      <xdr:col>26</xdr:col>
      <xdr:colOff>0</xdr:colOff>
      <xdr:row>90</xdr:row>
      <xdr:rowOff>161475</xdr:rowOff>
    </xdr:to>
    <xdr:grpSp>
      <xdr:nvGrpSpPr>
        <xdr:cNvPr id="26" name="Group 25">
          <a:extLst>
            <a:ext uri="{FF2B5EF4-FFF2-40B4-BE49-F238E27FC236}">
              <a16:creationId xmlns:a16="http://schemas.microsoft.com/office/drawing/2014/main" id="{B576382A-BF6C-4074-B7B8-3FB63D9DBDA2}"/>
            </a:ext>
          </a:extLst>
        </xdr:cNvPr>
        <xdr:cNvGrpSpPr/>
      </xdr:nvGrpSpPr>
      <xdr:grpSpPr>
        <a:xfrm>
          <a:off x="190500" y="17240250"/>
          <a:ext cx="16459200" cy="3600000"/>
          <a:chOff x="190500" y="17459325"/>
          <a:chExt cx="16459200" cy="3600000"/>
        </a:xfrm>
      </xdr:grpSpPr>
      <xdr:graphicFrame macro="">
        <xdr:nvGraphicFramePr>
          <xdr:cNvPr id="23" name="Chart 22">
            <a:extLst>
              <a:ext uri="{FF2B5EF4-FFF2-40B4-BE49-F238E27FC236}">
                <a16:creationId xmlns:a16="http://schemas.microsoft.com/office/drawing/2014/main" id="{FF67D56E-CE23-4EEA-9C8F-0E8435E8F270}"/>
              </a:ext>
            </a:extLst>
          </xdr:cNvPr>
          <xdr:cNvGraphicFramePr>
            <a:graphicFrameLocks/>
          </xdr:cNvGraphicFramePr>
        </xdr:nvGraphicFramePr>
        <xdr:xfrm>
          <a:off x="190500" y="17459325"/>
          <a:ext cx="4772025" cy="360000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4" name="Chart 23">
            <a:extLst>
              <a:ext uri="{FF2B5EF4-FFF2-40B4-BE49-F238E27FC236}">
                <a16:creationId xmlns:a16="http://schemas.microsoft.com/office/drawing/2014/main" id="{40784609-EFA3-4A74-B09E-27AC17ED3DD2}"/>
              </a:ext>
            </a:extLst>
          </xdr:cNvPr>
          <xdr:cNvGraphicFramePr>
            <a:graphicFrameLocks/>
          </xdr:cNvGraphicFramePr>
        </xdr:nvGraphicFramePr>
        <xdr:xfrm>
          <a:off x="4972050" y="17459325"/>
          <a:ext cx="4572000" cy="360000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5" name="Chart 24">
            <a:extLst>
              <a:ext uri="{FF2B5EF4-FFF2-40B4-BE49-F238E27FC236}">
                <a16:creationId xmlns:a16="http://schemas.microsoft.com/office/drawing/2014/main" id="{A6976060-78C0-4B9C-8C51-BAF1E6FA08A3}"/>
              </a:ext>
            </a:extLst>
          </xdr:cNvPr>
          <xdr:cNvGraphicFramePr>
            <a:graphicFrameLocks/>
          </xdr:cNvGraphicFramePr>
        </xdr:nvGraphicFramePr>
        <xdr:xfrm>
          <a:off x="9553575" y="17459325"/>
          <a:ext cx="7096125" cy="360000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xdr:col>
      <xdr:colOff>0</xdr:colOff>
      <xdr:row>94</xdr:row>
      <xdr:rowOff>180975</xdr:rowOff>
    </xdr:from>
    <xdr:to>
      <xdr:col>25</xdr:col>
      <xdr:colOff>571501</xdr:colOff>
      <xdr:row>113</xdr:row>
      <xdr:rowOff>161475</xdr:rowOff>
    </xdr:to>
    <xdr:grpSp>
      <xdr:nvGrpSpPr>
        <xdr:cNvPr id="3" name="Group 2">
          <a:extLst>
            <a:ext uri="{FF2B5EF4-FFF2-40B4-BE49-F238E27FC236}">
              <a16:creationId xmlns:a16="http://schemas.microsoft.com/office/drawing/2014/main" id="{89EF4491-ED1B-4D1A-AF14-A17CA7B75CFE}"/>
            </a:ext>
          </a:extLst>
        </xdr:cNvPr>
        <xdr:cNvGrpSpPr/>
      </xdr:nvGrpSpPr>
      <xdr:grpSpPr>
        <a:xfrm>
          <a:off x="190500" y="21669375"/>
          <a:ext cx="16449676" cy="3600000"/>
          <a:chOff x="190500" y="21888450"/>
          <a:chExt cx="16449676" cy="3600000"/>
        </a:xfrm>
      </xdr:grpSpPr>
      <xdr:graphicFrame macro="">
        <xdr:nvGraphicFramePr>
          <xdr:cNvPr id="13" name="Chart 12">
            <a:extLst>
              <a:ext uri="{FF2B5EF4-FFF2-40B4-BE49-F238E27FC236}">
                <a16:creationId xmlns:a16="http://schemas.microsoft.com/office/drawing/2014/main" id="{AB598A28-C9D5-41BD-8DA3-7EFE2969079F}"/>
              </a:ext>
            </a:extLst>
          </xdr:cNvPr>
          <xdr:cNvGraphicFramePr>
            <a:graphicFrameLocks/>
          </xdr:cNvGraphicFramePr>
        </xdr:nvGraphicFramePr>
        <xdr:xfrm>
          <a:off x="190500" y="21888450"/>
          <a:ext cx="5086350" cy="3600000"/>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14" name="Chart 13">
            <a:extLst>
              <a:ext uri="{FF2B5EF4-FFF2-40B4-BE49-F238E27FC236}">
                <a16:creationId xmlns:a16="http://schemas.microsoft.com/office/drawing/2014/main" id="{BFD4CEF5-7795-4F09-B360-223B38229F80}"/>
              </a:ext>
            </a:extLst>
          </xdr:cNvPr>
          <xdr:cNvGraphicFramePr>
            <a:graphicFrameLocks/>
          </xdr:cNvGraphicFramePr>
        </xdr:nvGraphicFramePr>
        <xdr:xfrm>
          <a:off x="5819776" y="21888450"/>
          <a:ext cx="10820400" cy="3600000"/>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0</xdr:col>
      <xdr:colOff>190499</xdr:colOff>
      <xdr:row>116</xdr:row>
      <xdr:rowOff>0</xdr:rowOff>
    </xdr:from>
    <xdr:to>
      <xdr:col>25</xdr:col>
      <xdr:colOff>571500</xdr:colOff>
      <xdr:row>134</xdr:row>
      <xdr:rowOff>171000</xdr:rowOff>
    </xdr:to>
    <xdr:grpSp>
      <xdr:nvGrpSpPr>
        <xdr:cNvPr id="4" name="Group 3">
          <a:extLst>
            <a:ext uri="{FF2B5EF4-FFF2-40B4-BE49-F238E27FC236}">
              <a16:creationId xmlns:a16="http://schemas.microsoft.com/office/drawing/2014/main" id="{21D892A1-0314-4059-B63F-CB0B506FA4A0}"/>
            </a:ext>
          </a:extLst>
        </xdr:cNvPr>
        <xdr:cNvGrpSpPr/>
      </xdr:nvGrpSpPr>
      <xdr:grpSpPr>
        <a:xfrm>
          <a:off x="190499" y="25679400"/>
          <a:ext cx="16449676" cy="3600000"/>
          <a:chOff x="190499" y="25898475"/>
          <a:chExt cx="15132376" cy="3600000"/>
        </a:xfrm>
      </xdr:grpSpPr>
      <xdr:graphicFrame macro="">
        <xdr:nvGraphicFramePr>
          <xdr:cNvPr id="16" name="Chart 15">
            <a:extLst>
              <a:ext uri="{FF2B5EF4-FFF2-40B4-BE49-F238E27FC236}">
                <a16:creationId xmlns:a16="http://schemas.microsoft.com/office/drawing/2014/main" id="{713BEFC7-73F3-478A-B565-759A64527579}"/>
              </a:ext>
            </a:extLst>
          </xdr:cNvPr>
          <xdr:cNvGraphicFramePr>
            <a:graphicFrameLocks/>
          </xdr:cNvGraphicFramePr>
        </xdr:nvGraphicFramePr>
        <xdr:xfrm>
          <a:off x="190499" y="25898475"/>
          <a:ext cx="7560000" cy="360000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17" name="Chart 16">
            <a:extLst>
              <a:ext uri="{FF2B5EF4-FFF2-40B4-BE49-F238E27FC236}">
                <a16:creationId xmlns:a16="http://schemas.microsoft.com/office/drawing/2014/main" id="{E8EA7378-9BD4-4396-AB0C-4F2BA5FAEB28}"/>
              </a:ext>
            </a:extLst>
          </xdr:cNvPr>
          <xdr:cNvGraphicFramePr>
            <a:graphicFrameLocks/>
          </xdr:cNvGraphicFramePr>
        </xdr:nvGraphicFramePr>
        <xdr:xfrm>
          <a:off x="7762875" y="25898475"/>
          <a:ext cx="7560000" cy="3600000"/>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1270475</xdr:colOff>
      <xdr:row>6</xdr:row>
      <xdr:rowOff>5490</xdr:rowOff>
    </xdr:to>
    <xdr:pic>
      <xdr:nvPicPr>
        <xdr:cNvPr id="2" name="Picture 1" descr="Auto Replace">
          <a:extLst>
            <a:ext uri="{FF2B5EF4-FFF2-40B4-BE49-F238E27FC236}">
              <a16:creationId xmlns:a16="http://schemas.microsoft.com/office/drawing/2014/main" id="{4C69E1B3-5A2D-4642-9320-0227D2E5FC9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660875</xdr:colOff>
      <xdr:row>6</xdr:row>
      <xdr:rowOff>5490</xdr:rowOff>
    </xdr:to>
    <xdr:pic>
      <xdr:nvPicPr>
        <xdr:cNvPr id="3" name="Picture 2" descr="Auto Replace">
          <a:extLst>
            <a:ext uri="{FF2B5EF4-FFF2-40B4-BE49-F238E27FC236}">
              <a16:creationId xmlns:a16="http://schemas.microsoft.com/office/drawing/2014/main" id="{00000000-0008-0000-1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1280000</xdr:colOff>
      <xdr:row>6</xdr:row>
      <xdr:rowOff>5490</xdr:rowOff>
    </xdr:to>
    <xdr:pic>
      <xdr:nvPicPr>
        <xdr:cNvPr id="2" name="Picture 1" descr="Auto Replace">
          <a:extLst>
            <a:ext uri="{FF2B5EF4-FFF2-40B4-BE49-F238E27FC236}">
              <a16:creationId xmlns:a16="http://schemas.microsoft.com/office/drawing/2014/main" id="{398EE3DB-2217-4B15-AF26-C3AAA088296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1280000</xdr:colOff>
      <xdr:row>6</xdr:row>
      <xdr:rowOff>5490</xdr:rowOff>
    </xdr:to>
    <xdr:pic>
      <xdr:nvPicPr>
        <xdr:cNvPr id="2" name="Picture 1" descr="Auto Replace">
          <a:extLst>
            <a:ext uri="{FF2B5EF4-FFF2-40B4-BE49-F238E27FC236}">
              <a16:creationId xmlns:a16="http://schemas.microsoft.com/office/drawing/2014/main" id="{2A97098D-4859-4A64-B02F-457BCC4AC6D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3999.456995138891" missingItemsLimit="0" createdVersion="6" refreshedVersion="6" minRefreshableVersion="3" recordCount="20" xr:uid="{D4528FD9-AD79-4888-BF3A-A1D44A9D054F}">
  <cacheSource type="worksheet">
    <worksheetSource name="RiskAssessment"/>
  </cacheSource>
  <cacheFields count="23">
    <cacheField name="Ref" numFmtId="0">
      <sharedItems containsSemiMixedTypes="0" containsString="0" containsNumber="1" containsInteger="1" minValue="1" maxValue="20"/>
    </cacheField>
    <cacheField name="Risk Summary" numFmtId="0">
      <sharedItems containsNonDate="0" containsString="0" containsBlank="1"/>
    </cacheField>
    <cacheField name="Risk Description" numFmtId="0">
      <sharedItems containsNonDate="0" containsString="0" containsBlank="1"/>
    </cacheField>
    <cacheField name="Risk Owner" numFmtId="0">
      <sharedItems containsNonDate="0" containsString="0" containsBlank="1" count="1">
        <m/>
      </sharedItems>
    </cacheField>
    <cacheField name="Existing Controls" numFmtId="0">
      <sharedItems containsNonDate="0" containsString="0" containsBlank="1"/>
    </cacheField>
    <cacheField name="Likelihood" numFmtId="0">
      <sharedItems/>
    </cacheField>
    <cacheField name="Likelihood Rationale" numFmtId="0">
      <sharedItems containsNonDate="0" containsString="0" containsBlank="1"/>
    </cacheField>
    <cacheField name="Impact" numFmtId="0">
      <sharedItems/>
    </cacheField>
    <cacheField name="Impact Rationale" numFmtId="0">
      <sharedItems containsNonDate="0" containsString="0" containsBlank="1"/>
    </cacheField>
    <cacheField name="Risk Score" numFmtId="0">
      <sharedItems/>
    </cacheField>
    <cacheField name="Risk Level" numFmtId="0">
      <sharedItems count="1">
        <s v="Calculated"/>
      </sharedItems>
    </cacheField>
    <cacheField name="Treatment Option Chosen" numFmtId="0">
      <sharedItems count="1">
        <s v="Select…"/>
      </sharedItems>
    </cacheField>
    <cacheField name="Proposed Treatment Action" numFmtId="0">
      <sharedItems containsNonDate="0" containsString="0" containsBlank="1"/>
    </cacheField>
    <cacheField name="Treatment Cost" numFmtId="41">
      <sharedItems containsSemiMixedTypes="0" containsString="0" containsNumber="1" containsInteger="1" minValue="0" maxValue="0"/>
    </cacheField>
    <cacheField name="Treatment Action Owner" numFmtId="0">
      <sharedItems containsNonDate="0" containsString="0" containsBlank="1" count="1">
        <m/>
      </sharedItems>
    </cacheField>
    <cacheField name="Treatment Action Timescale" numFmtId="0">
      <sharedItems containsNonDate="0" containsString="0" containsBlank="1"/>
    </cacheField>
    <cacheField name="Post-Treatment Likelihood" numFmtId="0">
      <sharedItems/>
    </cacheField>
    <cacheField name="Post-Treatment Likelihood Rationale" numFmtId="0">
      <sharedItems containsNonDate="0" containsString="0" containsBlank="1"/>
    </cacheField>
    <cacheField name="Post- Treatment Impact" numFmtId="0">
      <sharedItems/>
    </cacheField>
    <cacheField name="Post-Treatment Impact Rationale" numFmtId="0">
      <sharedItems containsNonDate="0" containsString="0" containsBlank="1"/>
    </cacheField>
    <cacheField name="Post-Treatment Risk Score" numFmtId="0">
      <sharedItems/>
    </cacheField>
    <cacheField name="Post-Treatment Risk Level" numFmtId="0">
      <sharedItems/>
    </cacheField>
    <cacheField name="Comments" numFmtId="0">
      <sharedItems containsNonDate="0" containsString="0" containsBlank="1"/>
    </cacheField>
  </cacheFields>
  <extLst>
    <ext xmlns:x14="http://schemas.microsoft.com/office/spreadsheetml/2009/9/main" uri="{725AE2AE-9491-48be-B2B4-4EB974FC3084}">
      <x14:pivotCacheDefinition pivotCacheId="81160349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3999.456995370369" createdVersion="6" refreshedVersion="6" minRefreshableVersion="3" recordCount="3" xr:uid="{F1C31D0C-5264-409D-9C0D-E389EF1C0F15}">
  <cacheSource type="worksheet">
    <worksheetSource name="PreMitigationRisksByRiskLevel10"/>
  </cacheSource>
  <cacheFields count="3">
    <cacheField name="Risk level" numFmtId="0">
      <sharedItems count="3">
        <s v=" Low"/>
        <s v=" Medium"/>
        <s v=" High"/>
      </sharedItems>
    </cacheField>
    <cacheField name="Pre-treatment" numFmtId="0">
      <sharedItems containsSemiMixedTypes="0" containsString="0" containsNumber="1" containsInteger="1" minValue="0" maxValue="0"/>
    </cacheField>
    <cacheField name="Post-treatment"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3999.456995370369" createdVersion="6" refreshedVersion="6" minRefreshableVersion="3" recordCount="3" xr:uid="{375C5F3F-0447-4F05-8871-3339DAEA7481}">
  <cacheSource type="worksheet">
    <worksheetSource name="RisksByRiskLevelPreandPostTreatment10"/>
  </cacheSource>
  <cacheFields count="2">
    <cacheField name="Risk level" numFmtId="0">
      <sharedItems count="3">
        <s v=" Low"/>
        <s v=" Medium"/>
        <s v=" High"/>
      </sharedItems>
    </cacheField>
    <cacheField name="Post-treatment"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3999.456995486114" createdVersion="6" refreshedVersion="6" minRefreshableVersion="3" recordCount="3" xr:uid="{CFBEB5C1-7912-42EA-A454-F538B8A77562}">
  <cacheSource type="worksheet">
    <worksheetSource name="PreMitigationRisksByRiskLevel"/>
  </cacheSource>
  <cacheFields count="2">
    <cacheField name="Risk level" numFmtId="0">
      <sharedItems count="3">
        <s v=" Low"/>
        <s v=" Medium"/>
        <s v=" High"/>
      </sharedItems>
    </cacheField>
    <cacheField name="Pre-treatment"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3999.456995601853" missingItemsLimit="0" createdVersion="6" refreshedVersion="6" minRefreshableVersion="3" recordCount="20" xr:uid="{A324CCD3-0088-4FB0-8D1B-135AEF73965A}">
  <cacheSource type="worksheet">
    <worksheetSource name="RiskAssessment7"/>
  </cacheSource>
  <cacheFields count="15">
    <cacheField name="REF" numFmtId="0">
      <sharedItems containsSemiMixedTypes="0" containsString="0" containsNumber="1" containsInteger="1" minValue="1" maxValue="20"/>
    </cacheField>
    <cacheField name="OPP SUMMARY" numFmtId="0">
      <sharedItems containsNonDate="0" containsString="0" containsBlank="1"/>
    </cacheField>
    <cacheField name="OPP DESCRIPTION" numFmtId="0">
      <sharedItems containsNonDate="0" containsString="0" containsBlank="1"/>
    </cacheField>
    <cacheField name="OPP TYPE" numFmtId="0">
      <sharedItems containsNonDate="0" containsString="0" containsBlank="1" count="1">
        <m/>
      </sharedItems>
    </cacheField>
    <cacheField name="OPP OWNER" numFmtId="0">
      <sharedItems containsNonDate="0" containsString="0" containsBlank="1" count="1">
        <m/>
      </sharedItems>
    </cacheField>
    <cacheField name="LIKELIHOOD" numFmtId="0">
      <sharedItems/>
    </cacheField>
    <cacheField name="LIKELIHOOD RATIONALE" numFmtId="0">
      <sharedItems containsNonDate="0" containsString="0" containsBlank="1"/>
    </cacheField>
    <cacheField name="IMPACT" numFmtId="0">
      <sharedItems/>
    </cacheField>
    <cacheField name="IMPACT RATIONALE" numFmtId="0">
      <sharedItems containsNonDate="0" containsString="0" containsBlank="1"/>
    </cacheField>
    <cacheField name="OPP SCORE" numFmtId="0">
      <sharedItems/>
    </cacheField>
    <cacheField name="OPP LEVEL" numFmtId="0">
      <sharedItems count="1">
        <s v="Calculated"/>
      </sharedItems>
    </cacheField>
    <cacheField name="ACTION" numFmtId="0">
      <sharedItems containsNonDate="0" containsString="0" containsBlank="1"/>
    </cacheField>
    <cacheField name="ACTION OWNER" numFmtId="0">
      <sharedItems containsNonDate="0" containsString="0" containsBlank="1" count="1">
        <m/>
      </sharedItems>
    </cacheField>
    <cacheField name="ACTION TIMESCALE" numFmtId="0">
      <sharedItems containsNonDate="0" containsString="0" containsBlank="1"/>
    </cacheField>
    <cacheField name="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m/>
    <m/>
    <x v="0"/>
    <m/>
    <s v="Select…"/>
    <m/>
    <s v="Select…"/>
    <m/>
    <s v="Calculated"/>
    <x v="0"/>
    <x v="0"/>
    <m/>
    <n v="0"/>
    <x v="0"/>
    <m/>
    <s v="Select…"/>
    <m/>
    <s v="Select…"/>
    <m/>
    <s v="Calculated"/>
    <s v="Calculated"/>
    <m/>
  </r>
  <r>
    <n v="2"/>
    <m/>
    <m/>
    <x v="0"/>
    <m/>
    <s v="Select…"/>
    <m/>
    <s v="Select…"/>
    <m/>
    <s v="Calculated"/>
    <x v="0"/>
    <x v="0"/>
    <m/>
    <n v="0"/>
    <x v="0"/>
    <m/>
    <s v="Select…"/>
    <m/>
    <s v="Select…"/>
    <m/>
    <s v="Calculated"/>
    <s v="Calculated"/>
    <m/>
  </r>
  <r>
    <n v="3"/>
    <m/>
    <m/>
    <x v="0"/>
    <m/>
    <s v="Select…"/>
    <m/>
    <s v="Select…"/>
    <m/>
    <s v="Calculated"/>
    <x v="0"/>
    <x v="0"/>
    <m/>
    <n v="0"/>
    <x v="0"/>
    <m/>
    <s v="Select…"/>
    <m/>
    <s v="Select…"/>
    <m/>
    <s v="Calculated"/>
    <s v="Calculated"/>
    <m/>
  </r>
  <r>
    <n v="4"/>
    <m/>
    <m/>
    <x v="0"/>
    <m/>
    <s v="Select…"/>
    <m/>
    <s v="Select…"/>
    <m/>
    <s v="Calculated"/>
    <x v="0"/>
    <x v="0"/>
    <m/>
    <n v="0"/>
    <x v="0"/>
    <m/>
    <s v="Select…"/>
    <m/>
    <s v="Select…"/>
    <m/>
    <s v="Calculated"/>
    <s v="Calculated"/>
    <m/>
  </r>
  <r>
    <n v="5"/>
    <m/>
    <m/>
    <x v="0"/>
    <m/>
    <s v="Select…"/>
    <m/>
    <s v="Select…"/>
    <m/>
    <s v="Calculated"/>
    <x v="0"/>
    <x v="0"/>
    <m/>
    <n v="0"/>
    <x v="0"/>
    <m/>
    <s v="Select…"/>
    <m/>
    <s v="Select…"/>
    <m/>
    <s v="Calculated"/>
    <s v="Calculated"/>
    <m/>
  </r>
  <r>
    <n v="6"/>
    <m/>
    <m/>
    <x v="0"/>
    <m/>
    <s v="Select…"/>
    <m/>
    <s v="Select…"/>
    <m/>
    <s v="Calculated"/>
    <x v="0"/>
    <x v="0"/>
    <m/>
    <n v="0"/>
    <x v="0"/>
    <m/>
    <s v="Select…"/>
    <m/>
    <s v="Select…"/>
    <m/>
    <s v="Calculated"/>
    <s v="Calculated"/>
    <m/>
  </r>
  <r>
    <n v="7"/>
    <m/>
    <m/>
    <x v="0"/>
    <m/>
    <s v="Select…"/>
    <m/>
    <s v="Select…"/>
    <m/>
    <s v="Calculated"/>
    <x v="0"/>
    <x v="0"/>
    <m/>
    <n v="0"/>
    <x v="0"/>
    <m/>
    <s v="Select…"/>
    <m/>
    <s v="Select…"/>
    <m/>
    <s v="Calculated"/>
    <s v="Calculated"/>
    <m/>
  </r>
  <r>
    <n v="8"/>
    <m/>
    <m/>
    <x v="0"/>
    <m/>
    <s v="Select…"/>
    <m/>
    <s v="Select…"/>
    <m/>
    <s v="Calculated"/>
    <x v="0"/>
    <x v="0"/>
    <m/>
    <n v="0"/>
    <x v="0"/>
    <m/>
    <s v="Select…"/>
    <m/>
    <s v="Select…"/>
    <m/>
    <s v="Calculated"/>
    <s v="Calculated"/>
    <m/>
  </r>
  <r>
    <n v="9"/>
    <m/>
    <m/>
    <x v="0"/>
    <m/>
    <s v="Select…"/>
    <m/>
    <s v="Select…"/>
    <m/>
    <s v="Calculated"/>
    <x v="0"/>
    <x v="0"/>
    <m/>
    <n v="0"/>
    <x v="0"/>
    <m/>
    <s v="Select…"/>
    <m/>
    <s v="Select…"/>
    <m/>
    <s v="Calculated"/>
    <s v="Calculated"/>
    <m/>
  </r>
  <r>
    <n v="10"/>
    <m/>
    <m/>
    <x v="0"/>
    <m/>
    <s v="Select…"/>
    <m/>
    <s v="Select…"/>
    <m/>
    <s v="Calculated"/>
    <x v="0"/>
    <x v="0"/>
    <m/>
    <n v="0"/>
    <x v="0"/>
    <m/>
    <s v="Select…"/>
    <m/>
    <s v="Select…"/>
    <m/>
    <s v="Calculated"/>
    <s v="Calculated"/>
    <m/>
  </r>
  <r>
    <n v="11"/>
    <m/>
    <m/>
    <x v="0"/>
    <m/>
    <s v="Select…"/>
    <m/>
    <s v="Select…"/>
    <m/>
    <s v="Calculated"/>
    <x v="0"/>
    <x v="0"/>
    <m/>
    <n v="0"/>
    <x v="0"/>
    <m/>
    <s v="Select…"/>
    <m/>
    <s v="Select…"/>
    <m/>
    <s v="Calculated"/>
    <s v="Calculated"/>
    <m/>
  </r>
  <r>
    <n v="12"/>
    <m/>
    <m/>
    <x v="0"/>
    <m/>
    <s v="Select…"/>
    <m/>
    <s v="Select…"/>
    <m/>
    <s v="Calculated"/>
    <x v="0"/>
    <x v="0"/>
    <m/>
    <n v="0"/>
    <x v="0"/>
    <m/>
    <s v="Select…"/>
    <m/>
    <s v="Select…"/>
    <m/>
    <s v="Calculated"/>
    <s v="Calculated"/>
    <m/>
  </r>
  <r>
    <n v="13"/>
    <m/>
    <m/>
    <x v="0"/>
    <m/>
    <s v="Select…"/>
    <m/>
    <s v="Select…"/>
    <m/>
    <s v="Calculated"/>
    <x v="0"/>
    <x v="0"/>
    <m/>
    <n v="0"/>
    <x v="0"/>
    <m/>
    <s v="Select…"/>
    <m/>
    <s v="Select…"/>
    <m/>
    <s v="Calculated"/>
    <s v="Calculated"/>
    <m/>
  </r>
  <r>
    <n v="14"/>
    <m/>
    <m/>
    <x v="0"/>
    <m/>
    <s v="Select…"/>
    <m/>
    <s v="Select…"/>
    <m/>
    <s v="Calculated"/>
    <x v="0"/>
    <x v="0"/>
    <m/>
    <n v="0"/>
    <x v="0"/>
    <m/>
    <s v="Select…"/>
    <m/>
    <s v="Select…"/>
    <m/>
    <s v="Calculated"/>
    <s v="Calculated"/>
    <m/>
  </r>
  <r>
    <n v="15"/>
    <m/>
    <m/>
    <x v="0"/>
    <m/>
    <s v="Select…"/>
    <m/>
    <s v="Select…"/>
    <m/>
    <s v="Calculated"/>
    <x v="0"/>
    <x v="0"/>
    <m/>
    <n v="0"/>
    <x v="0"/>
    <m/>
    <s v="Select…"/>
    <m/>
    <s v="Select…"/>
    <m/>
    <s v="Calculated"/>
    <s v="Calculated"/>
    <m/>
  </r>
  <r>
    <n v="16"/>
    <m/>
    <m/>
    <x v="0"/>
    <m/>
    <s v="Select…"/>
    <m/>
    <s v="Select…"/>
    <m/>
    <s v="Calculated"/>
    <x v="0"/>
    <x v="0"/>
    <m/>
    <n v="0"/>
    <x v="0"/>
    <m/>
    <s v="Select…"/>
    <m/>
    <s v="Select…"/>
    <m/>
    <s v="Calculated"/>
    <s v="Calculated"/>
    <m/>
  </r>
  <r>
    <n v="17"/>
    <m/>
    <m/>
    <x v="0"/>
    <m/>
    <s v="Select…"/>
    <m/>
    <s v="Select…"/>
    <m/>
    <s v="Calculated"/>
    <x v="0"/>
    <x v="0"/>
    <m/>
    <n v="0"/>
    <x v="0"/>
    <m/>
    <s v="Select…"/>
    <m/>
    <s v="Select…"/>
    <m/>
    <s v="Calculated"/>
    <s v="Calculated"/>
    <m/>
  </r>
  <r>
    <n v="18"/>
    <m/>
    <m/>
    <x v="0"/>
    <m/>
    <s v="Select…"/>
    <m/>
    <s v="Select…"/>
    <m/>
    <s v="Calculated"/>
    <x v="0"/>
    <x v="0"/>
    <m/>
    <n v="0"/>
    <x v="0"/>
    <m/>
    <s v="Select…"/>
    <m/>
    <s v="Select…"/>
    <m/>
    <s v="Calculated"/>
    <s v="Calculated"/>
    <m/>
  </r>
  <r>
    <n v="19"/>
    <m/>
    <m/>
    <x v="0"/>
    <m/>
    <s v="Select…"/>
    <m/>
    <s v="Select…"/>
    <m/>
    <s v="Calculated"/>
    <x v="0"/>
    <x v="0"/>
    <m/>
    <n v="0"/>
    <x v="0"/>
    <m/>
    <s v="Select…"/>
    <m/>
    <s v="Select…"/>
    <m/>
    <s v="Calculated"/>
    <s v="Calculated"/>
    <m/>
  </r>
  <r>
    <n v="20"/>
    <m/>
    <m/>
    <x v="0"/>
    <m/>
    <s v="Select…"/>
    <m/>
    <s v="Select…"/>
    <m/>
    <s v="Calculated"/>
    <x v="0"/>
    <x v="0"/>
    <m/>
    <n v="0"/>
    <x v="0"/>
    <m/>
    <s v="Select…"/>
    <m/>
    <s v="Select…"/>
    <m/>
    <s v="Calculated"/>
    <s v="Calculated"/>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0"/>
    <n v="0"/>
  </r>
  <r>
    <x v="1"/>
    <n v="0"/>
    <n v="0"/>
  </r>
  <r>
    <x v="2"/>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0"/>
  </r>
  <r>
    <x v="1"/>
    <n v="0"/>
  </r>
  <r>
    <x v="2"/>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0"/>
  </r>
  <r>
    <x v="1"/>
    <n v="0"/>
  </r>
  <r>
    <x v="2"/>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m/>
    <m/>
    <x v="0"/>
    <x v="0"/>
    <s v="Select…"/>
    <m/>
    <s v="Select…"/>
    <m/>
    <s v="Calculated"/>
    <x v="0"/>
    <m/>
    <x v="0"/>
    <m/>
    <m/>
  </r>
  <r>
    <n v="2"/>
    <m/>
    <m/>
    <x v="0"/>
    <x v="0"/>
    <s v="Select…"/>
    <m/>
    <s v="Select…"/>
    <m/>
    <s v="Calculated"/>
    <x v="0"/>
    <m/>
    <x v="0"/>
    <m/>
    <m/>
  </r>
  <r>
    <n v="3"/>
    <m/>
    <m/>
    <x v="0"/>
    <x v="0"/>
    <s v="Select…"/>
    <m/>
    <s v="Select…"/>
    <m/>
    <s v="Calculated"/>
    <x v="0"/>
    <m/>
    <x v="0"/>
    <m/>
    <m/>
  </r>
  <r>
    <n v="4"/>
    <m/>
    <m/>
    <x v="0"/>
    <x v="0"/>
    <s v="Select…"/>
    <m/>
    <s v="Select…"/>
    <m/>
    <s v="Calculated"/>
    <x v="0"/>
    <m/>
    <x v="0"/>
    <m/>
    <m/>
  </r>
  <r>
    <n v="5"/>
    <m/>
    <m/>
    <x v="0"/>
    <x v="0"/>
    <s v="Select…"/>
    <m/>
    <s v="Select…"/>
    <m/>
    <s v="Calculated"/>
    <x v="0"/>
    <m/>
    <x v="0"/>
    <m/>
    <m/>
  </r>
  <r>
    <n v="6"/>
    <m/>
    <m/>
    <x v="0"/>
    <x v="0"/>
    <s v="Select…"/>
    <m/>
    <s v="Select…"/>
    <m/>
    <s v="Calculated"/>
    <x v="0"/>
    <m/>
    <x v="0"/>
    <m/>
    <m/>
  </r>
  <r>
    <n v="7"/>
    <m/>
    <m/>
    <x v="0"/>
    <x v="0"/>
    <s v="Select…"/>
    <m/>
    <s v="Select…"/>
    <m/>
    <s v="Calculated"/>
    <x v="0"/>
    <m/>
    <x v="0"/>
    <m/>
    <m/>
  </r>
  <r>
    <n v="8"/>
    <m/>
    <m/>
    <x v="0"/>
    <x v="0"/>
    <s v="Select…"/>
    <m/>
    <s v="Select…"/>
    <m/>
    <s v="Calculated"/>
    <x v="0"/>
    <m/>
    <x v="0"/>
    <m/>
    <m/>
  </r>
  <r>
    <n v="9"/>
    <m/>
    <m/>
    <x v="0"/>
    <x v="0"/>
    <s v="Select…"/>
    <m/>
    <s v="Select…"/>
    <m/>
    <s v="Calculated"/>
    <x v="0"/>
    <m/>
    <x v="0"/>
    <m/>
    <m/>
  </r>
  <r>
    <n v="10"/>
    <m/>
    <m/>
    <x v="0"/>
    <x v="0"/>
    <s v="Select…"/>
    <m/>
    <s v="Select…"/>
    <m/>
    <s v="Calculated"/>
    <x v="0"/>
    <m/>
    <x v="0"/>
    <m/>
    <m/>
  </r>
  <r>
    <n v="11"/>
    <m/>
    <m/>
    <x v="0"/>
    <x v="0"/>
    <s v="Select…"/>
    <m/>
    <s v="Select…"/>
    <m/>
    <s v="Calculated"/>
    <x v="0"/>
    <m/>
    <x v="0"/>
    <m/>
    <m/>
  </r>
  <r>
    <n v="12"/>
    <m/>
    <m/>
    <x v="0"/>
    <x v="0"/>
    <s v="Select…"/>
    <m/>
    <s v="Select…"/>
    <m/>
    <s v="Calculated"/>
    <x v="0"/>
    <m/>
    <x v="0"/>
    <m/>
    <m/>
  </r>
  <r>
    <n v="13"/>
    <m/>
    <m/>
    <x v="0"/>
    <x v="0"/>
    <s v="Select…"/>
    <m/>
    <s v="Select…"/>
    <m/>
    <s v="Calculated"/>
    <x v="0"/>
    <m/>
    <x v="0"/>
    <m/>
    <m/>
  </r>
  <r>
    <n v="14"/>
    <m/>
    <m/>
    <x v="0"/>
    <x v="0"/>
    <s v="Select…"/>
    <m/>
    <s v="Select…"/>
    <m/>
    <s v="Calculated"/>
    <x v="0"/>
    <m/>
    <x v="0"/>
    <m/>
    <m/>
  </r>
  <r>
    <n v="15"/>
    <m/>
    <m/>
    <x v="0"/>
    <x v="0"/>
    <s v="Select…"/>
    <m/>
    <s v="Select…"/>
    <m/>
    <s v="Calculated"/>
    <x v="0"/>
    <m/>
    <x v="0"/>
    <m/>
    <m/>
  </r>
  <r>
    <n v="16"/>
    <m/>
    <m/>
    <x v="0"/>
    <x v="0"/>
    <s v="Select…"/>
    <m/>
    <s v="Select…"/>
    <m/>
    <s v="Calculated"/>
    <x v="0"/>
    <m/>
    <x v="0"/>
    <m/>
    <m/>
  </r>
  <r>
    <n v="17"/>
    <m/>
    <m/>
    <x v="0"/>
    <x v="0"/>
    <s v="Select…"/>
    <m/>
    <s v="Select…"/>
    <m/>
    <s v="Calculated"/>
    <x v="0"/>
    <m/>
    <x v="0"/>
    <m/>
    <m/>
  </r>
  <r>
    <n v="18"/>
    <m/>
    <m/>
    <x v="0"/>
    <x v="0"/>
    <s v="Select…"/>
    <m/>
    <s v="Select…"/>
    <m/>
    <s v="Calculated"/>
    <x v="0"/>
    <m/>
    <x v="0"/>
    <m/>
    <m/>
  </r>
  <r>
    <n v="19"/>
    <m/>
    <m/>
    <x v="0"/>
    <x v="0"/>
    <s v="Select…"/>
    <m/>
    <s v="Select…"/>
    <m/>
    <s v="Calculated"/>
    <x v="0"/>
    <m/>
    <x v="0"/>
    <m/>
    <m/>
  </r>
  <r>
    <n v="20"/>
    <m/>
    <m/>
    <x v="0"/>
    <x v="0"/>
    <s v="Select…"/>
    <m/>
    <s v="Select…"/>
    <m/>
    <s v="Calculated"/>
    <x v="0"/>
    <m/>
    <x v="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B73F38-B3CF-49EB-BEAD-25D5B14C6658}" name="Pre-treatmentRisksPivot" cacheId="13"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9">
  <location ref="B12:C15" firstHeaderRow="1" firstDataRow="1" firstDataCol="1"/>
  <pivotFields count="2">
    <pivotField axis="axisRow" compact="0" outline="0" showAll="0" defaultSubtotal="0">
      <items count="3">
        <item x="0"/>
        <item x="1"/>
        <item x="2"/>
      </items>
    </pivotField>
    <pivotField dataField="1" compact="0" outline="0" showAll="0" defaultSubtotal="0"/>
  </pivotFields>
  <rowFields count="1">
    <field x="0"/>
  </rowFields>
  <rowItems count="3">
    <i>
      <x/>
    </i>
    <i>
      <x v="1"/>
    </i>
    <i>
      <x v="2"/>
    </i>
  </rowItems>
  <colItems count="1">
    <i/>
  </colItems>
  <dataFields count="1">
    <dataField name="Pre-treatment " fld="1" baseField="0" baseItem="0"/>
  </dataFields>
  <formats count="4">
    <format dxfId="114">
      <pivotArea field="0" type="button" dataOnly="0" labelOnly="1" outline="0" axis="axisRow" fieldPosition="0"/>
    </format>
    <format dxfId="113">
      <pivotArea dataOnly="0" labelOnly="1" outline="0" axis="axisValues" fieldPosition="0"/>
    </format>
    <format dxfId="112">
      <pivotArea field="0" type="button" dataOnly="0" labelOnly="1" outline="0" axis="axisRow" fieldPosition="0"/>
    </format>
    <format dxfId="111">
      <pivotArea dataOnly="0" labelOnly="1" outline="0" axis="axisValues" fieldPosition="0"/>
    </format>
  </formats>
  <chartFormats count="8">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0" count="1" selected="0">
            <x v="0"/>
          </reference>
        </references>
      </pivotArea>
    </chartFormat>
    <chartFormat chart="8" format="10">
      <pivotArea type="data" outline="0" fieldPosition="0">
        <references count="2">
          <reference field="4294967294" count="1" selected="0">
            <x v="0"/>
          </reference>
          <reference field="0" count="1" selected="0">
            <x v="1"/>
          </reference>
        </references>
      </pivotArea>
    </chartFormat>
    <chartFormat chart="8"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5F9BBD-2219-4F60-AA9D-B26015A152B7}" name="Pre-treatmentRiskOwnersPivot" cacheId="10"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11">
  <location ref="B6:D7" firstHeaderRow="1" firstDataRow="1" firstDataCol="2"/>
  <pivotFields count="23">
    <pivotField compact="0" outline="0" showAll="0" defaultSubtotal="0"/>
    <pivotField compact="0" outline="0" showAll="0" defaultSubtotal="0"/>
    <pivotField compact="0" outline="0" showAll="0" defaultSubtotal="0"/>
    <pivotField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dataField="1"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10"/>
    <field x="3"/>
  </rowFields>
  <rowItems count="1">
    <i>
      <x/>
      <x/>
    </i>
  </rowItems>
  <colItems count="1">
    <i/>
  </colItems>
  <dataFields count="1">
    <dataField name="Count of Risk Level" fld="10" subtotal="count" baseField="0" baseItem="0"/>
  </dataFields>
  <formats count="18">
    <format dxfId="108">
      <pivotArea type="origin" dataOnly="0" labelOnly="1" outline="0" fieldPosition="0"/>
    </format>
    <format dxfId="107">
      <pivotArea field="10" type="button" dataOnly="0" labelOnly="1" outline="0" axis="axisRow" fieldPosition="0"/>
    </format>
    <format dxfId="106">
      <pivotArea type="topRight" dataOnly="0" labelOnly="1" outline="0" fieldPosition="0"/>
    </format>
    <format dxfId="105">
      <pivotArea field="3" type="button" dataOnly="0" labelOnly="1" outline="0" axis="axisRow" fieldPosition="1"/>
    </format>
    <format dxfId="104">
      <pivotArea dataOnly="0" labelOnly="1" outline="0" fieldPosition="0">
        <references count="1">
          <reference field="10" count="0"/>
        </references>
      </pivotArea>
    </format>
    <format dxfId="103">
      <pivotArea dataOnly="0" labelOnly="1" grandCol="1" outline="0" fieldPosition="0"/>
    </format>
    <format dxfId="102">
      <pivotArea type="origin" dataOnly="0" labelOnly="1" outline="0" fieldPosition="0"/>
    </format>
    <format dxfId="101">
      <pivotArea field="10" type="button" dataOnly="0" labelOnly="1" outline="0" axis="axisRow" fieldPosition="0"/>
    </format>
    <format dxfId="100">
      <pivotArea type="topRight" dataOnly="0" labelOnly="1" outline="0" fieldPosition="0"/>
    </format>
    <format dxfId="99">
      <pivotArea field="3" type="button" dataOnly="0" labelOnly="1" outline="0" axis="axisRow" fieldPosition="1"/>
    </format>
    <format dxfId="98">
      <pivotArea dataOnly="0" labelOnly="1" outline="0" fieldPosition="0">
        <references count="1">
          <reference field="10" count="0"/>
        </references>
      </pivotArea>
    </format>
    <format dxfId="97">
      <pivotArea dataOnly="0" labelOnly="1" grandCol="1" outline="0" fieldPosition="0"/>
    </format>
    <format dxfId="96">
      <pivotArea grandRow="1" outline="0" collapsedLevelsAreSubtotals="1" fieldPosition="0"/>
    </format>
    <format dxfId="95">
      <pivotArea dataOnly="0" labelOnly="1" grandRow="1" outline="0" fieldPosition="0"/>
    </format>
    <format dxfId="94">
      <pivotArea grandRow="1" outline="0" collapsedLevelsAreSubtotals="1" fieldPosition="0"/>
    </format>
    <format dxfId="93">
      <pivotArea dataOnly="0" labelOnly="1" grandRow="1" outline="0" fieldPosition="0"/>
    </format>
    <format dxfId="92">
      <pivotArea field="3" type="button" dataOnly="0" labelOnly="1" outline="0" axis="axisRow" fieldPosition="1"/>
    </format>
    <format dxfId="91">
      <pivotArea field="3" type="button" dataOnly="0" labelOnly="1" outline="0" axis="axisRow" fieldPosition="1"/>
    </format>
  </formats>
  <chartFormats count="4">
    <chartFormat chart="2" format="9" series="1">
      <pivotArea type="data" outline="0" fieldPosition="0">
        <references count="1">
          <reference field="4294967294" count="1" selected="0">
            <x v="0"/>
          </reference>
        </references>
      </pivotArea>
    </chartFormat>
    <chartFormat chart="6" format="17" series="1">
      <pivotArea type="data" outline="0" fieldPosition="0">
        <references count="1">
          <reference field="4294967294" count="1" selected="0">
            <x v="0"/>
          </reference>
        </references>
      </pivotArea>
    </chartFormat>
    <chartFormat chart="10" format="45" series="1">
      <pivotArea type="data" outline="0" fieldPosition="0">
        <references count="1">
          <reference field="4294967294" count="1" selected="0">
            <x v="0"/>
          </reference>
        </references>
      </pivotArea>
    </chartFormat>
    <chartFormat chart="10" format="52">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356A96-C74F-4783-8B21-B557BEB90D30}" name="Post-treatmentRisksPivot" cacheId="12"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9">
  <location ref="B12:C15" firstHeaderRow="1" firstDataRow="1" firstDataCol="1"/>
  <pivotFields count="2">
    <pivotField axis="axisRow" compact="0" outline="0" showAll="0" defaultSubtotal="0">
      <items count="3">
        <item x="0"/>
        <item x="1"/>
        <item x="2"/>
      </items>
    </pivotField>
    <pivotField dataField="1" compact="0" outline="0" showAll="0" defaultSubtotal="0"/>
  </pivotFields>
  <rowFields count="1">
    <field x="0"/>
  </rowFields>
  <rowItems count="3">
    <i>
      <x/>
    </i>
    <i>
      <x v="1"/>
    </i>
    <i>
      <x v="2"/>
    </i>
  </rowItems>
  <colItems count="1">
    <i/>
  </colItems>
  <dataFields count="1">
    <dataField name="Post-treatment " fld="1" baseField="0" baseItem="0"/>
  </dataFields>
  <formats count="4">
    <format dxfId="90">
      <pivotArea field="0" type="button" dataOnly="0" labelOnly="1" outline="0" axis="axisRow" fieldPosition="0"/>
    </format>
    <format dxfId="89">
      <pivotArea dataOnly="0" labelOnly="1" outline="0" axis="axisValues" fieldPosition="0"/>
    </format>
    <format dxfId="88">
      <pivotArea field="0" type="button" dataOnly="0" labelOnly="1" outline="0" axis="axisRow" fieldPosition="0"/>
    </format>
    <format dxfId="87">
      <pivotArea dataOnly="0" labelOnly="1" outline="0" axis="axisValues" fieldPosition="0"/>
    </format>
  </formats>
  <chartFormats count="8">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0" count="1" selected="0">
            <x v="0"/>
          </reference>
        </references>
      </pivotArea>
    </chartFormat>
    <chartFormat chart="8" format="10">
      <pivotArea type="data" outline="0" fieldPosition="0">
        <references count="2">
          <reference field="4294967294" count="1" selected="0">
            <x v="0"/>
          </reference>
          <reference field="0" count="1" selected="0">
            <x v="1"/>
          </reference>
        </references>
      </pivotArea>
    </chartFormat>
    <chartFormat chart="8"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CC7692-2C38-4466-95B5-F6E62A088E49}" name="Pre&amp;PostRisksByLevel" cacheId="11"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10">
  <location ref="B12:D15" firstHeaderRow="0" firstDataRow="1" firstDataCol="1"/>
  <pivotFields count="3">
    <pivotField axis="axisRow" compact="0" outline="0" showAll="0">
      <items count="4">
        <item x="0"/>
        <item x="1"/>
        <item x="2"/>
        <item t="default"/>
      </items>
    </pivotField>
    <pivotField dataField="1" compact="0" outline="0" showAll="0"/>
    <pivotField dataField="1" compact="0" outline="0" showAll="0"/>
  </pivotFields>
  <rowFields count="1">
    <field x="0"/>
  </rowFields>
  <rowItems count="3">
    <i>
      <x/>
    </i>
    <i>
      <x v="1"/>
    </i>
    <i>
      <x v="2"/>
    </i>
  </rowItems>
  <colFields count="1">
    <field x="-2"/>
  </colFields>
  <colItems count="2">
    <i>
      <x/>
    </i>
    <i i="1">
      <x v="1"/>
    </i>
  </colItems>
  <dataFields count="2">
    <dataField name="Pre-treatment " fld="1" baseField="0" baseItem="0"/>
    <dataField name="Post-treatment " fld="2" baseField="0" baseItem="0"/>
  </dataFields>
  <formats count="8">
    <format dxfId="84">
      <pivotArea field="0" type="button" dataOnly="0" labelOnly="1" outline="0" axis="axisRow" fieldPosition="0"/>
    </format>
    <format dxfId="83">
      <pivotArea field="0" type="button" dataOnly="0" labelOnly="1" outline="0" axis="axisRow" fieldPosition="0"/>
    </format>
    <format dxfId="82">
      <pivotArea grandRow="1" outline="0" collapsedLevelsAreSubtotals="1" fieldPosition="0"/>
    </format>
    <format dxfId="81">
      <pivotArea dataOnly="0" labelOnly="1" grandRow="1" outline="0" fieldPosition="0"/>
    </format>
    <format dxfId="80">
      <pivotArea grandRow="1" outline="0" collapsedLevelsAreSubtotals="1" fieldPosition="0"/>
    </format>
    <format dxfId="79">
      <pivotArea dataOnly="0" labelOnly="1" grandRow="1" outline="0" fieldPosition="0"/>
    </format>
    <format dxfId="78">
      <pivotArea dataOnly="0" labelOnly="1" outline="0" fieldPosition="0">
        <references count="1">
          <reference field="4294967294" count="2">
            <x v="0"/>
            <x v="1"/>
          </reference>
        </references>
      </pivotArea>
    </format>
    <format dxfId="77">
      <pivotArea dataOnly="0" labelOnly="1" outline="0" fieldPosition="0">
        <references count="1">
          <reference field="4294967294" count="2">
            <x v="0"/>
            <x v="1"/>
          </reference>
        </references>
      </pivotArea>
    </format>
  </formats>
  <chartFormats count="4">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9" format="12"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9DBF0D-34D4-4536-9A86-C593CEF5CB76}" name="TreatmentChosen" cacheId="10"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10">
  <location ref="B7:C8" firstHeaderRow="1" firstDataRow="1" firstDataCol="1"/>
  <pivotFields count="23">
    <pivotField compact="0" outline="0" showAll="0" defaultSubtotal="0"/>
    <pivotField dataField="1"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ubtotalTop="0" showAll="0" defaultSubtotal="0">
      <items count="1">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s>
  <rowFields count="1">
    <field x="11"/>
  </rowFields>
  <rowItems count="1">
    <i>
      <x/>
    </i>
  </rowItems>
  <colItems count="1">
    <i/>
  </colItems>
  <dataFields count="1">
    <dataField name="Count of Risk Summary" fld="1" subtotal="count" baseField="0" baseItem="0"/>
  </dataFields>
  <formats count="4">
    <format dxfId="73">
      <pivotArea dataOnly="0" labelOnly="1" outline="0" axis="axisValues" fieldPosition="0"/>
    </format>
    <format dxfId="72">
      <pivotArea dataOnly="0" labelOnly="1" outline="0" axis="axisValues" fieldPosition="0"/>
    </format>
    <format dxfId="71">
      <pivotArea field="11" type="button" dataOnly="0" labelOnly="1" outline="0" axis="axisRow" fieldPosition="0"/>
    </format>
    <format dxfId="70">
      <pivotArea field="11" type="button" dataOnly="0" labelOnly="1" outline="0" axis="axisRow" fieldPosition="0"/>
    </format>
  </formats>
  <chartFormats count="3">
    <chartFormat chart="5" format="6"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2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5CBDF1-060B-45F9-9380-E8F7C57660FD}" name="TreatmentCosts" cacheId="1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11">
  <location ref="B7:C8" firstHeaderRow="1" firstDataRow="1" firstDataCol="1"/>
  <pivotFields count="23">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
        <item x="0"/>
      </items>
    </pivotField>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s>
  <rowFields count="1">
    <field x="10"/>
  </rowFields>
  <rowItems count="1">
    <i>
      <x/>
    </i>
  </rowItems>
  <colItems count="1">
    <i/>
  </colItems>
  <dataFields count="1">
    <dataField name="Sum of Treatment Cost" fld="13" baseField="10" baseItem="1" numFmtId="3"/>
  </dataFields>
  <formats count="5">
    <format dxfId="69">
      <pivotArea field="10" type="button" dataOnly="0" labelOnly="1" outline="0" axis="axisRow" fieldPosition="0"/>
    </format>
    <format dxfId="68">
      <pivotArea dataOnly="0" labelOnly="1" outline="0" axis="axisValues" fieldPosition="0"/>
    </format>
    <format dxfId="67">
      <pivotArea field="10" type="button" dataOnly="0" labelOnly="1" outline="0" axis="axisRow" fieldPosition="0"/>
    </format>
    <format dxfId="66">
      <pivotArea dataOnly="0" labelOnly="1" outline="0" axis="axisValues" fieldPosition="0"/>
    </format>
    <format dxfId="65">
      <pivotArea outline="0" fieldPosition="0">
        <references count="1">
          <reference field="4294967294" count="1">
            <x v="0"/>
          </reference>
        </references>
      </pivotArea>
    </format>
  </formats>
  <chartFormats count="2">
    <chartFormat chart="5" format="8"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19C0FA-C44B-4B9B-A088-C2EFA6AD906B}" name="TreatmentActionOwner" cacheId="10"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8">
  <location ref="B6:C8" firstHeaderRow="1" firstDataRow="2" firstDataCol="1"/>
  <pivotFields count="23">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1">
        <item x="0"/>
      </items>
    </pivotField>
    <pivotField compact="0" outline="0" showAll="0" defaultSubtotal="0"/>
    <pivotField compact="0" outline="0" showAll="0" defaultSubtotal="0"/>
    <pivotField compact="0" outline="0" showAll="0" defaultSubtotal="0"/>
    <pivotField axis="axisRow" dataField="1"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4"/>
  </rowFields>
  <rowItems count="1">
    <i>
      <x/>
    </i>
  </rowItems>
  <colFields count="1">
    <field x="10"/>
  </colFields>
  <colItems count="1">
    <i>
      <x/>
    </i>
  </colItems>
  <dataFields count="1">
    <dataField name="Count of Treatment Action Owner" fld="14" subtotal="count" baseField="0" baseItem="0"/>
  </dataFields>
  <formats count="10">
    <format dxfId="64">
      <pivotArea type="origin" dataOnly="0" labelOnly="1" outline="0" fieldPosition="0"/>
    </format>
    <format dxfId="63">
      <pivotArea field="10" type="button" dataOnly="0" labelOnly="1" outline="0" axis="axisCol" fieldPosition="0"/>
    </format>
    <format dxfId="62">
      <pivotArea type="topRight" dataOnly="0" labelOnly="1" outline="0" fieldPosition="0"/>
    </format>
    <format dxfId="61">
      <pivotArea field="14" type="button" dataOnly="0" labelOnly="1" outline="0" axis="axisRow" fieldPosition="0"/>
    </format>
    <format dxfId="60">
      <pivotArea dataOnly="0" labelOnly="1" outline="0" fieldPosition="0">
        <references count="1">
          <reference field="10" count="0"/>
        </references>
      </pivotArea>
    </format>
    <format dxfId="59">
      <pivotArea type="origin" dataOnly="0" labelOnly="1" outline="0" fieldPosition="0"/>
    </format>
    <format dxfId="58">
      <pivotArea field="10" type="button" dataOnly="0" labelOnly="1" outline="0" axis="axisCol" fieldPosition="0"/>
    </format>
    <format dxfId="57">
      <pivotArea type="topRight" dataOnly="0" labelOnly="1" outline="0" fieldPosition="0"/>
    </format>
    <format dxfId="56">
      <pivotArea field="14" type="button" dataOnly="0" labelOnly="1" outline="0" axis="axisRow" fieldPosition="0"/>
    </format>
    <format dxfId="55">
      <pivotArea dataOnly="0" labelOnly="1" outline="0" fieldPosition="0">
        <references count="1">
          <reference field="10" count="0"/>
        </references>
      </pivotArea>
    </format>
  </formats>
  <chartFormats count="1">
    <chartFormat chart="7"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21E587-AC28-4A6F-AE49-2159AC5D8AEE}" name="OppsByLevel" cacheId="14"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3">
  <location ref="B6:C7" firstHeaderRow="1" firstDataRow="1" firstDataCol="1"/>
  <pivotFields count="15">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dataField="1"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s>
  <rowFields count="1">
    <field x="10"/>
  </rowFields>
  <rowItems count="1">
    <i>
      <x/>
    </i>
  </rowItems>
  <colItems count="1">
    <i/>
  </colItems>
  <dataFields count="1">
    <dataField name="Count of OPP LEVEL" fld="10" subtotal="count" baseField="0" baseItem="0"/>
  </dataFields>
  <formats count="4">
    <format dxfId="54">
      <pivotArea field="10" type="button" dataOnly="0" labelOnly="1" outline="0" axis="axisRow" fieldPosition="0"/>
    </format>
    <format dxfId="53">
      <pivotArea dataOnly="0" labelOnly="1" outline="0" axis="axisValues" fieldPosition="0"/>
    </format>
    <format dxfId="52">
      <pivotArea field="10" type="button" dataOnly="0" labelOnly="1" outline="0" axis="axisRow" fieldPosition="0"/>
    </format>
    <format dxfId="51">
      <pivotArea dataOnly="0" labelOnly="1" outline="0" axis="axisValues" fieldPosition="0"/>
    </format>
  </formats>
  <chartFormats count="2">
    <chartFormat chart="2" format="9" series="1">
      <pivotArea type="data" outline="0" fieldPosition="0">
        <references count="1">
          <reference field="4294967294" count="1" selected="0">
            <x v="0"/>
          </reference>
        </references>
      </pivotArea>
    </chartFormat>
    <chartFormat chart="2" format="1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5E0185-EA72-49D2-AACA-8E9F0CD3EB29}" name="PivotTable7" cacheId="14"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8">
  <location ref="B6:D7" firstHeaderRow="1" firstDataRow="1" firstDataCol="2"/>
  <pivotFields count="15">
    <pivotField dataField="1" compact="0" outline="0" showAll="0" defaultSubtotal="0"/>
    <pivotField compact="0" outline="0" showAll="0" defaultSubtotal="0"/>
    <pivotField compact="0" outline="0" showAll="0" defaultSubtotal="0"/>
    <pivotField axis="axisRow" compact="0" outline="0" showAll="0" defaultSubtotal="0">
      <items count="1">
        <item x="0"/>
      </items>
    </pivotField>
    <pivotField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s>
  <rowFields count="2">
    <field x="3"/>
    <field x="10"/>
  </rowFields>
  <rowItems count="1">
    <i>
      <x/>
      <x/>
    </i>
  </rowItems>
  <colItems count="1">
    <i/>
  </colItems>
  <dataFields count="1">
    <dataField name="Count of REF" fld="0" subtotal="count" baseField="3" baseItem="0"/>
  </dataFields>
  <formats count="25">
    <format dxfId="50">
      <pivotArea type="origin" dataOnly="0" labelOnly="1" outline="0" fieldPosition="0"/>
    </format>
    <format dxfId="49">
      <pivotArea field="10" type="button" dataOnly="0" labelOnly="1" outline="0" axis="axisRow" fieldPosition="1"/>
    </format>
    <format dxfId="48">
      <pivotArea type="topRight" dataOnly="0" labelOnly="1" outline="0" fieldPosition="0"/>
    </format>
    <format dxfId="47">
      <pivotArea field="4" type="button" dataOnly="0" labelOnly="1" outline="0"/>
    </format>
    <format dxfId="46">
      <pivotArea dataOnly="0" labelOnly="1" outline="0" fieldPosition="0">
        <references count="1">
          <reference field="10" count="0"/>
        </references>
      </pivotArea>
    </format>
    <format dxfId="45">
      <pivotArea type="origin" dataOnly="0" labelOnly="1" outline="0" fieldPosition="0"/>
    </format>
    <format dxfId="44">
      <pivotArea type="topRight" dataOnly="0" labelOnly="1" outline="0" fieldPosition="0"/>
    </format>
    <format dxfId="43">
      <pivotArea field="4" type="button" dataOnly="0" labelOnly="1" outline="0"/>
    </format>
    <format dxfId="42">
      <pivotArea dataOnly="0" labelOnly="1" outline="0" fieldPosition="0">
        <references count="1">
          <reference field="10" count="0"/>
        </references>
      </pivotArea>
    </format>
    <format dxfId="41">
      <pivotArea field="3" type="button" dataOnly="0" labelOnly="1" outline="0" axis="axisRow" fieldPosition="0"/>
    </format>
    <format dxfId="40">
      <pivotArea type="all" dataOnly="0" outline="0" fieldPosition="0"/>
    </format>
    <format dxfId="39">
      <pivotArea outline="0" collapsedLevelsAreSubtotals="1" fieldPosition="0"/>
    </format>
    <format dxfId="38">
      <pivotArea field="3" type="button" dataOnly="0" labelOnly="1" outline="0" axis="axisRow" fieldPosition="0"/>
    </format>
    <format dxfId="37">
      <pivotArea field="10" type="button" dataOnly="0" labelOnly="1" outline="0" axis="axisRow" fieldPosition="1"/>
    </format>
    <format dxfId="36">
      <pivotArea dataOnly="0" labelOnly="1" outline="0" fieldPosition="0">
        <references count="1">
          <reference field="3" count="0"/>
        </references>
      </pivotArea>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dataOnly="0" labelOnly="1" outline="0" fieldPosition="0">
        <references count="1">
          <reference field="3" count="0"/>
        </references>
      </pivotArea>
    </format>
    <format dxfId="31">
      <pivotArea field="3" type="button" dataOnly="0" labelOnly="1" outline="0" axis="axisRow" fieldPosition="0"/>
    </format>
    <format dxfId="30">
      <pivotArea field="10" type="button" dataOnly="0" labelOnly="1" outline="0" axis="axisRow" fieldPosition="1"/>
    </format>
    <format dxfId="29">
      <pivotArea dataOnly="0" labelOnly="1" outline="0" axis="axisValues" fieldPosition="0"/>
    </format>
    <format dxfId="28">
      <pivotArea field="3" type="button" dataOnly="0" labelOnly="1" outline="0" axis="axisRow" fieldPosition="0"/>
    </format>
    <format dxfId="27">
      <pivotArea field="10" type="button" dataOnly="0" labelOnly="1" outline="0" axis="axisRow" fieldPosition="1"/>
    </format>
    <format dxfId="26">
      <pivotArea dataOnly="0" labelOnly="1" outline="0" axis="axisValues" fieldPosition="0"/>
    </format>
  </formats>
  <chartFormats count="3">
    <chartFormat chart="3" format="8" series="1">
      <pivotArea type="data" outline="0" fieldPosition="0">
        <references count="1">
          <reference field="4294967294" count="1" selected="0">
            <x v="0"/>
          </reference>
        </references>
      </pivotArea>
    </chartFormat>
    <chartFormat chart="7" format="24" series="1">
      <pivotArea type="data" outline="0" fieldPosition="0">
        <references count="1">
          <reference field="4294967294" count="1" selected="0">
            <x v="0"/>
          </reference>
        </references>
      </pivotArea>
    </chartFormat>
    <chartFormat chart="7" format="28">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6C106C3-6D8D-495C-9F91-6891519411A9}" name="OppLevelsbyOppOwner" cacheId="14"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7">
  <location ref="B6:D7" firstHeaderRow="1" firstDataRow="1" firstDataCol="2"/>
  <pivotFields count="15">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dataField="1"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s>
  <rowFields count="2">
    <field x="4"/>
    <field x="10"/>
  </rowFields>
  <rowItems count="1">
    <i>
      <x/>
      <x/>
    </i>
  </rowItems>
  <colItems count="1">
    <i/>
  </colItems>
  <dataFields count="1">
    <dataField name="Count of OPP LEVEL" fld="10" subtotal="count" baseField="0" baseItem="0"/>
  </dataFields>
  <formats count="10">
    <format dxfId="25">
      <pivotArea type="origin" dataOnly="0" labelOnly="1" outline="0" fieldPosition="0"/>
    </format>
    <format dxfId="24">
      <pivotArea field="10" type="button" dataOnly="0" labelOnly="1" outline="0" axis="axisRow" fieldPosition="1"/>
    </format>
    <format dxfId="23">
      <pivotArea type="topRight" dataOnly="0" labelOnly="1" outline="0" fieldPosition="0"/>
    </format>
    <format dxfId="22">
      <pivotArea field="4" type="button" dataOnly="0" labelOnly="1" outline="0" axis="axisRow" fieldPosition="0"/>
    </format>
    <format dxfId="21">
      <pivotArea dataOnly="0" labelOnly="1" outline="0" fieldPosition="0">
        <references count="1">
          <reference field="10" count="0"/>
        </references>
      </pivotArea>
    </format>
    <format dxfId="20">
      <pivotArea type="origin" dataOnly="0" labelOnly="1" outline="0" fieldPosition="0"/>
    </format>
    <format dxfId="19">
      <pivotArea field="10" type="button" dataOnly="0" labelOnly="1" outline="0" axis="axisRow" fieldPosition="1"/>
    </format>
    <format dxfId="18">
      <pivotArea type="topRight" dataOnly="0" labelOnly="1" outline="0" fieldPosition="0"/>
    </format>
    <format dxfId="17">
      <pivotArea field="4" type="button" dataOnly="0" labelOnly="1" outline="0" axis="axisRow" fieldPosition="0"/>
    </format>
    <format dxfId="16">
      <pivotArea dataOnly="0" labelOnly="1" outline="0" fieldPosition="0">
        <references count="1">
          <reference field="10" count="0"/>
        </references>
      </pivotArea>
    </format>
  </formats>
  <chartFormats count="2">
    <chartFormat chart="6" format="22" series="1">
      <pivotArea type="data" outline="0" fieldPosition="0">
        <references count="1">
          <reference field="4294967294" count="1" selected="0">
            <x v="0"/>
          </reference>
        </references>
      </pivotArea>
    </chartFormat>
    <chartFormat chart="6" format="26">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E63CC3D-6C72-4A85-A670-F2F727C2666D}" name="PivotTable8" cacheId="14"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10">
  <location ref="B6:D7" firstHeaderRow="1" firstDataRow="1" firstDataCol="2"/>
  <pivotFields count="15">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
        <item x="0"/>
      </items>
    </pivotField>
    <pivotField compact="0" outline="0" showAll="0" defaultSubtotal="0"/>
    <pivotField axis="axisRow" compact="0" outline="0" showAll="0" defaultSubtotal="0">
      <items count="1">
        <item x="0"/>
      </items>
    </pivotField>
    <pivotField compact="0" outline="0" showAll="0" defaultSubtotal="0"/>
    <pivotField compact="0" outline="0" showAll="0" defaultSubtotal="0"/>
  </pivotFields>
  <rowFields count="2">
    <field x="12"/>
    <field x="10"/>
  </rowFields>
  <rowItems count="1">
    <i>
      <x/>
      <x/>
    </i>
  </rowItems>
  <colItems count="1">
    <i/>
  </colItems>
  <dataFields count="1">
    <dataField name="Count of REF" fld="0" subtotal="count" baseField="12" baseItem="0"/>
  </dataFields>
  <formats count="12">
    <format dxfId="15">
      <pivotArea type="origin" dataOnly="0" labelOnly="1" outline="0" fieldPosition="0"/>
    </format>
    <format dxfId="14">
      <pivotArea field="10" type="button" dataOnly="0" labelOnly="1" outline="0" axis="axisRow" fieldPosition="1"/>
    </format>
    <format dxfId="13">
      <pivotArea type="topRight" dataOnly="0" labelOnly="1" outline="0" fieldPosition="0"/>
    </format>
    <format dxfId="12">
      <pivotArea field="4" type="button" dataOnly="0" labelOnly="1" outline="0"/>
    </format>
    <format dxfId="11">
      <pivotArea type="origin" dataOnly="0" labelOnly="1" outline="0" fieldPosition="0"/>
    </format>
    <format dxfId="10">
      <pivotArea field="10" type="button" dataOnly="0" labelOnly="1" outline="0" axis="axisRow" fieldPosition="1"/>
    </format>
    <format dxfId="9">
      <pivotArea type="topRight" dataOnly="0" labelOnly="1" outline="0" fieldPosition="0"/>
    </format>
    <format dxfId="8">
      <pivotArea field="4" type="button" dataOnly="0" labelOnly="1" outline="0"/>
    </format>
    <format dxfId="7">
      <pivotArea field="12" type="button" dataOnly="0" labelOnly="1" outline="0" axis="axisRow" fieldPosition="0"/>
    </format>
    <format dxfId="6">
      <pivotArea dataOnly="0" labelOnly="1" outline="0" fieldPosition="0">
        <references count="1">
          <reference field="10" count="0"/>
        </references>
      </pivotArea>
    </format>
    <format dxfId="5">
      <pivotArea field="12" type="button" dataOnly="0" labelOnly="1" outline="0" axis="axisRow" fieldPosition="0"/>
    </format>
    <format dxfId="4">
      <pivotArea dataOnly="0" labelOnly="1" outline="0" fieldPosition="0">
        <references count="1">
          <reference field="10" count="0"/>
        </references>
      </pivotArea>
    </format>
  </formats>
  <chartFormats count="2">
    <chartFormat chart="8" format="8" series="1">
      <pivotArea type="data" outline="0" fieldPosition="0">
        <references count="1">
          <reference field="4294967294" count="1" selected="0">
            <x v="0"/>
          </reference>
        </references>
      </pivotArea>
    </chartFormat>
    <chartFormat chart="8" format="12">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owner" xr10:uid="{921E164C-7E4B-4D58-8669-337FF955E160}" sourceName="Risk Owner">
  <extLst>
    <x:ext xmlns:x15="http://schemas.microsoft.com/office/spreadsheetml/2010/11/main" uri="{2F2917AC-EB37-4324-AD4E-5DD8C200BD13}">
      <x15:tableSlicerCache tableId="7" column="1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44D9DC60-06F1-405A-9B62-BA9DABF4FC0D}" sourceName="Risk Level">
  <extLst>
    <x:ext xmlns:x15="http://schemas.microsoft.com/office/spreadsheetml/2010/11/main" uri="{2F2917AC-EB37-4324-AD4E-5DD8C200BD13}">
      <x15:tableSlicerCache tableId="7" column="26"/>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option_chosen" xr10:uid="{56A1E080-9C2A-432B-A7AE-577A9E3F6510}" sourceName="Treatment Option Chosen">
  <extLst>
    <x:ext xmlns:x15="http://schemas.microsoft.com/office/spreadsheetml/2010/11/main" uri="{2F2917AC-EB37-4324-AD4E-5DD8C200BD13}">
      <x15:tableSlicerCache tableId="7" column="2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PORTUNITY_TYPE" xr10:uid="{08202F61-46E5-4E74-B4B7-78BA09F48AF0}" sourceName="OPP TYPE">
  <extLst>
    <x:ext xmlns:x15="http://schemas.microsoft.com/office/spreadsheetml/2010/11/main" uri="{2F2917AC-EB37-4324-AD4E-5DD8C200BD13}">
      <x15:tableSlicerCache tableId="6" column="2"/>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PORTUNITY_OWNER" xr10:uid="{136D3E5C-5041-4DD1-9617-F0237E63391A}" sourceName="OPP OWNER">
  <extLst>
    <x:ext xmlns:x15="http://schemas.microsoft.com/office/spreadsheetml/2010/11/main" uri="{2F2917AC-EB37-4324-AD4E-5DD8C200BD13}">
      <x15:tableSlicerCache tableId="6" column="6"/>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PORTUNITY_LEVEL" xr10:uid="{C8D2DFEF-7BD3-4697-A351-34AB15543DE6}" sourceName="OPP LEVEL">
  <extLst>
    <x:ext xmlns:x15="http://schemas.microsoft.com/office/spreadsheetml/2010/11/main" uri="{2F2917AC-EB37-4324-AD4E-5DD8C200BD13}">
      <x15:tableSlicerCache tableId="6" column="26"/>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ON_OWNER" xr10:uid="{6A252F6B-01A9-431A-B19E-434777026A43}" sourceName="ACTION OWNER">
  <extLst>
    <x:ext xmlns:x15="http://schemas.microsoft.com/office/spreadsheetml/2010/11/main" uri="{2F2917AC-EB37-4324-AD4E-5DD8C200BD13}">
      <x15:tableSlicerCache tableId="6" column="13"/>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Action_Owner" xr10:uid="{EE17F3E2-4BDF-4055-9D13-1E9B36B68A8B}" sourceName="Treatment Action Owner">
  <extLst>
    <x:ext xmlns:x15="http://schemas.microsoft.com/office/spreadsheetml/2010/11/main" uri="{2F2917AC-EB37-4324-AD4E-5DD8C200BD13}">
      <x15:tableSlicerCache tableId="7" column="4"/>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_Treatment_Risk_Level" xr10:uid="{6EA9597E-9D59-4267-8D21-509089573208}" sourceName="Post-Treatment Risk Level">
  <extLst>
    <x:ext xmlns:x15="http://schemas.microsoft.com/office/spreadsheetml/2010/11/main" uri="{2F2917AC-EB37-4324-AD4E-5DD8C200BD13}">
      <x15:tableSlicerCache tableId="7" column="3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 owner 1" xr10:uid="{3DB1AB7E-D3A2-43BE-8560-DD7F7C25B552}" cache="Slicer_Risk_owner" caption="Risk Owner" style="CertiKit Slicer 2" rowHeight="241300"/>
  <slicer name="Risk level 1" xr10:uid="{A4E83D5A-CCCA-4129-9EA6-4E9D38CB4409}" cache="Slicer_Risk_level" caption="Risk Level" style="CertiKit Slicer 2" rowHeight="241300"/>
  <slicer name="Treatment option chosen 1" xr10:uid="{6B9C8FDA-F6ED-43E9-B1CA-D569462292CB}" cache="Slicer_Treatment_option_chosen" caption="Treatment Option Chosen" style="CertiKit Slicer 2" rowHeight="241300"/>
  <slicer name="Treatment Action Owner" xr10:uid="{DD24C5AB-810E-41BC-81D4-4DEA209E0B36}" cache="Slicer_Treatment_Action_Owner" caption="Treatment Action Owner" style="CertiKit Slicer 2" rowHeight="241300"/>
  <slicer name="Post-Treatment Risk Level" xr10:uid="{666BDF38-7C5A-4675-B563-CFA1A17D6049}" cache="Slicer_Post_Treatment_Risk_Level" caption="Post-Treatment Risk Level" style="CertiKit Slicer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PPORTUNITY TYPE" xr10:uid="{D29288DC-930A-46E7-82FD-28D42A86AE46}" cache="Slicer_OPPORTUNITY_TYPE" caption="OPP TYPE" style="CertiKit Slicer 2" rowHeight="241300"/>
  <slicer name="OPPORTUNITY OWNER" xr10:uid="{E8A50345-5E30-4891-9361-79C7542387D7}" cache="Slicer_OPPORTUNITY_OWNER" caption="OPP OWNER" style="CertiKit Slicer 2" rowHeight="241300"/>
  <slicer name="OPPORTUNITY LEVEL" xr10:uid="{CDD71A7E-B51F-4397-93BA-EEFFC3E831C7}" cache="Slicer_OPPORTUNITY_LEVEL" caption="OPP LEVEL" style="CertiKit Slicer 2" rowHeight="241300"/>
  <slicer name="ACTION OWNER" xr10:uid="{914797C4-E974-485D-A3EC-036DF027B65C}" cache="Slicer_ACTION_OWNER" caption="ACTION OWNER" style="CertiKit Slicer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20A5B6B-6645-4BB4-B179-1BBF22613F16}" name="RiskAssessment" displayName="RiskAssessment" ref="B14:X34" totalsRowShown="0" headerRowDxfId="159" dataDxfId="158">
  <autoFilter ref="B14:X34" xr:uid="{331DA5F4-9C06-4134-AE8F-9805BF57E53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xr3:uid="{7780B8FA-8743-4524-865B-12BD63D2056E}" name="Ref" dataDxfId="157"/>
    <tableColumn id="2" xr3:uid="{3278FB7C-91F3-417D-B3D1-6874CF833910}" name="Risk Summary" dataDxfId="156"/>
    <tableColumn id="19" xr3:uid="{4E15988A-2261-4CAC-BF91-59F1BA730F4D}" name="Risk Description" dataDxfId="155"/>
    <tableColumn id="14" xr3:uid="{A53DA3AA-36F7-400B-A24B-61AFD64480AC}" name="Risk Owner" dataDxfId="154"/>
    <tableColumn id="7" xr3:uid="{88F4F6C4-C558-4511-BD94-F92314B01A77}" name="Existing Controls" dataDxfId="153"/>
    <tableColumn id="8" xr3:uid="{0AA282DC-3088-4338-80C5-2EF25A907C36}" name="Likelihood" dataDxfId="152"/>
    <tableColumn id="9" xr3:uid="{84AE39E5-D4CF-48F2-AE20-B65A24BC706B}" name="Likelihood Rationale" dataDxfId="151"/>
    <tableColumn id="10" xr3:uid="{CA483CC8-0A9F-49F4-8467-9C42A0694C13}" name="Impact" dataDxfId="150"/>
    <tableColumn id="11" xr3:uid="{CFD1BC19-E865-4532-B678-79A520B128C6}" name="Impact Rationale" dataDxfId="149"/>
    <tableColumn id="12" xr3:uid="{B7F199D4-99F3-4A9C-9D92-102D2EF262D7}" name="Risk Score" dataDxfId="148">
      <calculatedColumnFormula>IFERROR(RiskAssessment[[#This Row],[Likelihood]]*RiskAssessment[[#This Row],[Impact]],"Calculated")</calculatedColumnFormula>
    </tableColumn>
    <tableColumn id="26" xr3:uid="{92D3F116-E810-44D0-9D9E-7FBEB1DEB8D8}" name="Risk Level" dataDxfId="147">
      <calculatedColumnFormula>IF(K15="Calculated", "Calculated", IF(K15&gt;11, " HIGH",IF(K15&gt;4," MEDIUM"," LOW")))</calculatedColumnFormula>
    </tableColumn>
    <tableColumn id="25" xr3:uid="{4A288FE7-5236-47D2-A80C-C3EFE89D249B}" name="Treatment Option Chosen" dataDxfId="146"/>
    <tableColumn id="24" xr3:uid="{E68F9F93-9B81-4C6A-A901-3CB89BBDB0C3}" name="Proposed Treatment Action" dataDxfId="145"/>
    <tableColumn id="3" xr3:uid="{C467135A-7F74-4D80-82ED-D5D5BFC469B5}" name="Treatment Cost" dataDxfId="144"/>
    <tableColumn id="4" xr3:uid="{D61374C6-84C0-4D88-83CB-C627AAFDFF99}" name="Treatment Action Owner" dataDxfId="143"/>
    <tableColumn id="5" xr3:uid="{44BD9CAA-A7C5-489D-A156-DB7C0D350F7B}" name="Treatment Action Timescale" dataDxfId="142"/>
    <tableColumn id="23" xr3:uid="{0C955E08-3829-43CE-AD97-7CAC6D3BE74A}" name="Post-Treatment Likelihood" dataDxfId="141"/>
    <tableColumn id="22" xr3:uid="{FC0F7D48-D51C-4F43-B569-3F3866789458}" name="Post-Treatment Likelihood Rationale" dataDxfId="140"/>
    <tableColumn id="20" xr3:uid="{8099D3FF-BFC9-4F1E-8F43-237A9CAEC5F4}" name="Post- Treatment Impact" dataDxfId="139"/>
    <tableColumn id="34" xr3:uid="{A042F55B-EB28-4B01-BDE5-0C5066129EAD}" name="Post-Treatment Impact Rationale" dataDxfId="138"/>
    <tableColumn id="33" xr3:uid="{77FF60DC-16CE-4E05-B011-A7DAE2503C53}" name="Post-Treatment Risk Score" dataDxfId="137">
      <calculatedColumnFormula>IFERROR(RiskAssessment[[#This Row],[Post-Treatment Likelihood]]*RiskAssessment[[#This Row],[Post- Treatment Impact]],"Calculated")</calculatedColumnFormula>
    </tableColumn>
    <tableColumn id="32" xr3:uid="{02FDD454-ECC7-411C-896E-F510AA417304}" name="Post-Treatment Risk Level" dataDxfId="136">
      <calculatedColumnFormula>IF(V15="Calculated", "Calculated", IF(V15&gt;11, " HIGH",IF(V15&gt;4," MEDIUM"," LOW")))</calculatedColumnFormula>
    </tableColumn>
    <tableColumn id="31" xr3:uid="{6F81B6AE-B322-464A-9CA3-F6649B4E74FA}" name="Comments" dataDxfId="135"/>
  </tableColumns>
  <tableStyleInfo name="CertiKit table sty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ED78021-C44C-4BC5-A2FE-DEB966C17D14}" name="RiskAssessment7" displayName="RiskAssessment7" ref="B12:P32" totalsRowShown="0" headerRowDxfId="131" dataDxfId="130">
  <autoFilter ref="B12:P32" xr:uid="{5D7DF766-2681-418F-ADFD-5A2BFBC888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ADC232A-48BC-42C0-9448-ABE967CCC3CD}" name="REF" dataDxfId="129"/>
    <tableColumn id="19" xr3:uid="{66403503-948D-41EF-8E8E-158B01BFACE0}" name="OPP SUMMARY" dataDxfId="128"/>
    <tableColumn id="14" xr3:uid="{9918A0AE-F3C4-4B78-A19F-113890B8A67A}" name="OPP DESCRIPTION" dataDxfId="127"/>
    <tableColumn id="2" xr3:uid="{C442DE06-7E5D-4DBF-AF7C-FFBFB0BD9197}" name="OPP TYPE" dataDxfId="126"/>
    <tableColumn id="6" xr3:uid="{892DD284-55F7-47FB-ADA6-4E601E704BFA}" name="OPP OWNER" dataDxfId="125"/>
    <tableColumn id="8" xr3:uid="{F15BE828-4E77-4441-BAAC-C771A45CB5B3}" name="LIKELIHOOD" dataDxfId="124"/>
    <tableColumn id="9" xr3:uid="{82225DE9-4930-4527-A378-EACF6F50784C}" name="LIKELIHOOD RATIONALE" dataDxfId="123"/>
    <tableColumn id="10" xr3:uid="{5A1C6488-599A-4206-904E-A90B282C0F94}" name="IMPACT" dataDxfId="122"/>
    <tableColumn id="11" xr3:uid="{575EE671-CA0A-4B80-98BF-054A37EBB603}" name="IMPACT RATIONALE" dataDxfId="121"/>
    <tableColumn id="12" xr3:uid="{E04492E2-6196-421E-9E41-2FEDC2C946A5}" name="OPP SCORE" dataDxfId="120">
      <calculatedColumnFormula>IFERROR(RiskAssessment7[[#This Row],[LIKELIHOOD]]*RiskAssessment7[[#This Row],[IMPACT]],"Calculated")</calculatedColumnFormula>
    </tableColumn>
    <tableColumn id="26" xr3:uid="{975ED494-94F1-4E9A-BACB-3D765DA09309}" name="OPP LEVEL" dataDxfId="119">
      <calculatedColumnFormula>IF(K13="Calculated", "Calculated", IF(K13&gt;11, " HIGH",IF(K13&gt;4," MEDIUM"," LOW")))</calculatedColumnFormula>
    </tableColumn>
    <tableColumn id="24" xr3:uid="{17DD0E65-E624-407E-8F97-79703D7311D7}" name="ACTION" dataDxfId="118"/>
    <tableColumn id="13" xr3:uid="{122E2A97-B60F-4CD1-8C11-575B11978880}" name="ACTION OWNER" dataDxfId="117"/>
    <tableColumn id="4" xr3:uid="{8F87123A-B4D4-4BF6-8954-2A44FF24706E}" name="ACTION TIMESCALE" dataDxfId="116"/>
    <tableColumn id="3" xr3:uid="{6664EE67-CDF0-422B-8991-187B3F844EEF}" name="COMMENTS" dataDxfId="115"/>
  </tableColumns>
  <tableStyleInfo name="CertiKit table style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A7CC534-ADA4-4328-BFA0-54C30C0809A7}" name="PreMitigationRisksByRiskLevel" displayName="PreMitigationRisksByRiskLevel" ref="B6:C9" totalsRowShown="0" headerRowDxfId="110">
  <autoFilter ref="B6:C9" xr:uid="{1D6CCEE6-D9D6-4BC3-B436-C42E19EE8D08}"/>
  <tableColumns count="2">
    <tableColumn id="1" xr3:uid="{096C5AC1-64C0-4288-A62F-29A247EFB295}" name="Risk level"/>
    <tableColumn id="2" xr3:uid="{F3F2A240-5A2E-4D43-92B0-5B6A8B447CE1}" name="Pre-treatment" dataDxfId="109">
      <calculatedColumnFormula>COUNTIF(RiskAssessment[Risk Level],PreMitigationRisksByRiskLevel[[#This Row],[Risk level]])</calculatedColumnFormula>
    </tableColumn>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0A03EDF-5E7B-4F44-92AB-3B7758D7A510}" name="RisksByRiskLevelPreandPostTreatment10" displayName="RisksByRiskLevelPreandPostTreatment10" ref="B6:C9" totalsRowShown="0" headerRowDxfId="86">
  <autoFilter ref="B6:C9" xr:uid="{2D70BB3E-58CA-4064-91BE-429DFD31A440}"/>
  <tableColumns count="2">
    <tableColumn id="1" xr3:uid="{21EBEA84-F002-4434-9668-E3C52BB7F83E}" name="Risk level"/>
    <tableColumn id="3" xr3:uid="{7813F6E6-2C81-4B3C-AA95-40A381E9DBBF}" name="Post-treatment" dataDxfId="85">
      <calculatedColumnFormula>COUNTIF(RiskAssessment[Post-Treatment Risk Level],RisksByRiskLevelPreandPostTreatment10[[#This Row],[Risk level]])</calculatedColumnFormula>
    </tableColumn>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97B5E16-368C-46C4-A85E-75B034856876}" name="PreMitigationRisksByRiskLevel10" displayName="PreMitigationRisksByRiskLevel10" ref="B6:D9" totalsRowShown="0" headerRowDxfId="76">
  <autoFilter ref="B6:D9" xr:uid="{6EE7FA35-2C0E-4811-8A8E-BF10ADBAC7EA}"/>
  <tableColumns count="3">
    <tableColumn id="1" xr3:uid="{EBE5C9C9-75AF-4CD7-A10F-AD5C9E7BB11B}" name="Risk level"/>
    <tableColumn id="2" xr3:uid="{F6E82F6F-D087-45A2-9116-28F8384C4625}" name="Pre-treatment" dataDxfId="75">
      <calculatedColumnFormula>COUNTIF(RiskAssessment[Risk Level],PreMitigationRisksByRiskLevel10[[#This Row],[Risk level]])</calculatedColumnFormula>
    </tableColumn>
    <tableColumn id="3" xr3:uid="{07C41EE8-4EBE-4E16-8836-0F312AF76C65}" name="Post-treatment" dataDxfId="74">
      <calculatedColumnFormula>COUNTIF(RiskAssessment[Post-Treatment Risk Level],PreMitigationRisksByRiskLevel10[[#This Row],[Risk level]])</calculatedColumnFormula>
    </tableColumn>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27D71F-7096-44AD-865E-C4E925D95B25}" name="OnetoFive" displayName="OnetoFive" ref="B6:B12" totalsRowShown="0" headerRowDxfId="3" dataDxfId="2">
  <autoFilter ref="B6:B12" xr:uid="{53E7F917-CE3C-45CA-BA10-709121A44293}">
    <filterColumn colId="0" hiddenButton="1"/>
  </autoFilter>
  <tableColumns count="1">
    <tableColumn id="1" xr3:uid="{5364270F-A323-40A1-A90B-30119CD587D5}" name="ONE TO FIVE" dataDxfId="1"/>
  </tableColumns>
  <tableStyleInfo name="CertiKit table style 2"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C6DD06-659A-4CDF-A327-841FDA7D159C}" name="Options" displayName="Options" ref="D6:D11" totalsRowShown="0" headerRowDxfId="0">
  <autoFilter ref="D6:D11" xr:uid="{45576131-8111-4F4B-847C-3395F8FC4342}">
    <filterColumn colId="0" hiddenButton="1"/>
  </autoFilter>
  <tableColumns count="1">
    <tableColumn id="1" xr3:uid="{40850E87-988C-4D35-BD9B-533BCAD5ED19}" name="TREATMENT OPTIONS"/>
  </tableColumns>
  <tableStyleInfo name="CertiKit table style 2" showFirstColumn="0" showLastColumn="0" showRowStripes="0" showColumnStripes="0"/>
</table>
</file>

<file path=xl/theme/theme1.xml><?xml version="1.0" encoding="utf-8"?>
<a:theme xmlns:a="http://schemas.openxmlformats.org/drawingml/2006/main" name="CertiKit Theme">
  <a:themeElements>
    <a:clrScheme name="CertiKit Excel Colours">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omments" Target="../comments2.xml"/><Relationship Id="rId5" Type="http://schemas.microsoft.com/office/2007/relationships/slicer" Target="../slicers/slicer2.xml"/><Relationship Id="rId4"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7BBA9-8241-4A62-9880-2DF99DEDC9E9}">
  <dimension ref="A2:B28"/>
  <sheetViews>
    <sheetView showGridLines="0" tabSelected="1" zoomScaleNormal="100" workbookViewId="0"/>
  </sheetViews>
  <sheetFormatPr defaultColWidth="9.140625" defaultRowHeight="15" x14ac:dyDescent="0.25"/>
  <cols>
    <col min="1" max="1" width="2.85546875" style="3" customWidth="1"/>
    <col min="2" max="2" width="97" style="3" customWidth="1"/>
    <col min="3" max="16384" width="9.140625" style="3"/>
  </cols>
  <sheetData>
    <row r="2" spans="1:2" x14ac:dyDescent="0.25">
      <c r="B2" s="4"/>
    </row>
    <row r="3" spans="1:2" x14ac:dyDescent="0.25">
      <c r="B3" s="4"/>
    </row>
    <row r="4" spans="1:2" x14ac:dyDescent="0.25">
      <c r="B4" s="4"/>
    </row>
    <row r="5" spans="1:2" x14ac:dyDescent="0.25">
      <c r="B5" s="4"/>
    </row>
    <row r="6" spans="1:2" x14ac:dyDescent="0.25">
      <c r="B6" s="4"/>
    </row>
    <row r="7" spans="1:2" x14ac:dyDescent="0.25">
      <c r="B7" s="4"/>
    </row>
    <row r="8" spans="1:2" ht="38.25" x14ac:dyDescent="0.25">
      <c r="B8" s="2" t="s">
        <v>274</v>
      </c>
    </row>
    <row r="10" spans="1:2" ht="111" x14ac:dyDescent="0.25">
      <c r="B10" s="2" t="s">
        <v>275</v>
      </c>
    </row>
    <row r="12" spans="1:2" ht="51" x14ac:dyDescent="0.25">
      <c r="B12" s="2" t="s">
        <v>276</v>
      </c>
    </row>
    <row r="14" spans="1:2" ht="141" x14ac:dyDescent="0.25">
      <c r="A14" s="94"/>
      <c r="B14" s="2" t="s">
        <v>277</v>
      </c>
    </row>
    <row r="15" spans="1:2" x14ac:dyDescent="0.25">
      <c r="A15" s="94"/>
      <c r="B15" s="95"/>
    </row>
    <row r="16" spans="1:2" ht="325.5" customHeight="1" x14ac:dyDescent="0.25">
      <c r="B16" s="2" t="s">
        <v>278</v>
      </c>
    </row>
    <row r="18" spans="2:2" ht="51" x14ac:dyDescent="0.25">
      <c r="B18" s="2" t="s">
        <v>298</v>
      </c>
    </row>
    <row r="20" spans="2:2" ht="36" x14ac:dyDescent="0.25">
      <c r="B20" s="2" t="s">
        <v>279</v>
      </c>
    </row>
    <row r="22" spans="2:2" ht="66" x14ac:dyDescent="0.25">
      <c r="B22" s="2" t="s">
        <v>280</v>
      </c>
    </row>
    <row r="24" spans="2:2" ht="96" x14ac:dyDescent="0.25">
      <c r="B24" s="2" t="s">
        <v>281</v>
      </c>
    </row>
    <row r="26" spans="2:2" ht="246" x14ac:dyDescent="0.25">
      <c r="B26" s="2" t="s">
        <v>282</v>
      </c>
    </row>
    <row r="27" spans="2:2" ht="15.75" thickBot="1" x14ac:dyDescent="0.3">
      <c r="B27" s="96"/>
    </row>
    <row r="28" spans="2:2" ht="15.75" thickTop="1" x14ac:dyDescent="0.25"/>
  </sheetData>
  <sheetProtection selectLockedCells="1" selectUnlockedCells="1"/>
  <pageMargins left="0.70866141732283472" right="0.70866141732283472" top="0.74803149606299213" bottom="0.74803149606299213" header="0.31496062992125984" footer="0.31496062992125984"/>
  <pageSetup paperSize="9" orientation="portrait" horizontalDpi="1200" verticalDpi="1200" r:id="rId1"/>
  <headerFooter>
    <oddFooter>&amp;L&amp;D&amp;CPage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C72ED-E216-40CF-94BF-DA9B215A59B6}">
  <dimension ref="A2:C19"/>
  <sheetViews>
    <sheetView showGridLines="0" zoomScaleNormal="100" workbookViewId="0"/>
  </sheetViews>
  <sheetFormatPr defaultColWidth="9.140625" defaultRowHeight="15" x14ac:dyDescent="0.25"/>
  <cols>
    <col min="1" max="1" width="2.85546875" style="3" customWidth="1"/>
    <col min="2" max="2" width="25" style="3" customWidth="1"/>
    <col min="3" max="3" width="64.140625" style="3" customWidth="1"/>
    <col min="4" max="16384" width="9.140625" style="3"/>
  </cols>
  <sheetData>
    <row r="2" spans="1:3" x14ac:dyDescent="0.25">
      <c r="B2" s="4"/>
    </row>
    <row r="3" spans="1:3" x14ac:dyDescent="0.25">
      <c r="B3" s="4"/>
    </row>
    <row r="4" spans="1:3" x14ac:dyDescent="0.25">
      <c r="B4" s="4"/>
    </row>
    <row r="5" spans="1:3" x14ac:dyDescent="0.25">
      <c r="B5" s="4"/>
    </row>
    <row r="6" spans="1:3" x14ac:dyDescent="0.25">
      <c r="B6" s="4"/>
    </row>
    <row r="8" spans="1:3" ht="21" x14ac:dyDescent="0.25">
      <c r="B8" s="8" t="s">
        <v>1</v>
      </c>
    </row>
    <row r="10" spans="1:3" ht="30" x14ac:dyDescent="0.25">
      <c r="B10" s="27" t="s">
        <v>221</v>
      </c>
      <c r="C10" s="97" t="s">
        <v>283</v>
      </c>
    </row>
    <row r="11" spans="1:3" ht="30" x14ac:dyDescent="0.25">
      <c r="A11" s="29"/>
      <c r="B11" s="27" t="s">
        <v>222</v>
      </c>
      <c r="C11" s="97" t="s">
        <v>284</v>
      </c>
    </row>
    <row r="12" spans="1:3" ht="30" x14ac:dyDescent="0.25">
      <c r="A12" s="29"/>
      <c r="B12" s="28" t="s">
        <v>223</v>
      </c>
      <c r="C12" s="98" t="s">
        <v>285</v>
      </c>
    </row>
    <row r="13" spans="1:3" ht="30" x14ac:dyDescent="0.25">
      <c r="A13" s="29"/>
      <c r="B13" s="30" t="s">
        <v>56</v>
      </c>
      <c r="C13" s="99" t="s">
        <v>286</v>
      </c>
    </row>
    <row r="14" spans="1:3" ht="30" x14ac:dyDescent="0.25">
      <c r="A14" s="29"/>
      <c r="B14" s="27" t="s">
        <v>57</v>
      </c>
      <c r="C14" s="97" t="s">
        <v>287</v>
      </c>
    </row>
    <row r="15" spans="1:3" ht="30" x14ac:dyDescent="0.25">
      <c r="A15" s="29"/>
      <c r="B15" s="30" t="s">
        <v>58</v>
      </c>
      <c r="C15" s="100" t="s">
        <v>288</v>
      </c>
    </row>
    <row r="16" spans="1:3" ht="30" x14ac:dyDescent="0.25">
      <c r="A16" s="29"/>
      <c r="B16" s="27" t="s">
        <v>224</v>
      </c>
      <c r="C16" s="97" t="s">
        <v>289</v>
      </c>
    </row>
    <row r="17" spans="1:3" ht="30" x14ac:dyDescent="0.25">
      <c r="A17" s="29"/>
      <c r="B17" s="27" t="s">
        <v>225</v>
      </c>
      <c r="C17" s="97" t="s">
        <v>290</v>
      </c>
    </row>
    <row r="18" spans="1:3" ht="30" x14ac:dyDescent="0.25">
      <c r="A18" s="29"/>
      <c r="B18" s="30" t="s">
        <v>59</v>
      </c>
      <c r="C18" s="98" t="s">
        <v>291</v>
      </c>
    </row>
    <row r="19" spans="1:3" ht="30" x14ac:dyDescent="0.25">
      <c r="A19" s="29"/>
      <c r="B19" s="27" t="s">
        <v>60</v>
      </c>
      <c r="C19" s="101" t="s">
        <v>292</v>
      </c>
    </row>
  </sheetData>
  <sheetProtection selectLockedCells="1"/>
  <pageMargins left="0.70866141732283472" right="0.70866141732283472" top="0.74803149606299213" bottom="0.74803149606299213" header="0.31496062992125984" footer="0.31496062992125984"/>
  <pageSetup paperSize="9" scale="94" orientation="portrait" horizontalDpi="1200" verticalDpi="1200" r:id="rId1"/>
  <headerFooter>
    <oddFooter>&amp;L&amp;D&amp;CPage &amp;P of &amp;N</oddFooter>
  </headerFooter>
  <colBreaks count="1" manualBreakCount="1">
    <brk id="3" max="1048575" man="1"/>
  </col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710DC-A629-4296-81D8-97D7450DC101}">
  <sheetPr codeName="Sheet3">
    <pageSetUpPr fitToPage="1"/>
  </sheetPr>
  <dimension ref="B2:AL52"/>
  <sheetViews>
    <sheetView showGridLines="0" zoomScaleNormal="100" workbookViewId="0"/>
  </sheetViews>
  <sheetFormatPr defaultColWidth="9.140625" defaultRowHeight="15" x14ac:dyDescent="0.25"/>
  <cols>
    <col min="1" max="1" width="2.85546875" style="16" customWidth="1"/>
    <col min="2" max="2" width="4.28515625" style="16" customWidth="1"/>
    <col min="3" max="3" width="14.42578125" style="16" customWidth="1"/>
    <col min="4" max="4" width="24.85546875" style="16" customWidth="1"/>
    <col min="5" max="5" width="10.7109375" style="16" bestFit="1" customWidth="1"/>
    <col min="6" max="6" width="22" style="16" customWidth="1"/>
    <col min="7" max="7" width="13.140625" style="16" customWidth="1"/>
    <col min="8" max="8" width="18.140625" style="16" customWidth="1"/>
    <col min="9" max="9" width="7.85546875" style="16" bestFit="1" customWidth="1"/>
    <col min="10" max="10" width="22.140625" style="16" customWidth="1"/>
    <col min="11" max="11" width="10.85546875" style="16" customWidth="1"/>
    <col min="12" max="12" width="11.7109375" style="16" customWidth="1"/>
    <col min="13" max="13" width="13.7109375" style="16" bestFit="1" customWidth="1"/>
    <col min="14" max="14" width="21.42578125" style="16" customWidth="1"/>
    <col min="15" max="15" width="11.42578125" style="16" bestFit="1" customWidth="1"/>
    <col min="16" max="16" width="13" style="16" customWidth="1"/>
    <col min="17" max="17" width="11.85546875" style="16" customWidth="1"/>
    <col min="18" max="18" width="15.5703125" style="16" bestFit="1" customWidth="1"/>
    <col min="19" max="19" width="14.7109375" style="16" bestFit="1" customWidth="1"/>
    <col min="20" max="20" width="10.28515625" style="16" bestFit="1" customWidth="1"/>
    <col min="21" max="21" width="15" style="16" bestFit="1" customWidth="1"/>
    <col min="22" max="22" width="11.28515625" style="16" customWidth="1"/>
    <col min="23" max="23" width="12.5703125" style="16" customWidth="1"/>
    <col min="24" max="24" width="11.42578125" style="16" customWidth="1"/>
    <col min="25" max="25" width="15.5703125" style="16" customWidth="1"/>
    <col min="26" max="26" width="12.85546875" style="16" customWidth="1"/>
    <col min="27" max="27" width="10.85546875" style="16" customWidth="1"/>
    <col min="28" max="28" width="11.7109375" style="16" customWidth="1"/>
    <col min="29" max="16384" width="9.140625" style="16"/>
  </cols>
  <sheetData>
    <row r="2" spans="2:38" ht="15" customHeight="1" x14ac:dyDescent="0.25">
      <c r="D2" s="17"/>
      <c r="E2" s="18"/>
      <c r="F2" s="17"/>
      <c r="G2" s="17"/>
      <c r="H2" s="17"/>
      <c r="J2" s="17"/>
      <c r="K2" s="17"/>
      <c r="L2" s="17"/>
      <c r="M2" s="17"/>
      <c r="N2" s="17"/>
      <c r="O2" s="17"/>
      <c r="P2" s="17"/>
    </row>
    <row r="4" spans="2:38" x14ac:dyDescent="0.25">
      <c r="D4" s="17"/>
      <c r="E4" s="19"/>
      <c r="F4" s="17"/>
      <c r="G4" s="17"/>
      <c r="H4" s="17"/>
      <c r="I4" s="17"/>
      <c r="J4" s="17"/>
      <c r="K4" s="17"/>
      <c r="L4" s="17"/>
      <c r="M4" s="17"/>
      <c r="N4" s="17"/>
      <c r="O4" s="17"/>
      <c r="P4" s="17"/>
    </row>
    <row r="5" spans="2:38" x14ac:dyDescent="0.25">
      <c r="D5" s="17"/>
      <c r="E5" s="19"/>
      <c r="F5" s="17"/>
      <c r="G5" s="17"/>
      <c r="H5" s="17"/>
      <c r="I5" s="17"/>
      <c r="J5" s="17"/>
      <c r="K5" s="17"/>
      <c r="L5" s="17"/>
      <c r="M5" s="17"/>
      <c r="N5" s="17"/>
      <c r="O5" s="17"/>
      <c r="P5" s="17"/>
    </row>
    <row r="6" spans="2:38" x14ac:dyDescent="0.25">
      <c r="D6" s="17"/>
      <c r="E6" s="19"/>
      <c r="F6" s="17"/>
      <c r="G6" s="17"/>
      <c r="H6" s="17"/>
      <c r="I6" s="17"/>
      <c r="J6" s="17"/>
      <c r="K6" s="17"/>
      <c r="L6" s="17"/>
      <c r="M6" s="17"/>
      <c r="N6" s="17"/>
      <c r="O6" s="17"/>
      <c r="P6" s="17"/>
    </row>
    <row r="7" spans="2:38" x14ac:dyDescent="0.25">
      <c r="D7" s="17"/>
      <c r="E7" s="19"/>
      <c r="F7" s="17"/>
      <c r="G7" s="17"/>
      <c r="H7" s="17"/>
      <c r="I7" s="17"/>
      <c r="J7" s="17"/>
      <c r="K7" s="17"/>
      <c r="L7" s="17"/>
      <c r="M7" s="17"/>
      <c r="N7" s="17"/>
      <c r="O7" s="17"/>
      <c r="P7" s="17"/>
    </row>
    <row r="8" spans="2:38" x14ac:dyDescent="0.25">
      <c r="D8" s="17"/>
      <c r="E8" s="19"/>
      <c r="F8" s="17"/>
      <c r="G8" s="17"/>
      <c r="H8" s="17"/>
      <c r="I8" s="17"/>
      <c r="J8" s="17"/>
      <c r="K8" s="17"/>
      <c r="L8" s="17"/>
      <c r="M8" s="17"/>
      <c r="N8" s="17"/>
      <c r="O8" s="17"/>
      <c r="P8" s="17"/>
    </row>
    <row r="9" spans="2:38" ht="21" x14ac:dyDescent="0.25">
      <c r="B9" s="20" t="s">
        <v>67</v>
      </c>
      <c r="D9" s="17"/>
      <c r="E9" s="19"/>
      <c r="F9" s="17"/>
      <c r="G9" s="17"/>
      <c r="H9" s="17"/>
      <c r="I9" s="17"/>
      <c r="J9" s="17"/>
      <c r="K9" s="17"/>
      <c r="L9" s="17"/>
      <c r="M9" s="17"/>
      <c r="N9" s="17"/>
      <c r="O9" s="17"/>
      <c r="P9" s="17"/>
    </row>
    <row r="10" spans="2:38" ht="15" customHeight="1" x14ac:dyDescent="0.25">
      <c r="B10" s="111" t="s">
        <v>68</v>
      </c>
      <c r="C10" s="111"/>
      <c r="D10" s="111"/>
      <c r="E10" s="111"/>
      <c r="F10" s="111"/>
      <c r="G10" s="111"/>
      <c r="H10" s="17"/>
      <c r="I10" s="25"/>
      <c r="J10" s="17"/>
      <c r="K10" s="17"/>
      <c r="L10" s="23"/>
      <c r="M10" s="24"/>
      <c r="N10" s="24"/>
      <c r="O10" s="17"/>
      <c r="P10" s="17"/>
    </row>
    <row r="11" spans="2:38" s="22" customFormat="1" ht="15" customHeight="1" x14ac:dyDescent="0.25">
      <c r="B11" s="116" t="s">
        <v>230</v>
      </c>
      <c r="C11" s="116"/>
      <c r="D11" s="116"/>
      <c r="E11" s="116"/>
      <c r="F11" s="116"/>
      <c r="G11" s="116"/>
      <c r="H11" s="75"/>
      <c r="I11" s="25"/>
      <c r="J11" s="75"/>
      <c r="K11" s="75"/>
      <c r="L11" s="76"/>
      <c r="M11" s="77"/>
      <c r="N11" s="77"/>
      <c r="O11" s="75"/>
      <c r="P11" s="75"/>
    </row>
    <row r="12" spans="2:38" ht="10.5" customHeight="1" x14ac:dyDescent="0.25">
      <c r="D12" s="17"/>
      <c r="E12" s="19"/>
      <c r="F12" s="17"/>
      <c r="G12" s="17"/>
      <c r="H12" s="17"/>
      <c r="I12" s="17"/>
      <c r="J12" s="17"/>
      <c r="K12" s="17"/>
      <c r="L12" s="17"/>
      <c r="M12" s="17"/>
      <c r="N12" s="17"/>
      <c r="O12" s="17"/>
      <c r="P12" s="17"/>
    </row>
    <row r="13" spans="2:38" ht="21" customHeight="1" x14ac:dyDescent="0.25">
      <c r="B13" s="112" t="s">
        <v>7</v>
      </c>
      <c r="C13" s="112"/>
      <c r="D13" s="112"/>
      <c r="E13" s="113"/>
      <c r="F13" s="114" t="s">
        <v>197</v>
      </c>
      <c r="G13" s="115"/>
      <c r="H13" s="115"/>
      <c r="I13" s="115"/>
      <c r="J13" s="115"/>
      <c r="K13" s="115"/>
      <c r="L13" s="113"/>
      <c r="M13" s="114" t="s">
        <v>210</v>
      </c>
      <c r="N13" s="115"/>
      <c r="O13" s="115"/>
      <c r="P13" s="115"/>
      <c r="Q13" s="115"/>
      <c r="R13" s="114" t="s">
        <v>198</v>
      </c>
      <c r="S13" s="115"/>
      <c r="T13" s="115"/>
      <c r="U13" s="115"/>
      <c r="V13" s="115"/>
      <c r="W13" s="115"/>
      <c r="X13" s="115"/>
    </row>
    <row r="14" spans="2:38" ht="51" customHeight="1" x14ac:dyDescent="0.25">
      <c r="B14" s="44" t="s">
        <v>2</v>
      </c>
      <c r="C14" s="44" t="s">
        <v>202</v>
      </c>
      <c r="D14" s="44" t="s">
        <v>203</v>
      </c>
      <c r="E14" s="44" t="s">
        <v>204</v>
      </c>
      <c r="F14" s="44" t="s">
        <v>61</v>
      </c>
      <c r="G14" s="44" t="s">
        <v>3</v>
      </c>
      <c r="H14" s="44" t="s">
        <v>205</v>
      </c>
      <c r="I14" s="44" t="s">
        <v>4</v>
      </c>
      <c r="J14" s="44" t="s">
        <v>206</v>
      </c>
      <c r="K14" s="44" t="s">
        <v>207</v>
      </c>
      <c r="L14" s="44" t="s">
        <v>145</v>
      </c>
      <c r="M14" s="44" t="s">
        <v>208</v>
      </c>
      <c r="N14" s="44" t="s">
        <v>209</v>
      </c>
      <c r="O14" s="44" t="s">
        <v>199</v>
      </c>
      <c r="P14" s="44" t="s">
        <v>200</v>
      </c>
      <c r="Q14" s="44" t="s">
        <v>201</v>
      </c>
      <c r="R14" s="44" t="s">
        <v>211</v>
      </c>
      <c r="S14" s="44" t="s">
        <v>212</v>
      </c>
      <c r="T14" s="44" t="s">
        <v>213</v>
      </c>
      <c r="U14" s="44" t="s">
        <v>214</v>
      </c>
      <c r="V14" s="44" t="s">
        <v>215</v>
      </c>
      <c r="W14" s="44" t="s">
        <v>216</v>
      </c>
      <c r="X14" s="44" t="s">
        <v>6</v>
      </c>
      <c r="Y14" s="21"/>
      <c r="Z14" s="21"/>
      <c r="AA14" s="21"/>
      <c r="AB14" s="21"/>
      <c r="AC14" s="21"/>
      <c r="AD14" s="21"/>
      <c r="AE14" s="21"/>
      <c r="AF14" s="21"/>
      <c r="AG14" s="21"/>
      <c r="AH14" s="22"/>
      <c r="AI14" s="22"/>
      <c r="AJ14" s="22"/>
      <c r="AK14" s="22"/>
      <c r="AL14" s="22"/>
    </row>
    <row r="15" spans="2:38" x14ac:dyDescent="0.25">
      <c r="B15" s="14">
        <v>1</v>
      </c>
      <c r="C15" s="52"/>
      <c r="D15" s="52"/>
      <c r="E15" s="52"/>
      <c r="F15" s="52"/>
      <c r="G15" s="52" t="s">
        <v>0</v>
      </c>
      <c r="H15" s="52"/>
      <c r="I15" s="52" t="s">
        <v>0</v>
      </c>
      <c r="J15" s="52"/>
      <c r="K15" s="15" t="str">
        <f>IFERROR(RiskAssessment[[#This Row],[Likelihood]]*RiskAssessment[[#This Row],[Impact]],"Calculated")</f>
        <v>Calculated</v>
      </c>
      <c r="L15" s="15" t="str">
        <f>IF(K15="Calculated", "Calculated", IF(K15&gt;11, " HIGH",IF(K15&gt;4," MEDIUM"," LOW")))</f>
        <v>Calculated</v>
      </c>
      <c r="M15" s="52" t="s">
        <v>0</v>
      </c>
      <c r="N15" s="47"/>
      <c r="O15" s="104">
        <v>0</v>
      </c>
      <c r="P15" s="52"/>
      <c r="Q15" s="14"/>
      <c r="R15" s="14" t="s">
        <v>0</v>
      </c>
      <c r="S15" s="14"/>
      <c r="T15" s="14" t="s">
        <v>0</v>
      </c>
      <c r="U15" s="14"/>
      <c r="V15" s="15" t="str">
        <f>IFERROR(RiskAssessment[[#This Row],[Post-Treatment Likelihood]]*RiskAssessment[[#This Row],[Post- Treatment Impact]],"Calculated")</f>
        <v>Calculated</v>
      </c>
      <c r="W15" s="15" t="str">
        <f t="shared" ref="W15:W21" si="0">IF(V15="Calculated", "Calculated", IF(V15&gt;11, " HIGH",IF(V15&gt;4," MEDIUM"," LOW")))</f>
        <v>Calculated</v>
      </c>
      <c r="X15" s="14"/>
      <c r="Y15" s="22"/>
      <c r="Z15" s="22"/>
      <c r="AA15" s="22"/>
      <c r="AB15" s="22"/>
      <c r="AC15" s="22"/>
      <c r="AD15" s="22"/>
      <c r="AE15" s="22"/>
      <c r="AF15" s="22"/>
      <c r="AG15" s="22"/>
      <c r="AH15" s="22"/>
      <c r="AI15" s="22"/>
      <c r="AJ15" s="22"/>
      <c r="AK15" s="22"/>
      <c r="AL15" s="22"/>
    </row>
    <row r="16" spans="2:38" x14ac:dyDescent="0.25">
      <c r="B16" s="14">
        <v>2</v>
      </c>
      <c r="C16" s="52"/>
      <c r="D16" s="52"/>
      <c r="E16" s="52"/>
      <c r="F16" s="52"/>
      <c r="G16" s="52" t="s">
        <v>0</v>
      </c>
      <c r="H16" s="52"/>
      <c r="I16" s="52" t="s">
        <v>0</v>
      </c>
      <c r="J16" s="52"/>
      <c r="K16" s="15" t="str">
        <f>IFERROR(RiskAssessment[[#This Row],[Likelihood]]*RiskAssessment[[#This Row],[Impact]],"Calculated")</f>
        <v>Calculated</v>
      </c>
      <c r="L16" s="15" t="str">
        <f t="shared" ref="L16:L21" si="1">IF(K16="Calculated", "Calculated", IF(K16&gt;11, " HIGH",IF(K16&gt;4," MEDIUM"," LOW")))</f>
        <v>Calculated</v>
      </c>
      <c r="M16" s="52" t="s">
        <v>0</v>
      </c>
      <c r="N16" s="52"/>
      <c r="O16" s="104">
        <v>0</v>
      </c>
      <c r="P16" s="52"/>
      <c r="Q16" s="14"/>
      <c r="R16" s="14" t="s">
        <v>0</v>
      </c>
      <c r="S16" s="52"/>
      <c r="T16" s="14" t="s">
        <v>0</v>
      </c>
      <c r="U16" s="52"/>
      <c r="V16" s="15" t="str">
        <f>IFERROR(RiskAssessment[[#This Row],[Post-Treatment Likelihood]]*RiskAssessment[[#This Row],[Post- Treatment Impact]],"Calculated")</f>
        <v>Calculated</v>
      </c>
      <c r="W16" s="15" t="str">
        <f t="shared" si="0"/>
        <v>Calculated</v>
      </c>
      <c r="X16" s="14"/>
      <c r="Y16" s="22"/>
      <c r="Z16" s="22"/>
      <c r="AA16" s="22"/>
      <c r="AB16" s="22"/>
      <c r="AC16" s="22"/>
      <c r="AD16" s="22"/>
      <c r="AE16" s="22"/>
      <c r="AF16" s="22"/>
      <c r="AG16" s="22"/>
      <c r="AH16" s="22"/>
      <c r="AI16" s="22"/>
      <c r="AJ16" s="22"/>
      <c r="AK16" s="22"/>
      <c r="AL16" s="22"/>
    </row>
    <row r="17" spans="2:38" x14ac:dyDescent="0.25">
      <c r="B17" s="14">
        <v>3</v>
      </c>
      <c r="C17" s="52"/>
      <c r="D17" s="52"/>
      <c r="E17" s="52"/>
      <c r="F17" s="52"/>
      <c r="G17" s="52" t="s">
        <v>0</v>
      </c>
      <c r="H17" s="52"/>
      <c r="I17" s="52" t="s">
        <v>0</v>
      </c>
      <c r="J17" s="52"/>
      <c r="K17" s="15" t="str">
        <f>IFERROR(RiskAssessment[[#This Row],[Likelihood]]*RiskAssessment[[#This Row],[Impact]],"Calculated")</f>
        <v>Calculated</v>
      </c>
      <c r="L17" s="15" t="str">
        <f t="shared" si="1"/>
        <v>Calculated</v>
      </c>
      <c r="M17" s="52" t="s">
        <v>0</v>
      </c>
      <c r="N17" s="52"/>
      <c r="O17" s="104">
        <v>0</v>
      </c>
      <c r="P17" s="52"/>
      <c r="Q17" s="14"/>
      <c r="R17" s="14" t="s">
        <v>0</v>
      </c>
      <c r="S17" s="52"/>
      <c r="T17" s="14" t="s">
        <v>0</v>
      </c>
      <c r="U17" s="52"/>
      <c r="V17" s="15" t="str">
        <f>IFERROR(RiskAssessment[[#This Row],[Post-Treatment Likelihood]]*RiskAssessment[[#This Row],[Post- Treatment Impact]],"Calculated")</f>
        <v>Calculated</v>
      </c>
      <c r="W17" s="15" t="str">
        <f t="shared" si="0"/>
        <v>Calculated</v>
      </c>
      <c r="X17" s="14"/>
      <c r="Y17" s="22"/>
      <c r="Z17" s="22"/>
      <c r="AA17" s="22"/>
      <c r="AB17" s="22"/>
      <c r="AC17" s="22"/>
      <c r="AD17" s="22"/>
      <c r="AE17" s="22"/>
      <c r="AF17" s="22"/>
      <c r="AG17" s="22"/>
      <c r="AH17" s="22"/>
      <c r="AI17" s="22"/>
      <c r="AJ17" s="22"/>
      <c r="AK17" s="22"/>
      <c r="AL17" s="22"/>
    </row>
    <row r="18" spans="2:38" x14ac:dyDescent="0.25">
      <c r="B18" s="14">
        <v>4</v>
      </c>
      <c r="C18" s="52"/>
      <c r="D18" s="52"/>
      <c r="E18" s="52"/>
      <c r="F18" s="52"/>
      <c r="G18" s="52" t="s">
        <v>0</v>
      </c>
      <c r="H18" s="52"/>
      <c r="I18" s="52" t="s">
        <v>0</v>
      </c>
      <c r="J18" s="52"/>
      <c r="K18" s="15" t="str">
        <f>IFERROR(RiskAssessment[[#This Row],[Likelihood]]*RiskAssessment[[#This Row],[Impact]],"Calculated")</f>
        <v>Calculated</v>
      </c>
      <c r="L18" s="15" t="str">
        <f t="shared" si="1"/>
        <v>Calculated</v>
      </c>
      <c r="M18" s="52" t="s">
        <v>0</v>
      </c>
      <c r="N18" s="52"/>
      <c r="O18" s="104">
        <v>0</v>
      </c>
      <c r="P18" s="14"/>
      <c r="Q18" s="14"/>
      <c r="R18" s="14" t="s">
        <v>0</v>
      </c>
      <c r="S18" s="52"/>
      <c r="T18" s="14" t="s">
        <v>0</v>
      </c>
      <c r="U18" s="52"/>
      <c r="V18" s="15" t="str">
        <f>IFERROR(RiskAssessment[[#This Row],[Post-Treatment Likelihood]]*RiskAssessment[[#This Row],[Post- Treatment Impact]],"Calculated")</f>
        <v>Calculated</v>
      </c>
      <c r="W18" s="15" t="str">
        <f t="shared" si="0"/>
        <v>Calculated</v>
      </c>
      <c r="X18" s="14"/>
      <c r="Y18" s="22"/>
      <c r="Z18" s="22"/>
      <c r="AA18" s="22"/>
      <c r="AB18" s="22"/>
      <c r="AC18" s="22"/>
      <c r="AD18" s="22"/>
      <c r="AE18" s="22"/>
      <c r="AF18" s="22"/>
      <c r="AG18" s="22"/>
      <c r="AH18" s="22"/>
      <c r="AI18" s="22"/>
      <c r="AJ18" s="22"/>
      <c r="AK18" s="22"/>
      <c r="AL18" s="22"/>
    </row>
    <row r="19" spans="2:38" x14ac:dyDescent="0.25">
      <c r="B19" s="14">
        <v>5</v>
      </c>
      <c r="C19" s="52"/>
      <c r="D19" s="52"/>
      <c r="E19" s="52"/>
      <c r="F19" s="52"/>
      <c r="G19" s="52" t="s">
        <v>0</v>
      </c>
      <c r="H19" s="52"/>
      <c r="I19" s="52" t="s">
        <v>0</v>
      </c>
      <c r="J19" s="52"/>
      <c r="K19" s="15" t="str">
        <f>IFERROR(RiskAssessment[[#This Row],[Likelihood]]*RiskAssessment[[#This Row],[Impact]],"Calculated")</f>
        <v>Calculated</v>
      </c>
      <c r="L19" s="15" t="str">
        <f t="shared" si="1"/>
        <v>Calculated</v>
      </c>
      <c r="M19" s="52" t="s">
        <v>0</v>
      </c>
      <c r="N19" s="14"/>
      <c r="O19" s="104">
        <v>0</v>
      </c>
      <c r="P19" s="14"/>
      <c r="Q19" s="14"/>
      <c r="R19" s="14" t="s">
        <v>0</v>
      </c>
      <c r="S19" s="14"/>
      <c r="T19" s="14" t="s">
        <v>0</v>
      </c>
      <c r="U19" s="14"/>
      <c r="V19" s="15" t="str">
        <f>IFERROR(RiskAssessment[[#This Row],[Post-Treatment Likelihood]]*RiskAssessment[[#This Row],[Post- Treatment Impact]],"Calculated")</f>
        <v>Calculated</v>
      </c>
      <c r="W19" s="15" t="str">
        <f t="shared" si="0"/>
        <v>Calculated</v>
      </c>
      <c r="X19" s="14"/>
      <c r="Y19" s="22"/>
      <c r="Z19" s="22"/>
      <c r="AA19" s="22"/>
      <c r="AB19" s="22"/>
      <c r="AC19" s="22"/>
      <c r="AD19" s="22"/>
      <c r="AE19" s="22"/>
      <c r="AF19" s="22"/>
      <c r="AG19" s="22"/>
      <c r="AH19" s="22"/>
      <c r="AI19" s="22"/>
      <c r="AJ19" s="22"/>
      <c r="AK19" s="22"/>
      <c r="AL19" s="22"/>
    </row>
    <row r="20" spans="2:38" x14ac:dyDescent="0.25">
      <c r="B20" s="14">
        <v>6</v>
      </c>
      <c r="C20" s="52"/>
      <c r="D20" s="52"/>
      <c r="E20" s="52"/>
      <c r="F20" s="52"/>
      <c r="G20" s="52" t="s">
        <v>0</v>
      </c>
      <c r="H20" s="52"/>
      <c r="I20" s="52" t="s">
        <v>0</v>
      </c>
      <c r="J20" s="52"/>
      <c r="K20" s="15" t="str">
        <f>IFERROR(RiskAssessment[[#This Row],[Likelihood]]*RiskAssessment[[#This Row],[Impact]],"Calculated")</f>
        <v>Calculated</v>
      </c>
      <c r="L20" s="15" t="str">
        <f t="shared" si="1"/>
        <v>Calculated</v>
      </c>
      <c r="M20" s="52" t="s">
        <v>0</v>
      </c>
      <c r="N20" s="52"/>
      <c r="O20" s="104">
        <v>0</v>
      </c>
      <c r="P20" s="52"/>
      <c r="Q20" s="14"/>
      <c r="R20" s="14" t="s">
        <v>0</v>
      </c>
      <c r="S20" s="52"/>
      <c r="T20" s="14" t="s">
        <v>0</v>
      </c>
      <c r="U20" s="52"/>
      <c r="V20" s="15" t="str">
        <f>IFERROR(RiskAssessment[[#This Row],[Post-Treatment Likelihood]]*RiskAssessment[[#This Row],[Post- Treatment Impact]],"Calculated")</f>
        <v>Calculated</v>
      </c>
      <c r="W20" s="15" t="str">
        <f t="shared" si="0"/>
        <v>Calculated</v>
      </c>
      <c r="X20" s="14"/>
      <c r="Y20" s="22"/>
      <c r="Z20" s="22"/>
      <c r="AA20" s="22"/>
      <c r="AB20" s="22"/>
      <c r="AC20" s="22"/>
      <c r="AD20" s="22"/>
      <c r="AE20" s="22"/>
      <c r="AF20" s="22"/>
      <c r="AG20" s="22"/>
      <c r="AH20" s="22"/>
      <c r="AI20" s="22"/>
      <c r="AJ20" s="22"/>
      <c r="AK20" s="22"/>
      <c r="AL20" s="22"/>
    </row>
    <row r="21" spans="2:38" x14ac:dyDescent="0.25">
      <c r="B21" s="14">
        <v>7</v>
      </c>
      <c r="C21" s="52"/>
      <c r="D21" s="52"/>
      <c r="E21" s="52"/>
      <c r="F21" s="52"/>
      <c r="G21" s="52" t="s">
        <v>0</v>
      </c>
      <c r="H21" s="52"/>
      <c r="I21" s="52" t="s">
        <v>0</v>
      </c>
      <c r="J21" s="52"/>
      <c r="K21" s="15" t="str">
        <f>IFERROR(RiskAssessment[[#This Row],[Likelihood]]*RiskAssessment[[#This Row],[Impact]],"Calculated")</f>
        <v>Calculated</v>
      </c>
      <c r="L21" s="15" t="str">
        <f t="shared" si="1"/>
        <v>Calculated</v>
      </c>
      <c r="M21" s="52" t="s">
        <v>0</v>
      </c>
      <c r="N21" s="14"/>
      <c r="O21" s="104">
        <v>0</v>
      </c>
      <c r="P21" s="14"/>
      <c r="Q21" s="14"/>
      <c r="R21" s="14" t="s">
        <v>0</v>
      </c>
      <c r="S21" s="14"/>
      <c r="T21" s="14" t="s">
        <v>0</v>
      </c>
      <c r="U21" s="14"/>
      <c r="V21" s="15" t="str">
        <f>IFERROR(RiskAssessment[[#This Row],[Post-Treatment Likelihood]]*RiskAssessment[[#This Row],[Post- Treatment Impact]],"Calculated")</f>
        <v>Calculated</v>
      </c>
      <c r="W21" s="15" t="str">
        <f t="shared" si="0"/>
        <v>Calculated</v>
      </c>
      <c r="X21" s="14"/>
      <c r="Y21" s="22"/>
      <c r="Z21" s="22"/>
      <c r="AA21" s="22"/>
      <c r="AB21" s="22"/>
      <c r="AC21" s="22"/>
      <c r="AD21" s="22"/>
      <c r="AE21" s="22"/>
      <c r="AF21" s="22"/>
      <c r="AG21" s="22"/>
      <c r="AH21" s="22"/>
      <c r="AI21" s="22"/>
      <c r="AJ21" s="22"/>
      <c r="AK21" s="22"/>
      <c r="AL21" s="22"/>
    </row>
    <row r="22" spans="2:38" x14ac:dyDescent="0.25">
      <c r="B22" s="14">
        <v>8</v>
      </c>
      <c r="C22" s="82"/>
      <c r="D22" s="82"/>
      <c r="E22" s="52"/>
      <c r="F22" s="52"/>
      <c r="G22" s="52" t="s">
        <v>0</v>
      </c>
      <c r="H22" s="82"/>
      <c r="I22" s="52" t="s">
        <v>0</v>
      </c>
      <c r="J22" s="82"/>
      <c r="K22" s="83" t="str">
        <f>IFERROR(RiskAssessment[[#This Row],[Likelihood]]*RiskAssessment[[#This Row],[Impact]],"Calculated")</f>
        <v>Calculated</v>
      </c>
      <c r="L22" s="83" t="str">
        <f>IF(K22="Calculated", "Calculated", IF(K22&gt;11, " HIGH",IF(K22&gt;4," MEDIUM"," LOW")))</f>
        <v>Calculated</v>
      </c>
      <c r="M22" s="52" t="s">
        <v>0</v>
      </c>
      <c r="N22" s="14"/>
      <c r="O22" s="104">
        <v>0</v>
      </c>
      <c r="P22" s="52"/>
      <c r="Q22" s="14"/>
      <c r="R22" s="14" t="s">
        <v>0</v>
      </c>
      <c r="S22" s="52"/>
      <c r="T22" s="14" t="s">
        <v>0</v>
      </c>
      <c r="U22" s="14"/>
      <c r="V22" s="83" t="str">
        <f>IFERROR(RiskAssessment[[#This Row],[Post-Treatment Likelihood]]*RiskAssessment[[#This Row],[Post- Treatment Impact]],"Calculated")</f>
        <v>Calculated</v>
      </c>
      <c r="W22" s="83" t="str">
        <f>IF(V22="Calculated", "Calculated", IF(V22&gt;11, " HIGH",IF(V22&gt;4," MEDIUM"," LOW")))</f>
        <v>Calculated</v>
      </c>
      <c r="X22" s="14"/>
      <c r="Y22" s="22"/>
      <c r="Z22" s="22"/>
      <c r="AA22" s="22"/>
      <c r="AB22" s="22"/>
      <c r="AC22" s="22"/>
      <c r="AD22" s="22"/>
      <c r="AE22" s="22"/>
      <c r="AF22" s="22"/>
      <c r="AG22" s="22"/>
      <c r="AH22" s="22"/>
      <c r="AI22" s="22"/>
      <c r="AJ22" s="22"/>
      <c r="AK22" s="22"/>
      <c r="AL22" s="22"/>
    </row>
    <row r="23" spans="2:38" x14ac:dyDescent="0.25">
      <c r="B23" s="14">
        <v>9</v>
      </c>
      <c r="C23" s="82"/>
      <c r="D23" s="82"/>
      <c r="E23" s="82"/>
      <c r="F23" s="82"/>
      <c r="G23" s="52" t="s">
        <v>0</v>
      </c>
      <c r="H23" s="82"/>
      <c r="I23" s="52" t="s">
        <v>0</v>
      </c>
      <c r="J23" s="82"/>
      <c r="K23" s="83" t="str">
        <f>IFERROR(RiskAssessment[[#This Row],[Likelihood]]*RiskAssessment[[#This Row],[Impact]],"Calculated")</f>
        <v>Calculated</v>
      </c>
      <c r="L23" s="83" t="str">
        <f t="shared" ref="L23:L34" si="2">IF(K23="Calculated", "Calculated", IF(K23&gt;11, " HIGH",IF(K23&gt;4," MEDIUM"," LOW")))</f>
        <v>Calculated</v>
      </c>
      <c r="M23" s="52" t="s">
        <v>0</v>
      </c>
      <c r="N23" s="14"/>
      <c r="O23" s="104">
        <v>0</v>
      </c>
      <c r="P23" s="82"/>
      <c r="Q23" s="14"/>
      <c r="R23" s="14" t="s">
        <v>0</v>
      </c>
      <c r="S23" s="82"/>
      <c r="T23" s="14" t="s">
        <v>0</v>
      </c>
      <c r="U23" s="14"/>
      <c r="V23" s="83" t="str">
        <f>IFERROR(RiskAssessment[[#This Row],[Post-Treatment Likelihood]]*RiskAssessment[[#This Row],[Post- Treatment Impact]],"Calculated")</f>
        <v>Calculated</v>
      </c>
      <c r="W23" s="83" t="str">
        <f t="shared" ref="W23:W34" si="3">IF(V23="Calculated", "Calculated", IF(V23&gt;11, " HIGH",IF(V23&gt;4," MEDIUM"," LOW")))</f>
        <v>Calculated</v>
      </c>
      <c r="X23" s="14"/>
      <c r="Y23" s="22"/>
      <c r="Z23" s="22"/>
      <c r="AA23" s="22"/>
      <c r="AB23" s="22"/>
      <c r="AC23" s="22"/>
      <c r="AD23" s="22"/>
      <c r="AE23" s="22"/>
      <c r="AF23" s="22"/>
      <c r="AG23" s="22"/>
      <c r="AH23" s="22"/>
      <c r="AI23" s="22"/>
      <c r="AJ23" s="22"/>
      <c r="AK23" s="22"/>
      <c r="AL23" s="22"/>
    </row>
    <row r="24" spans="2:38" x14ac:dyDescent="0.25">
      <c r="B24" s="14">
        <v>10</v>
      </c>
      <c r="C24" s="82"/>
      <c r="D24" s="82"/>
      <c r="E24" s="82"/>
      <c r="F24" s="82"/>
      <c r="G24" s="52" t="s">
        <v>0</v>
      </c>
      <c r="H24" s="82"/>
      <c r="I24" s="52" t="s">
        <v>0</v>
      </c>
      <c r="J24" s="82"/>
      <c r="K24" s="83" t="str">
        <f>IFERROR(RiskAssessment[[#This Row],[Likelihood]]*RiskAssessment[[#This Row],[Impact]],"Calculated")</f>
        <v>Calculated</v>
      </c>
      <c r="L24" s="83" t="str">
        <f t="shared" si="2"/>
        <v>Calculated</v>
      </c>
      <c r="M24" s="52" t="s">
        <v>0</v>
      </c>
      <c r="N24" s="14"/>
      <c r="O24" s="104">
        <v>0</v>
      </c>
      <c r="P24" s="82"/>
      <c r="Q24" s="14"/>
      <c r="R24" s="14" t="s">
        <v>0</v>
      </c>
      <c r="S24" s="82"/>
      <c r="T24" s="14" t="s">
        <v>0</v>
      </c>
      <c r="U24" s="14"/>
      <c r="V24" s="83" t="str">
        <f>IFERROR(RiskAssessment[[#This Row],[Post-Treatment Likelihood]]*RiskAssessment[[#This Row],[Post- Treatment Impact]],"Calculated")</f>
        <v>Calculated</v>
      </c>
      <c r="W24" s="83" t="str">
        <f t="shared" si="3"/>
        <v>Calculated</v>
      </c>
      <c r="X24" s="14"/>
      <c r="Y24" s="22"/>
      <c r="Z24" s="22"/>
      <c r="AA24" s="22"/>
      <c r="AB24" s="22"/>
      <c r="AC24" s="22"/>
      <c r="AD24" s="22"/>
      <c r="AE24" s="22"/>
      <c r="AF24" s="22"/>
      <c r="AG24" s="22"/>
      <c r="AH24" s="22"/>
      <c r="AI24" s="22"/>
      <c r="AJ24" s="22"/>
      <c r="AK24" s="22"/>
      <c r="AL24" s="22"/>
    </row>
    <row r="25" spans="2:38" x14ac:dyDescent="0.25">
      <c r="B25" s="14">
        <v>11</v>
      </c>
      <c r="C25" s="82"/>
      <c r="D25" s="82"/>
      <c r="E25" s="82"/>
      <c r="F25" s="82"/>
      <c r="G25" s="52" t="s">
        <v>0</v>
      </c>
      <c r="H25" s="82"/>
      <c r="I25" s="52" t="s">
        <v>0</v>
      </c>
      <c r="J25" s="82"/>
      <c r="K25" s="83" t="str">
        <f>IFERROR(RiskAssessment[[#This Row],[Likelihood]]*RiskAssessment[[#This Row],[Impact]],"Calculated")</f>
        <v>Calculated</v>
      </c>
      <c r="L25" s="83" t="str">
        <f t="shared" si="2"/>
        <v>Calculated</v>
      </c>
      <c r="M25" s="52" t="s">
        <v>0</v>
      </c>
      <c r="N25" s="14"/>
      <c r="O25" s="104">
        <v>0</v>
      </c>
      <c r="P25" s="82"/>
      <c r="Q25" s="14"/>
      <c r="R25" s="14" t="s">
        <v>0</v>
      </c>
      <c r="S25" s="82"/>
      <c r="T25" s="14" t="s">
        <v>0</v>
      </c>
      <c r="U25" s="14"/>
      <c r="V25" s="83" t="str">
        <f>IFERROR(RiskAssessment[[#This Row],[Post-Treatment Likelihood]]*RiskAssessment[[#This Row],[Post- Treatment Impact]],"Calculated")</f>
        <v>Calculated</v>
      </c>
      <c r="W25" s="83" t="str">
        <f t="shared" si="3"/>
        <v>Calculated</v>
      </c>
      <c r="X25" s="14"/>
      <c r="Y25" s="22"/>
      <c r="Z25" s="22"/>
      <c r="AA25" s="22"/>
      <c r="AB25" s="22"/>
      <c r="AC25" s="22"/>
      <c r="AD25" s="22"/>
      <c r="AE25" s="22"/>
      <c r="AF25" s="22"/>
      <c r="AG25" s="22"/>
      <c r="AH25" s="22"/>
      <c r="AI25" s="22"/>
      <c r="AJ25" s="22"/>
      <c r="AK25" s="22"/>
      <c r="AL25" s="22"/>
    </row>
    <row r="26" spans="2:38" x14ac:dyDescent="0.25">
      <c r="B26" s="14">
        <v>12</v>
      </c>
      <c r="C26" s="82"/>
      <c r="D26" s="82"/>
      <c r="E26" s="82"/>
      <c r="F26" s="82"/>
      <c r="G26" s="52" t="s">
        <v>0</v>
      </c>
      <c r="H26" s="82"/>
      <c r="I26" s="52" t="s">
        <v>0</v>
      </c>
      <c r="J26" s="82"/>
      <c r="K26" s="83" t="str">
        <f>IFERROR(RiskAssessment[[#This Row],[Likelihood]]*RiskAssessment[[#This Row],[Impact]],"Calculated")</f>
        <v>Calculated</v>
      </c>
      <c r="L26" s="83" t="str">
        <f t="shared" si="2"/>
        <v>Calculated</v>
      </c>
      <c r="M26" s="52" t="s">
        <v>0</v>
      </c>
      <c r="N26" s="14"/>
      <c r="O26" s="104">
        <v>0</v>
      </c>
      <c r="P26" s="82"/>
      <c r="Q26" s="14"/>
      <c r="R26" s="14" t="s">
        <v>0</v>
      </c>
      <c r="S26" s="82"/>
      <c r="T26" s="14" t="s">
        <v>0</v>
      </c>
      <c r="U26" s="14"/>
      <c r="V26" s="83" t="str">
        <f>IFERROR(RiskAssessment[[#This Row],[Post-Treatment Likelihood]]*RiskAssessment[[#This Row],[Post- Treatment Impact]],"Calculated")</f>
        <v>Calculated</v>
      </c>
      <c r="W26" s="83" t="str">
        <f t="shared" si="3"/>
        <v>Calculated</v>
      </c>
      <c r="X26" s="14"/>
      <c r="Y26" s="22"/>
      <c r="Z26" s="22"/>
      <c r="AA26" s="22"/>
      <c r="AB26" s="22"/>
      <c r="AC26" s="22"/>
      <c r="AD26" s="22"/>
      <c r="AE26" s="22"/>
      <c r="AF26" s="22"/>
      <c r="AG26" s="22"/>
      <c r="AH26" s="22"/>
      <c r="AI26" s="22"/>
      <c r="AJ26" s="22"/>
      <c r="AK26" s="22"/>
      <c r="AL26" s="22"/>
    </row>
    <row r="27" spans="2:38" x14ac:dyDescent="0.25">
      <c r="B27" s="14">
        <v>13</v>
      </c>
      <c r="C27" s="82"/>
      <c r="D27" s="82"/>
      <c r="E27" s="82"/>
      <c r="F27" s="82"/>
      <c r="G27" s="52" t="s">
        <v>0</v>
      </c>
      <c r="H27" s="82"/>
      <c r="I27" s="52" t="s">
        <v>0</v>
      </c>
      <c r="J27" s="82"/>
      <c r="K27" s="83" t="str">
        <f>IFERROR(RiskAssessment[[#This Row],[Likelihood]]*RiskAssessment[[#This Row],[Impact]],"Calculated")</f>
        <v>Calculated</v>
      </c>
      <c r="L27" s="83" t="str">
        <f t="shared" si="2"/>
        <v>Calculated</v>
      </c>
      <c r="M27" s="52" t="s">
        <v>0</v>
      </c>
      <c r="N27" s="14"/>
      <c r="O27" s="104">
        <v>0</v>
      </c>
      <c r="P27" s="82"/>
      <c r="Q27" s="14"/>
      <c r="R27" s="14" t="s">
        <v>0</v>
      </c>
      <c r="S27" s="82"/>
      <c r="T27" s="14" t="s">
        <v>0</v>
      </c>
      <c r="U27" s="14"/>
      <c r="V27" s="83" t="str">
        <f>IFERROR(RiskAssessment[[#This Row],[Post-Treatment Likelihood]]*RiskAssessment[[#This Row],[Post- Treatment Impact]],"Calculated")</f>
        <v>Calculated</v>
      </c>
      <c r="W27" s="83" t="str">
        <f t="shared" si="3"/>
        <v>Calculated</v>
      </c>
      <c r="X27" s="14"/>
      <c r="Y27" s="22"/>
      <c r="Z27" s="22"/>
      <c r="AA27" s="22"/>
      <c r="AB27" s="22"/>
      <c r="AC27" s="22"/>
      <c r="AD27" s="22"/>
      <c r="AE27" s="22"/>
      <c r="AF27" s="22"/>
      <c r="AG27" s="22"/>
      <c r="AH27" s="22"/>
      <c r="AI27" s="22"/>
      <c r="AJ27" s="22"/>
      <c r="AK27" s="22"/>
      <c r="AL27" s="22"/>
    </row>
    <row r="28" spans="2:38" x14ac:dyDescent="0.25">
      <c r="B28" s="14">
        <v>14</v>
      </c>
      <c r="C28" s="82"/>
      <c r="D28" s="82"/>
      <c r="E28" s="82"/>
      <c r="F28" s="82"/>
      <c r="G28" s="52" t="s">
        <v>0</v>
      </c>
      <c r="H28" s="82"/>
      <c r="I28" s="52" t="s">
        <v>0</v>
      </c>
      <c r="J28" s="82"/>
      <c r="K28" s="83" t="str">
        <f>IFERROR(RiskAssessment[[#This Row],[Likelihood]]*RiskAssessment[[#This Row],[Impact]],"Calculated")</f>
        <v>Calculated</v>
      </c>
      <c r="L28" s="83" t="str">
        <f t="shared" si="2"/>
        <v>Calculated</v>
      </c>
      <c r="M28" s="52" t="s">
        <v>0</v>
      </c>
      <c r="N28" s="14"/>
      <c r="O28" s="104">
        <v>0</v>
      </c>
      <c r="P28" s="82"/>
      <c r="Q28" s="14"/>
      <c r="R28" s="14" t="s">
        <v>0</v>
      </c>
      <c r="S28" s="82"/>
      <c r="T28" s="14" t="s">
        <v>0</v>
      </c>
      <c r="U28" s="14"/>
      <c r="V28" s="83" t="str">
        <f>IFERROR(RiskAssessment[[#This Row],[Post-Treatment Likelihood]]*RiskAssessment[[#This Row],[Post- Treatment Impact]],"Calculated")</f>
        <v>Calculated</v>
      </c>
      <c r="W28" s="83" t="str">
        <f t="shared" si="3"/>
        <v>Calculated</v>
      </c>
      <c r="X28" s="14"/>
    </row>
    <row r="29" spans="2:38" x14ac:dyDescent="0.25">
      <c r="B29" s="14">
        <v>15</v>
      </c>
      <c r="C29" s="82"/>
      <c r="D29" s="82"/>
      <c r="E29" s="82"/>
      <c r="F29" s="82"/>
      <c r="G29" s="52" t="s">
        <v>0</v>
      </c>
      <c r="H29" s="82"/>
      <c r="I29" s="52" t="s">
        <v>0</v>
      </c>
      <c r="J29" s="82"/>
      <c r="K29" s="83" t="str">
        <f>IFERROR(RiskAssessment[[#This Row],[Likelihood]]*RiskAssessment[[#This Row],[Impact]],"Calculated")</f>
        <v>Calculated</v>
      </c>
      <c r="L29" s="83" t="str">
        <f t="shared" si="2"/>
        <v>Calculated</v>
      </c>
      <c r="M29" s="52" t="s">
        <v>0</v>
      </c>
      <c r="N29" s="14"/>
      <c r="O29" s="104">
        <v>0</v>
      </c>
      <c r="P29" s="82"/>
      <c r="Q29" s="14"/>
      <c r="R29" s="14" t="s">
        <v>0</v>
      </c>
      <c r="S29" s="82"/>
      <c r="T29" s="14" t="s">
        <v>0</v>
      </c>
      <c r="U29" s="14"/>
      <c r="V29" s="83" t="str">
        <f>IFERROR(RiskAssessment[[#This Row],[Post-Treatment Likelihood]]*RiskAssessment[[#This Row],[Post- Treatment Impact]],"Calculated")</f>
        <v>Calculated</v>
      </c>
      <c r="W29" s="83" t="str">
        <f t="shared" si="3"/>
        <v>Calculated</v>
      </c>
      <c r="X29" s="14"/>
    </row>
    <row r="30" spans="2:38" x14ac:dyDescent="0.25">
      <c r="B30" s="14">
        <v>16</v>
      </c>
      <c r="C30" s="82"/>
      <c r="D30" s="82"/>
      <c r="E30" s="82"/>
      <c r="F30" s="82"/>
      <c r="G30" s="52" t="s">
        <v>0</v>
      </c>
      <c r="H30" s="82"/>
      <c r="I30" s="52" t="s">
        <v>0</v>
      </c>
      <c r="J30" s="82"/>
      <c r="K30" s="83" t="str">
        <f>IFERROR(RiskAssessment[[#This Row],[Likelihood]]*RiskAssessment[[#This Row],[Impact]],"Calculated")</f>
        <v>Calculated</v>
      </c>
      <c r="L30" s="83" t="str">
        <f t="shared" si="2"/>
        <v>Calculated</v>
      </c>
      <c r="M30" s="52" t="s">
        <v>0</v>
      </c>
      <c r="N30" s="14"/>
      <c r="O30" s="104">
        <v>0</v>
      </c>
      <c r="P30" s="82"/>
      <c r="Q30" s="14"/>
      <c r="R30" s="14" t="s">
        <v>0</v>
      </c>
      <c r="S30" s="82"/>
      <c r="T30" s="14" t="s">
        <v>0</v>
      </c>
      <c r="U30" s="14"/>
      <c r="V30" s="83" t="str">
        <f>IFERROR(RiskAssessment[[#This Row],[Post-Treatment Likelihood]]*RiskAssessment[[#This Row],[Post- Treatment Impact]],"Calculated")</f>
        <v>Calculated</v>
      </c>
      <c r="W30" s="83" t="str">
        <f t="shared" si="3"/>
        <v>Calculated</v>
      </c>
      <c r="X30" s="14"/>
    </row>
    <row r="31" spans="2:38" x14ac:dyDescent="0.25">
      <c r="B31" s="14">
        <v>17</v>
      </c>
      <c r="C31" s="82"/>
      <c r="D31" s="82"/>
      <c r="E31" s="82"/>
      <c r="F31" s="82"/>
      <c r="G31" s="52" t="s">
        <v>0</v>
      </c>
      <c r="H31" s="82"/>
      <c r="I31" s="52" t="s">
        <v>0</v>
      </c>
      <c r="J31" s="82"/>
      <c r="K31" s="83" t="str">
        <f>IFERROR(RiskAssessment[[#This Row],[Likelihood]]*RiskAssessment[[#This Row],[Impact]],"Calculated")</f>
        <v>Calculated</v>
      </c>
      <c r="L31" s="83" t="str">
        <f t="shared" si="2"/>
        <v>Calculated</v>
      </c>
      <c r="M31" s="52" t="s">
        <v>0</v>
      </c>
      <c r="N31" s="14"/>
      <c r="O31" s="104">
        <v>0</v>
      </c>
      <c r="P31" s="82"/>
      <c r="Q31" s="14"/>
      <c r="R31" s="14" t="s">
        <v>0</v>
      </c>
      <c r="S31" s="82"/>
      <c r="T31" s="14" t="s">
        <v>0</v>
      </c>
      <c r="U31" s="14"/>
      <c r="V31" s="83" t="str">
        <f>IFERROR(RiskAssessment[[#This Row],[Post-Treatment Likelihood]]*RiskAssessment[[#This Row],[Post- Treatment Impact]],"Calculated")</f>
        <v>Calculated</v>
      </c>
      <c r="W31" s="83" t="str">
        <f t="shared" si="3"/>
        <v>Calculated</v>
      </c>
      <c r="X31" s="14"/>
    </row>
    <row r="32" spans="2:38" x14ac:dyDescent="0.25">
      <c r="B32" s="14">
        <v>18</v>
      </c>
      <c r="C32" s="82"/>
      <c r="D32" s="82"/>
      <c r="E32" s="82"/>
      <c r="F32" s="82"/>
      <c r="G32" s="52" t="s">
        <v>0</v>
      </c>
      <c r="H32" s="82"/>
      <c r="I32" s="52" t="s">
        <v>0</v>
      </c>
      <c r="J32" s="82"/>
      <c r="K32" s="83" t="str">
        <f>IFERROR(RiskAssessment[[#This Row],[Likelihood]]*RiskAssessment[[#This Row],[Impact]],"Calculated")</f>
        <v>Calculated</v>
      </c>
      <c r="L32" s="83" t="str">
        <f t="shared" si="2"/>
        <v>Calculated</v>
      </c>
      <c r="M32" s="52" t="s">
        <v>0</v>
      </c>
      <c r="N32" s="14"/>
      <c r="O32" s="104">
        <v>0</v>
      </c>
      <c r="P32" s="82"/>
      <c r="Q32" s="14"/>
      <c r="R32" s="14" t="s">
        <v>0</v>
      </c>
      <c r="S32" s="82"/>
      <c r="T32" s="14" t="s">
        <v>0</v>
      </c>
      <c r="U32" s="14"/>
      <c r="V32" s="83" t="str">
        <f>IFERROR(RiskAssessment[[#This Row],[Post-Treatment Likelihood]]*RiskAssessment[[#This Row],[Post- Treatment Impact]],"Calculated")</f>
        <v>Calculated</v>
      </c>
      <c r="W32" s="83" t="str">
        <f t="shared" si="3"/>
        <v>Calculated</v>
      </c>
      <c r="X32" s="14"/>
    </row>
    <row r="33" spans="2:24" x14ac:dyDescent="0.25">
      <c r="B33" s="14">
        <v>19</v>
      </c>
      <c r="C33" s="82"/>
      <c r="D33" s="82"/>
      <c r="E33" s="82"/>
      <c r="F33" s="82"/>
      <c r="G33" s="52" t="s">
        <v>0</v>
      </c>
      <c r="H33" s="82"/>
      <c r="I33" s="52" t="s">
        <v>0</v>
      </c>
      <c r="J33" s="82"/>
      <c r="K33" s="83" t="str">
        <f>IFERROR(RiskAssessment[[#This Row],[Likelihood]]*RiskAssessment[[#This Row],[Impact]],"Calculated")</f>
        <v>Calculated</v>
      </c>
      <c r="L33" s="83" t="str">
        <f t="shared" si="2"/>
        <v>Calculated</v>
      </c>
      <c r="M33" s="52" t="s">
        <v>0</v>
      </c>
      <c r="N33" s="14"/>
      <c r="O33" s="104">
        <v>0</v>
      </c>
      <c r="P33" s="82"/>
      <c r="Q33" s="14"/>
      <c r="R33" s="14" t="s">
        <v>0</v>
      </c>
      <c r="S33" s="82"/>
      <c r="T33" s="14" t="s">
        <v>0</v>
      </c>
      <c r="U33" s="14"/>
      <c r="V33" s="83" t="str">
        <f>IFERROR(RiskAssessment[[#This Row],[Post-Treatment Likelihood]]*RiskAssessment[[#This Row],[Post- Treatment Impact]],"Calculated")</f>
        <v>Calculated</v>
      </c>
      <c r="W33" s="83" t="str">
        <f t="shared" si="3"/>
        <v>Calculated</v>
      </c>
      <c r="X33" s="14"/>
    </row>
    <row r="34" spans="2:24" x14ac:dyDescent="0.25">
      <c r="B34" s="14">
        <v>20</v>
      </c>
      <c r="C34" s="82"/>
      <c r="D34" s="82"/>
      <c r="E34" s="82"/>
      <c r="F34" s="82"/>
      <c r="G34" s="52" t="s">
        <v>0</v>
      </c>
      <c r="H34" s="82"/>
      <c r="I34" s="52" t="s">
        <v>0</v>
      </c>
      <c r="J34" s="82"/>
      <c r="K34" s="83" t="str">
        <f>IFERROR(RiskAssessment[[#This Row],[Likelihood]]*RiskAssessment[[#This Row],[Impact]],"Calculated")</f>
        <v>Calculated</v>
      </c>
      <c r="L34" s="83" t="str">
        <f t="shared" si="2"/>
        <v>Calculated</v>
      </c>
      <c r="M34" s="52" t="s">
        <v>0</v>
      </c>
      <c r="N34" s="14"/>
      <c r="O34" s="104">
        <v>0</v>
      </c>
      <c r="P34" s="82"/>
      <c r="Q34" s="14"/>
      <c r="R34" s="14" t="s">
        <v>0</v>
      </c>
      <c r="S34" s="82"/>
      <c r="T34" s="14" t="s">
        <v>0</v>
      </c>
      <c r="U34" s="14"/>
      <c r="V34" s="83" t="str">
        <f>IFERROR(RiskAssessment[[#This Row],[Post-Treatment Likelihood]]*RiskAssessment[[#This Row],[Post- Treatment Impact]],"Calculated")</f>
        <v>Calculated</v>
      </c>
      <c r="W34" s="83" t="str">
        <f t="shared" si="3"/>
        <v>Calculated</v>
      </c>
      <c r="X34" s="14"/>
    </row>
    <row r="36" spans="2:24" x14ac:dyDescent="0.25">
      <c r="G36" s="22"/>
      <c r="H36" s="22"/>
      <c r="I36" s="22"/>
      <c r="J36" s="22"/>
      <c r="K36" s="22"/>
      <c r="L36" s="22"/>
      <c r="M36" s="22"/>
      <c r="N36" s="22"/>
      <c r="O36" s="22"/>
    </row>
    <row r="37" spans="2:24" x14ac:dyDescent="0.25">
      <c r="F37" s="22"/>
      <c r="G37" s="22"/>
      <c r="H37" s="22"/>
      <c r="I37" s="22"/>
      <c r="J37" s="22"/>
      <c r="K37" s="22"/>
      <c r="L37" s="22"/>
      <c r="M37" s="22"/>
      <c r="N37" s="22"/>
      <c r="O37" s="22"/>
    </row>
    <row r="52" spans="6:15" x14ac:dyDescent="0.25">
      <c r="F52" s="22"/>
      <c r="G52" s="22"/>
      <c r="H52" s="22"/>
      <c r="I52" s="22"/>
      <c r="J52" s="22"/>
      <c r="K52" s="22"/>
      <c r="L52" s="22"/>
      <c r="M52" s="22"/>
      <c r="N52" s="22"/>
      <c r="O52" s="22"/>
    </row>
  </sheetData>
  <sheetProtection selectLockedCells="1" autoFilter="0"/>
  <dataConsolidate/>
  <mergeCells count="6">
    <mergeCell ref="B10:G10"/>
    <mergeCell ref="B13:E13"/>
    <mergeCell ref="F13:L13"/>
    <mergeCell ref="R13:X13"/>
    <mergeCell ref="M13:Q13"/>
    <mergeCell ref="B11:G11"/>
  </mergeCells>
  <phoneticPr fontId="15" type="noConversion"/>
  <conditionalFormatting sqref="L15:L34 W15:W34">
    <cfRule type="cellIs" dxfId="163" priority="45" operator="equal">
      <formula>" HIGH"</formula>
    </cfRule>
    <cfRule type="cellIs" dxfId="162" priority="46" operator="equal">
      <formula>" MEDIUM"</formula>
    </cfRule>
    <cfRule type="cellIs" dxfId="161" priority="47" operator="equal">
      <formula>" LOW"</formula>
    </cfRule>
  </conditionalFormatting>
  <conditionalFormatting sqref="M15:X34">
    <cfRule type="expression" dxfId="160" priority="8">
      <formula>$M15="Accept"</formula>
    </cfRule>
  </conditionalFormatting>
  <dataValidations disablePrompts="1" count="2">
    <dataValidation type="list" allowBlank="1" showInputMessage="1" showErrorMessage="1" sqref="G15:G34 R15:R34 T15:T34 I15:I34" xr:uid="{9E04EEBB-B1D2-4808-B095-AE27576FF48E}">
      <formula1>"Select…,1,2,3,4,5"</formula1>
    </dataValidation>
    <dataValidation type="list" allowBlank="1" showErrorMessage="1" sqref="M15:M34" xr:uid="{C9A2378B-DD51-4C68-8CDE-E4BE56AF0A4A}">
      <formula1>"Select…,Accept,Avoid,Modify,Share"</formula1>
    </dataValidation>
  </dataValidations>
  <pageMargins left="0.70866141732283472" right="0.70866141732283472" top="0.74803149606299213" bottom="0.74803149606299213" header="0.31496062992125984" footer="0.31496062992125984"/>
  <pageSetup paperSize="9" scale="32" orientation="landscape" horizontalDpi="360" verticalDpi="360" r:id="rId1"/>
  <headerFooter>
    <oddFooter>&amp;L&amp;D&amp;CPage &amp;P of &amp;N</oddFooter>
  </headerFooter>
  <colBreaks count="2" manualBreakCount="2">
    <brk id="13" max="1048575" man="1"/>
    <brk id="21" max="1048575" man="1"/>
  </colBreaks>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571B1-8FF2-4982-BAD2-3C1E326013BB}">
  <sheetPr>
    <pageSetUpPr fitToPage="1"/>
  </sheetPr>
  <dimension ref="B2:AA32"/>
  <sheetViews>
    <sheetView showGridLines="0" zoomScaleNormal="100" workbookViewId="0"/>
  </sheetViews>
  <sheetFormatPr defaultColWidth="9.140625" defaultRowHeight="15" x14ac:dyDescent="0.25"/>
  <cols>
    <col min="1" max="1" width="2.85546875" style="26" customWidth="1"/>
    <col min="2" max="2" width="4.28515625" style="26" customWidth="1"/>
    <col min="3" max="3" width="20.85546875" style="26" customWidth="1"/>
    <col min="4" max="4" width="26.5703125" style="26" bestFit="1" customWidth="1"/>
    <col min="5" max="5" width="18.85546875" style="26" bestFit="1" customWidth="1"/>
    <col min="6" max="6" width="18.5703125" style="26" customWidth="1"/>
    <col min="7" max="7" width="11.42578125" style="26" bestFit="1" customWidth="1"/>
    <col min="8" max="8" width="22.28515625" style="26" bestFit="1" customWidth="1"/>
    <col min="9" max="9" width="8" style="26" bestFit="1" customWidth="1"/>
    <col min="10" max="10" width="18.7109375" style="26" bestFit="1" customWidth="1"/>
    <col min="11" max="11" width="13" style="26" customWidth="1"/>
    <col min="12" max="12" width="15" style="26" customWidth="1"/>
    <col min="13" max="13" width="31.5703125" style="26" customWidth="1"/>
    <col min="14" max="14" width="15.42578125" style="26" bestFit="1" customWidth="1"/>
    <col min="15" max="15" width="18.28515625" style="26" bestFit="1" customWidth="1"/>
    <col min="16" max="16" width="19.5703125" style="26" customWidth="1"/>
    <col min="17" max="17" width="12.42578125" style="26" customWidth="1"/>
    <col min="18" max="18" width="11" style="26" customWidth="1"/>
    <col min="19" max="19" width="14.85546875" style="26" customWidth="1"/>
    <col min="20" max="20" width="11.85546875" style="26" customWidth="1"/>
    <col min="21" max="21" width="14.85546875" style="26" customWidth="1"/>
    <col min="22" max="22" width="11.28515625" style="26" customWidth="1"/>
    <col min="23" max="23" width="12.5703125" style="26" customWidth="1"/>
    <col min="24" max="24" width="14.5703125" style="26" customWidth="1"/>
    <col min="25" max="25" width="15.28515625" style="26" customWidth="1"/>
    <col min="26" max="26" width="11.28515625" style="26" customWidth="1"/>
    <col min="27" max="27" width="15.5703125" style="26" customWidth="1"/>
    <col min="28" max="28" width="12.85546875" style="26" customWidth="1"/>
    <col min="29" max="29" width="10.85546875" style="26" customWidth="1"/>
    <col min="30" max="30" width="11.7109375" style="26" customWidth="1"/>
    <col min="31" max="16384" width="9.140625" style="26"/>
  </cols>
  <sheetData>
    <row r="2" spans="2:27" ht="23.25" x14ac:dyDescent="0.25">
      <c r="D2" s="38"/>
      <c r="E2" s="39"/>
      <c r="F2" s="38"/>
      <c r="G2" s="38"/>
      <c r="H2" s="38"/>
      <c r="J2" s="38"/>
      <c r="K2" s="38"/>
      <c r="L2" s="38"/>
      <c r="M2" s="38"/>
      <c r="N2" s="38"/>
      <c r="O2" s="38"/>
      <c r="P2" s="38"/>
    </row>
    <row r="3" spans="2:27" x14ac:dyDescent="0.25">
      <c r="G3" s="38"/>
      <c r="H3" s="38"/>
      <c r="I3" s="38"/>
    </row>
    <row r="4" spans="2:27" x14ac:dyDescent="0.25">
      <c r="D4" s="38"/>
      <c r="E4" s="40"/>
      <c r="F4" s="38"/>
      <c r="G4" s="38"/>
      <c r="H4" s="38"/>
      <c r="I4" s="38"/>
      <c r="J4" s="38"/>
      <c r="K4" s="38"/>
      <c r="L4" s="38"/>
      <c r="M4" s="38"/>
      <c r="N4" s="38"/>
      <c r="O4" s="38"/>
      <c r="P4" s="38"/>
    </row>
    <row r="5" spans="2:27" x14ac:dyDescent="0.25">
      <c r="D5" s="38"/>
      <c r="E5" s="40"/>
      <c r="F5" s="38"/>
      <c r="G5" s="38"/>
      <c r="H5" s="38"/>
      <c r="I5" s="38"/>
      <c r="J5" s="38"/>
      <c r="K5" s="38"/>
      <c r="L5" s="38"/>
      <c r="M5" s="38"/>
      <c r="N5" s="38"/>
      <c r="O5" s="38"/>
      <c r="P5" s="38"/>
    </row>
    <row r="6" spans="2:27" x14ac:dyDescent="0.25">
      <c r="D6" s="38"/>
      <c r="E6" s="40"/>
      <c r="F6" s="38"/>
      <c r="G6" s="38"/>
      <c r="H6" s="38"/>
      <c r="I6" s="38"/>
      <c r="J6" s="38"/>
      <c r="K6" s="38"/>
      <c r="L6" s="38"/>
      <c r="M6" s="38"/>
      <c r="N6" s="38"/>
      <c r="O6" s="38"/>
      <c r="P6" s="38"/>
    </row>
    <row r="7" spans="2:27" x14ac:dyDescent="0.25">
      <c r="D7" s="38"/>
      <c r="E7" s="40"/>
      <c r="F7" s="38"/>
      <c r="G7" s="38"/>
      <c r="H7" s="38"/>
      <c r="I7" s="38"/>
      <c r="J7" s="38"/>
      <c r="K7" s="38"/>
      <c r="L7" s="38"/>
      <c r="M7" s="38"/>
      <c r="N7" s="38"/>
      <c r="O7" s="38"/>
      <c r="P7" s="38"/>
    </row>
    <row r="8" spans="2:27" ht="21" x14ac:dyDescent="0.25">
      <c r="B8" s="8" t="s">
        <v>69</v>
      </c>
      <c r="D8" s="38"/>
      <c r="E8" s="40"/>
      <c r="F8" s="38"/>
      <c r="G8" s="38"/>
      <c r="H8" s="38"/>
      <c r="I8" s="38"/>
      <c r="J8" s="38"/>
      <c r="K8" s="38"/>
      <c r="L8" s="38"/>
      <c r="M8" s="38"/>
      <c r="N8" s="38"/>
      <c r="O8" s="38"/>
      <c r="P8" s="38"/>
    </row>
    <row r="9" spans="2:27" ht="31.5" customHeight="1" x14ac:dyDescent="0.25">
      <c r="B9" s="118" t="s">
        <v>70</v>
      </c>
      <c r="C9" s="118"/>
      <c r="D9" s="118"/>
      <c r="E9" s="118"/>
      <c r="F9" s="118"/>
      <c r="G9" s="118"/>
      <c r="H9" s="118"/>
      <c r="I9" s="38"/>
      <c r="J9" s="38"/>
      <c r="K9" s="38"/>
      <c r="L9" s="41"/>
      <c r="M9" s="42"/>
      <c r="N9" s="42"/>
      <c r="O9" s="38"/>
      <c r="P9" s="38"/>
    </row>
    <row r="10" spans="2:27" s="81" customFormat="1" x14ac:dyDescent="0.25">
      <c r="B10" s="117" t="s">
        <v>230</v>
      </c>
      <c r="C10" s="117"/>
      <c r="D10" s="117"/>
      <c r="E10" s="117"/>
      <c r="F10" s="117"/>
      <c r="G10" s="117"/>
      <c r="H10" s="78"/>
      <c r="I10" s="78"/>
      <c r="J10" s="78"/>
      <c r="K10" s="78"/>
      <c r="L10" s="79"/>
      <c r="M10" s="80"/>
      <c r="N10" s="80"/>
      <c r="O10" s="78"/>
      <c r="P10" s="78"/>
    </row>
    <row r="11" spans="2:27" ht="15" customHeight="1" x14ac:dyDescent="0.25">
      <c r="D11" s="38"/>
      <c r="E11" s="40"/>
      <c r="F11" s="38"/>
      <c r="G11" s="38"/>
      <c r="H11" s="38"/>
      <c r="I11" s="38"/>
      <c r="J11" s="38"/>
      <c r="K11" s="38"/>
      <c r="L11" s="38"/>
      <c r="M11" s="38"/>
      <c r="N11" s="38"/>
      <c r="O11" s="38"/>
      <c r="P11" s="38"/>
    </row>
    <row r="12" spans="2:27" ht="21" customHeight="1" x14ac:dyDescent="0.25">
      <c r="B12" s="51" t="s">
        <v>233</v>
      </c>
      <c r="C12" s="51" t="s">
        <v>234</v>
      </c>
      <c r="D12" s="51" t="s">
        <v>235</v>
      </c>
      <c r="E12" s="51" t="s">
        <v>236</v>
      </c>
      <c r="F12" s="51" t="s">
        <v>237</v>
      </c>
      <c r="G12" s="51" t="s">
        <v>238</v>
      </c>
      <c r="H12" s="51" t="s">
        <v>239</v>
      </c>
      <c r="I12" s="51" t="s">
        <v>240</v>
      </c>
      <c r="J12" s="51" t="s">
        <v>241</v>
      </c>
      <c r="K12" s="51" t="s">
        <v>242</v>
      </c>
      <c r="L12" s="51" t="s">
        <v>243</v>
      </c>
      <c r="M12" s="51" t="s">
        <v>244</v>
      </c>
      <c r="N12" s="51" t="s">
        <v>245</v>
      </c>
      <c r="O12" s="51" t="s">
        <v>246</v>
      </c>
      <c r="P12" s="51" t="s">
        <v>247</v>
      </c>
      <c r="Q12" s="43"/>
      <c r="R12" s="43"/>
      <c r="S12" s="43"/>
      <c r="T12" s="43"/>
      <c r="U12" s="43"/>
      <c r="V12" s="43"/>
      <c r="W12" s="43"/>
      <c r="X12" s="43"/>
      <c r="Y12" s="43"/>
      <c r="Z12" s="43"/>
      <c r="AA12" s="43"/>
    </row>
    <row r="13" spans="2:27" x14ac:dyDescent="0.25">
      <c r="B13" s="52">
        <v>1</v>
      </c>
      <c r="C13" s="52"/>
      <c r="D13" s="52"/>
      <c r="E13" s="52"/>
      <c r="F13" s="52"/>
      <c r="G13" s="14" t="s">
        <v>0</v>
      </c>
      <c r="H13" s="52"/>
      <c r="I13" s="14" t="s">
        <v>0</v>
      </c>
      <c r="J13" s="52"/>
      <c r="K13" s="11" t="str">
        <f>IFERROR(RiskAssessment7[[#This Row],[LIKELIHOOD]]*RiskAssessment7[[#This Row],[IMPACT]],"Calculated")</f>
        <v>Calculated</v>
      </c>
      <c r="L13" s="11" t="str">
        <f>IF(K13="Calculated", "Calculated", IF(K13&gt;11, " HIGH",IF(K13&gt;4," MEDIUM"," LOW")))</f>
        <v>Calculated</v>
      </c>
      <c r="M13" s="53"/>
      <c r="N13" s="53"/>
      <c r="O13" s="53"/>
      <c r="P13" s="52"/>
    </row>
    <row r="14" spans="2:27" x14ac:dyDescent="0.25">
      <c r="B14" s="52">
        <v>2</v>
      </c>
      <c r="C14" s="52"/>
      <c r="D14" s="52"/>
      <c r="E14" s="52"/>
      <c r="F14" s="52"/>
      <c r="G14" s="14" t="s">
        <v>0</v>
      </c>
      <c r="H14" s="52"/>
      <c r="I14" s="14" t="s">
        <v>0</v>
      </c>
      <c r="J14" s="52"/>
      <c r="K14" s="11" t="str">
        <f>IFERROR(RiskAssessment7[[#This Row],[LIKELIHOOD]]*RiskAssessment7[[#This Row],[IMPACT]],"Calculated")</f>
        <v>Calculated</v>
      </c>
      <c r="L14" s="11" t="str">
        <f t="shared" ref="L14:L15" si="0">IF(K14="Calculated", "Calculated", IF(K14&gt;11, " HIGH",IF(K14&gt;4," MEDIUM"," LOW")))</f>
        <v>Calculated</v>
      </c>
      <c r="M14" s="53"/>
      <c r="N14" s="53"/>
      <c r="O14" s="53"/>
      <c r="P14" s="52"/>
    </row>
    <row r="15" spans="2:27" x14ac:dyDescent="0.25">
      <c r="B15" s="52">
        <v>3</v>
      </c>
      <c r="C15" s="52"/>
      <c r="D15" s="52"/>
      <c r="E15" s="52"/>
      <c r="F15" s="52"/>
      <c r="G15" s="14" t="s">
        <v>0</v>
      </c>
      <c r="H15" s="52"/>
      <c r="I15" s="14" t="s">
        <v>0</v>
      </c>
      <c r="J15" s="52"/>
      <c r="K15" s="11" t="str">
        <f>IFERROR(RiskAssessment7[[#This Row],[LIKELIHOOD]]*RiskAssessment7[[#This Row],[IMPACT]],"Calculated")</f>
        <v>Calculated</v>
      </c>
      <c r="L15" s="11" t="str">
        <f t="shared" si="0"/>
        <v>Calculated</v>
      </c>
      <c r="M15" s="53"/>
      <c r="N15" s="53"/>
      <c r="O15" s="53"/>
      <c r="P15" s="52"/>
    </row>
    <row r="16" spans="2:27" x14ac:dyDescent="0.25">
      <c r="B16" s="52">
        <v>4</v>
      </c>
      <c r="C16" s="82"/>
      <c r="D16" s="82"/>
      <c r="E16" s="82"/>
      <c r="F16" s="82"/>
      <c r="G16" s="14" t="s">
        <v>0</v>
      </c>
      <c r="H16" s="82"/>
      <c r="I16" s="14" t="s">
        <v>0</v>
      </c>
      <c r="J16" s="82"/>
      <c r="K16" s="102" t="str">
        <f>IFERROR(RiskAssessment7[[#This Row],[LIKELIHOOD]]*RiskAssessment7[[#This Row],[IMPACT]],"Calculated")</f>
        <v>Calculated</v>
      </c>
      <c r="L16" s="102" t="str">
        <f t="shared" ref="L16:L32" si="1">IF(K16="Calculated", "Calculated", IF(K16&gt;11, " HIGH",IF(K16&gt;4," MEDIUM"," LOW")))</f>
        <v>Calculated</v>
      </c>
      <c r="M16" s="103"/>
      <c r="N16" s="103"/>
      <c r="O16" s="53"/>
      <c r="P16" s="82"/>
    </row>
    <row r="17" spans="2:16" x14ac:dyDescent="0.25">
      <c r="B17" s="52">
        <v>5</v>
      </c>
      <c r="C17" s="82"/>
      <c r="D17" s="82"/>
      <c r="E17" s="82"/>
      <c r="F17" s="82"/>
      <c r="G17" s="14" t="s">
        <v>0</v>
      </c>
      <c r="H17" s="82"/>
      <c r="I17" s="14" t="s">
        <v>0</v>
      </c>
      <c r="J17" s="82"/>
      <c r="K17" s="102" t="str">
        <f>IFERROR(RiskAssessment7[[#This Row],[LIKELIHOOD]]*RiskAssessment7[[#This Row],[IMPACT]],"Calculated")</f>
        <v>Calculated</v>
      </c>
      <c r="L17" s="102" t="str">
        <f t="shared" si="1"/>
        <v>Calculated</v>
      </c>
      <c r="M17" s="103"/>
      <c r="N17" s="103"/>
      <c r="O17" s="53"/>
      <c r="P17" s="82"/>
    </row>
    <row r="18" spans="2:16" x14ac:dyDescent="0.25">
      <c r="B18" s="52">
        <v>6</v>
      </c>
      <c r="C18" s="82"/>
      <c r="D18" s="82"/>
      <c r="E18" s="82"/>
      <c r="F18" s="82"/>
      <c r="G18" s="14" t="s">
        <v>0</v>
      </c>
      <c r="H18" s="82"/>
      <c r="I18" s="14" t="s">
        <v>0</v>
      </c>
      <c r="J18" s="82"/>
      <c r="K18" s="102" t="str">
        <f>IFERROR(RiskAssessment7[[#This Row],[LIKELIHOOD]]*RiskAssessment7[[#This Row],[IMPACT]],"Calculated")</f>
        <v>Calculated</v>
      </c>
      <c r="L18" s="102" t="str">
        <f t="shared" si="1"/>
        <v>Calculated</v>
      </c>
      <c r="M18" s="103"/>
      <c r="N18" s="103"/>
      <c r="O18" s="53"/>
      <c r="P18" s="82"/>
    </row>
    <row r="19" spans="2:16" x14ac:dyDescent="0.25">
      <c r="B19" s="52">
        <v>7</v>
      </c>
      <c r="C19" s="82"/>
      <c r="D19" s="82"/>
      <c r="E19" s="82"/>
      <c r="F19" s="82"/>
      <c r="G19" s="14" t="s">
        <v>0</v>
      </c>
      <c r="H19" s="82"/>
      <c r="I19" s="14" t="s">
        <v>0</v>
      </c>
      <c r="J19" s="82"/>
      <c r="K19" s="102" t="str">
        <f>IFERROR(RiskAssessment7[[#This Row],[LIKELIHOOD]]*RiskAssessment7[[#This Row],[IMPACT]],"Calculated")</f>
        <v>Calculated</v>
      </c>
      <c r="L19" s="102" t="str">
        <f t="shared" si="1"/>
        <v>Calculated</v>
      </c>
      <c r="M19" s="103"/>
      <c r="N19" s="103"/>
      <c r="O19" s="53"/>
      <c r="P19" s="82"/>
    </row>
    <row r="20" spans="2:16" x14ac:dyDescent="0.25">
      <c r="B20" s="52">
        <v>8</v>
      </c>
      <c r="C20" s="82"/>
      <c r="D20" s="82"/>
      <c r="E20" s="82"/>
      <c r="F20" s="82"/>
      <c r="G20" s="14" t="s">
        <v>0</v>
      </c>
      <c r="H20" s="82"/>
      <c r="I20" s="14" t="s">
        <v>0</v>
      </c>
      <c r="J20" s="82"/>
      <c r="K20" s="102" t="str">
        <f>IFERROR(RiskAssessment7[[#This Row],[LIKELIHOOD]]*RiskAssessment7[[#This Row],[IMPACT]],"Calculated")</f>
        <v>Calculated</v>
      </c>
      <c r="L20" s="102" t="str">
        <f t="shared" si="1"/>
        <v>Calculated</v>
      </c>
      <c r="M20" s="103"/>
      <c r="N20" s="103"/>
      <c r="O20" s="53"/>
      <c r="P20" s="82"/>
    </row>
    <row r="21" spans="2:16" x14ac:dyDescent="0.25">
      <c r="B21" s="52">
        <v>9</v>
      </c>
      <c r="C21" s="82"/>
      <c r="D21" s="82"/>
      <c r="E21" s="82"/>
      <c r="F21" s="82"/>
      <c r="G21" s="14" t="s">
        <v>0</v>
      </c>
      <c r="H21" s="82"/>
      <c r="I21" s="14" t="s">
        <v>0</v>
      </c>
      <c r="J21" s="82"/>
      <c r="K21" s="102" t="str">
        <f>IFERROR(RiskAssessment7[[#This Row],[LIKELIHOOD]]*RiskAssessment7[[#This Row],[IMPACT]],"Calculated")</f>
        <v>Calculated</v>
      </c>
      <c r="L21" s="102" t="str">
        <f t="shared" si="1"/>
        <v>Calculated</v>
      </c>
      <c r="M21" s="103"/>
      <c r="N21" s="103"/>
      <c r="O21" s="53"/>
      <c r="P21" s="82"/>
    </row>
    <row r="22" spans="2:16" x14ac:dyDescent="0.25">
      <c r="B22" s="52">
        <v>10</v>
      </c>
      <c r="C22" s="82"/>
      <c r="D22" s="82"/>
      <c r="E22" s="82"/>
      <c r="F22" s="82"/>
      <c r="G22" s="14" t="s">
        <v>0</v>
      </c>
      <c r="H22" s="82"/>
      <c r="I22" s="14" t="s">
        <v>0</v>
      </c>
      <c r="J22" s="82"/>
      <c r="K22" s="102" t="str">
        <f>IFERROR(RiskAssessment7[[#This Row],[LIKELIHOOD]]*RiskAssessment7[[#This Row],[IMPACT]],"Calculated")</f>
        <v>Calculated</v>
      </c>
      <c r="L22" s="102" t="str">
        <f t="shared" si="1"/>
        <v>Calculated</v>
      </c>
      <c r="M22" s="103"/>
      <c r="N22" s="103"/>
      <c r="O22" s="53"/>
      <c r="P22" s="82"/>
    </row>
    <row r="23" spans="2:16" x14ac:dyDescent="0.25">
      <c r="B23" s="52">
        <v>11</v>
      </c>
      <c r="C23" s="82"/>
      <c r="D23" s="82"/>
      <c r="E23" s="82"/>
      <c r="F23" s="82"/>
      <c r="G23" s="14" t="s">
        <v>0</v>
      </c>
      <c r="H23" s="82"/>
      <c r="I23" s="14" t="s">
        <v>0</v>
      </c>
      <c r="J23" s="82"/>
      <c r="K23" s="102" t="str">
        <f>IFERROR(RiskAssessment7[[#This Row],[LIKELIHOOD]]*RiskAssessment7[[#This Row],[IMPACT]],"Calculated")</f>
        <v>Calculated</v>
      </c>
      <c r="L23" s="102" t="str">
        <f t="shared" si="1"/>
        <v>Calculated</v>
      </c>
      <c r="M23" s="103"/>
      <c r="N23" s="103"/>
      <c r="O23" s="53"/>
      <c r="P23" s="82"/>
    </row>
    <row r="24" spans="2:16" x14ac:dyDescent="0.25">
      <c r="B24" s="52">
        <v>12</v>
      </c>
      <c r="C24" s="82"/>
      <c r="D24" s="82"/>
      <c r="E24" s="82"/>
      <c r="F24" s="82"/>
      <c r="G24" s="14" t="s">
        <v>0</v>
      </c>
      <c r="H24" s="82"/>
      <c r="I24" s="14" t="s">
        <v>0</v>
      </c>
      <c r="J24" s="82"/>
      <c r="K24" s="102" t="str">
        <f>IFERROR(RiskAssessment7[[#This Row],[LIKELIHOOD]]*RiskAssessment7[[#This Row],[IMPACT]],"Calculated")</f>
        <v>Calculated</v>
      </c>
      <c r="L24" s="102" t="str">
        <f t="shared" si="1"/>
        <v>Calculated</v>
      </c>
      <c r="M24" s="103"/>
      <c r="N24" s="103"/>
      <c r="O24" s="53"/>
      <c r="P24" s="82"/>
    </row>
    <row r="25" spans="2:16" x14ac:dyDescent="0.25">
      <c r="B25" s="52">
        <v>13</v>
      </c>
      <c r="C25" s="82"/>
      <c r="D25" s="82"/>
      <c r="E25" s="82"/>
      <c r="F25" s="82"/>
      <c r="G25" s="14" t="s">
        <v>0</v>
      </c>
      <c r="H25" s="82"/>
      <c r="I25" s="14" t="s">
        <v>0</v>
      </c>
      <c r="J25" s="82"/>
      <c r="K25" s="102" t="str">
        <f>IFERROR(RiskAssessment7[[#This Row],[LIKELIHOOD]]*RiskAssessment7[[#This Row],[IMPACT]],"Calculated")</f>
        <v>Calculated</v>
      </c>
      <c r="L25" s="102" t="str">
        <f t="shared" si="1"/>
        <v>Calculated</v>
      </c>
      <c r="M25" s="103"/>
      <c r="N25" s="103"/>
      <c r="O25" s="53"/>
      <c r="P25" s="82"/>
    </row>
    <row r="26" spans="2:16" x14ac:dyDescent="0.25">
      <c r="B26" s="52">
        <v>14</v>
      </c>
      <c r="C26" s="82"/>
      <c r="D26" s="82"/>
      <c r="E26" s="82"/>
      <c r="F26" s="82"/>
      <c r="G26" s="14" t="s">
        <v>0</v>
      </c>
      <c r="H26" s="82"/>
      <c r="I26" s="14" t="s">
        <v>0</v>
      </c>
      <c r="J26" s="82"/>
      <c r="K26" s="102" t="str">
        <f>IFERROR(RiskAssessment7[[#This Row],[LIKELIHOOD]]*RiskAssessment7[[#This Row],[IMPACT]],"Calculated")</f>
        <v>Calculated</v>
      </c>
      <c r="L26" s="102" t="str">
        <f t="shared" si="1"/>
        <v>Calculated</v>
      </c>
      <c r="M26" s="103"/>
      <c r="N26" s="103"/>
      <c r="O26" s="53"/>
      <c r="P26" s="82"/>
    </row>
    <row r="27" spans="2:16" x14ac:dyDescent="0.25">
      <c r="B27" s="52">
        <v>15</v>
      </c>
      <c r="C27" s="82"/>
      <c r="D27" s="82"/>
      <c r="E27" s="82"/>
      <c r="F27" s="82"/>
      <c r="G27" s="14" t="s">
        <v>0</v>
      </c>
      <c r="H27" s="82"/>
      <c r="I27" s="14" t="s">
        <v>0</v>
      </c>
      <c r="J27" s="82"/>
      <c r="K27" s="102" t="str">
        <f>IFERROR(RiskAssessment7[[#This Row],[LIKELIHOOD]]*RiskAssessment7[[#This Row],[IMPACT]],"Calculated")</f>
        <v>Calculated</v>
      </c>
      <c r="L27" s="102" t="str">
        <f t="shared" si="1"/>
        <v>Calculated</v>
      </c>
      <c r="M27" s="103"/>
      <c r="N27" s="103"/>
      <c r="O27" s="53"/>
      <c r="P27" s="82"/>
    </row>
    <row r="28" spans="2:16" x14ac:dyDescent="0.25">
      <c r="B28" s="52">
        <v>16</v>
      </c>
      <c r="C28" s="82"/>
      <c r="D28" s="82"/>
      <c r="E28" s="82"/>
      <c r="F28" s="82"/>
      <c r="G28" s="14" t="s">
        <v>0</v>
      </c>
      <c r="H28" s="82"/>
      <c r="I28" s="14" t="s">
        <v>0</v>
      </c>
      <c r="J28" s="82"/>
      <c r="K28" s="102" t="str">
        <f>IFERROR(RiskAssessment7[[#This Row],[LIKELIHOOD]]*RiskAssessment7[[#This Row],[IMPACT]],"Calculated")</f>
        <v>Calculated</v>
      </c>
      <c r="L28" s="102" t="str">
        <f t="shared" si="1"/>
        <v>Calculated</v>
      </c>
      <c r="M28" s="103"/>
      <c r="N28" s="103"/>
      <c r="O28" s="53"/>
      <c r="P28" s="82"/>
    </row>
    <row r="29" spans="2:16" x14ac:dyDescent="0.25">
      <c r="B29" s="52">
        <v>17</v>
      </c>
      <c r="C29" s="82"/>
      <c r="D29" s="82"/>
      <c r="E29" s="82"/>
      <c r="F29" s="82"/>
      <c r="G29" s="14" t="s">
        <v>0</v>
      </c>
      <c r="H29" s="82"/>
      <c r="I29" s="14" t="s">
        <v>0</v>
      </c>
      <c r="J29" s="82"/>
      <c r="K29" s="102" t="str">
        <f>IFERROR(RiskAssessment7[[#This Row],[LIKELIHOOD]]*RiskAssessment7[[#This Row],[IMPACT]],"Calculated")</f>
        <v>Calculated</v>
      </c>
      <c r="L29" s="102" t="str">
        <f t="shared" si="1"/>
        <v>Calculated</v>
      </c>
      <c r="M29" s="103"/>
      <c r="N29" s="103"/>
      <c r="O29" s="53"/>
      <c r="P29" s="82"/>
    </row>
    <row r="30" spans="2:16" x14ac:dyDescent="0.25">
      <c r="B30" s="52">
        <v>18</v>
      </c>
      <c r="C30" s="82"/>
      <c r="D30" s="82"/>
      <c r="E30" s="82"/>
      <c r="F30" s="82"/>
      <c r="G30" s="14" t="s">
        <v>0</v>
      </c>
      <c r="H30" s="82"/>
      <c r="I30" s="14" t="s">
        <v>0</v>
      </c>
      <c r="J30" s="82"/>
      <c r="K30" s="102" t="str">
        <f>IFERROR(RiskAssessment7[[#This Row],[LIKELIHOOD]]*RiskAssessment7[[#This Row],[IMPACT]],"Calculated")</f>
        <v>Calculated</v>
      </c>
      <c r="L30" s="102" t="str">
        <f t="shared" si="1"/>
        <v>Calculated</v>
      </c>
      <c r="M30" s="103"/>
      <c r="N30" s="103"/>
      <c r="O30" s="53"/>
      <c r="P30" s="82"/>
    </row>
    <row r="31" spans="2:16" x14ac:dyDescent="0.25">
      <c r="B31" s="52">
        <v>19</v>
      </c>
      <c r="C31" s="82"/>
      <c r="D31" s="82"/>
      <c r="E31" s="82"/>
      <c r="F31" s="82"/>
      <c r="G31" s="14" t="s">
        <v>0</v>
      </c>
      <c r="H31" s="82"/>
      <c r="I31" s="14" t="s">
        <v>0</v>
      </c>
      <c r="J31" s="82"/>
      <c r="K31" s="102" t="str">
        <f>IFERROR(RiskAssessment7[[#This Row],[LIKELIHOOD]]*RiskAssessment7[[#This Row],[IMPACT]],"Calculated")</f>
        <v>Calculated</v>
      </c>
      <c r="L31" s="102" t="str">
        <f t="shared" si="1"/>
        <v>Calculated</v>
      </c>
      <c r="M31" s="103"/>
      <c r="N31" s="103"/>
      <c r="O31" s="53"/>
      <c r="P31" s="82"/>
    </row>
    <row r="32" spans="2:16" x14ac:dyDescent="0.25">
      <c r="B32" s="52">
        <v>20</v>
      </c>
      <c r="C32" s="82"/>
      <c r="D32" s="82"/>
      <c r="E32" s="82"/>
      <c r="F32" s="82"/>
      <c r="G32" s="14" t="s">
        <v>0</v>
      </c>
      <c r="H32" s="82"/>
      <c r="I32" s="14" t="s">
        <v>0</v>
      </c>
      <c r="J32" s="82"/>
      <c r="K32" s="102" t="str">
        <f>IFERROR(RiskAssessment7[[#This Row],[LIKELIHOOD]]*RiskAssessment7[[#This Row],[IMPACT]],"Calculated")</f>
        <v>Calculated</v>
      </c>
      <c r="L32" s="102" t="str">
        <f t="shared" si="1"/>
        <v>Calculated</v>
      </c>
      <c r="M32" s="103"/>
      <c r="N32" s="103"/>
      <c r="O32" s="53"/>
      <c r="P32" s="82"/>
    </row>
  </sheetData>
  <mergeCells count="2">
    <mergeCell ref="B10:G10"/>
    <mergeCell ref="B9:H9"/>
  </mergeCells>
  <conditionalFormatting sqref="L13:L32">
    <cfRule type="cellIs" dxfId="134" priority="2" operator="equal">
      <formula>" HIGH"</formula>
    </cfRule>
    <cfRule type="cellIs" dxfId="133" priority="3" operator="equal">
      <formula>" MEDIUM"</formula>
    </cfRule>
    <cfRule type="cellIs" dxfId="132" priority="4" operator="equal">
      <formula>" LOW"</formula>
    </cfRule>
  </conditionalFormatting>
  <pageMargins left="0.7" right="0.7" top="0.75" bottom="0.75" header="0.3" footer="0.3"/>
  <pageSetup paperSize="9" scale="49" orientation="landscape" horizontalDpi="1200" verticalDpi="1200" r:id="rId1"/>
  <headerFooter>
    <oddFooter>&amp;L&amp;D&amp;CPage &amp;P of &amp;N</oddFooter>
  </headerFooter>
  <drawing r:id="rId2"/>
  <legacyDrawing r:id="rId3"/>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3181C3FB-C2D2-46F5-AAE3-8CFE9138DFC8}">
          <x14:formula1>
            <xm:f>'Selection Tables'!$B$7:$B$12</xm:f>
          </x14:formula1>
          <xm:sqref>G13:G32 I13:I32</xm:sqref>
        </x14:dataValidation>
      </x14:dataValidations>
    </ext>
    <ext xmlns:x15="http://schemas.microsoft.com/office/spreadsheetml/2010/11/main" uri="{3A4CF648-6AED-40f4-86FF-DC5316D8AED3}">
      <x14:slicerList xmlns:x14="http://schemas.microsoft.com/office/spreadsheetml/2009/9/main">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134AD-C195-458A-BADD-638958E9E7DC}">
  <sheetPr>
    <pageSetUpPr fitToPage="1"/>
  </sheetPr>
  <dimension ref="B8:AI94"/>
  <sheetViews>
    <sheetView showGridLines="0" zoomScaleNormal="100" workbookViewId="0"/>
  </sheetViews>
  <sheetFormatPr defaultColWidth="9.140625" defaultRowHeight="15" x14ac:dyDescent="0.25"/>
  <cols>
    <col min="1" max="1" width="2.85546875" style="54" customWidth="1"/>
    <col min="2" max="2" width="7.7109375" style="54" customWidth="1"/>
    <col min="3" max="8" width="13.7109375" style="54" customWidth="1"/>
    <col min="9" max="34" width="8.7109375" style="54" customWidth="1"/>
    <col min="35" max="16384" width="9.140625" style="54"/>
  </cols>
  <sheetData>
    <row r="8" spans="2:35" customFormat="1" ht="21" x14ac:dyDescent="0.35">
      <c r="B8" s="105" t="s">
        <v>248</v>
      </c>
      <c r="AA8" s="106"/>
      <c r="AB8" s="106"/>
      <c r="AC8" s="106"/>
      <c r="AD8" s="106"/>
      <c r="AE8" s="106"/>
      <c r="AF8" s="106"/>
      <c r="AG8" s="106"/>
      <c r="AH8" s="106"/>
      <c r="AI8" s="106"/>
    </row>
    <row r="9" spans="2:35" customFormat="1" ht="15" customHeight="1" x14ac:dyDescent="0.25">
      <c r="B9" s="107" t="s">
        <v>230</v>
      </c>
    </row>
    <row r="11" spans="2:35" ht="20.100000000000001" customHeight="1" x14ac:dyDescent="0.3">
      <c r="B11" s="63" t="s">
        <v>249</v>
      </c>
      <c r="C11" s="61"/>
      <c r="D11" s="61"/>
      <c r="E11" s="61"/>
      <c r="F11" s="61"/>
      <c r="G11" s="61"/>
      <c r="H11" s="61"/>
      <c r="I11" s="64"/>
      <c r="J11" s="64"/>
      <c r="K11" s="64"/>
      <c r="L11" s="61"/>
      <c r="M11" s="61"/>
      <c r="N11" s="61"/>
      <c r="O11" s="61"/>
      <c r="P11" s="61"/>
      <c r="Q11" s="61"/>
      <c r="R11" s="61"/>
      <c r="S11" s="61"/>
      <c r="T11" s="61"/>
      <c r="U11" s="61"/>
      <c r="V11" s="61"/>
      <c r="W11" s="61"/>
      <c r="X11" s="61"/>
      <c r="Y11" s="61"/>
      <c r="Z11" s="61"/>
      <c r="AD11" s="49"/>
      <c r="AE11" s="49"/>
      <c r="AF11" s="49"/>
      <c r="AG11" s="49"/>
      <c r="AH11" s="49"/>
    </row>
    <row r="12" spans="2:35" ht="15" customHeight="1" x14ac:dyDescent="0.25">
      <c r="I12" s="2"/>
      <c r="J12" s="2"/>
      <c r="K12" s="2"/>
      <c r="L12" s="3"/>
      <c r="M12" s="3"/>
      <c r="N12" s="3"/>
    </row>
    <row r="13" spans="2:35" ht="15" customHeight="1" x14ac:dyDescent="0.25">
      <c r="I13" s="2"/>
      <c r="J13" s="2"/>
      <c r="K13" s="2"/>
    </row>
    <row r="14" spans="2:35" ht="15" customHeight="1" x14ac:dyDescent="0.25">
      <c r="I14" s="2"/>
      <c r="J14" s="2"/>
      <c r="K14" s="2"/>
    </row>
    <row r="15" spans="2:35" ht="15" customHeight="1" x14ac:dyDescent="0.25">
      <c r="I15" s="2"/>
      <c r="J15" s="2"/>
      <c r="K15" s="2"/>
    </row>
    <row r="16" spans="2:35" ht="15" customHeight="1" x14ac:dyDescent="0.25">
      <c r="I16" s="2"/>
      <c r="J16" s="2"/>
      <c r="K16" s="2"/>
    </row>
    <row r="17" spans="9:11" ht="15" customHeight="1" x14ac:dyDescent="0.25">
      <c r="I17" s="2"/>
      <c r="J17" s="2"/>
      <c r="K17" s="2"/>
    </row>
    <row r="18" spans="9:11" ht="15" customHeight="1" x14ac:dyDescent="0.25">
      <c r="I18" s="2"/>
      <c r="J18" s="2"/>
      <c r="K18" s="2"/>
    </row>
    <row r="19" spans="9:11" ht="15" customHeight="1" x14ac:dyDescent="0.25">
      <c r="I19" s="2"/>
      <c r="J19" s="2"/>
      <c r="K19" s="2"/>
    </row>
    <row r="20" spans="9:11" ht="15" customHeight="1" x14ac:dyDescent="0.25">
      <c r="I20" s="2"/>
      <c r="J20" s="2"/>
      <c r="K20" s="2"/>
    </row>
    <row r="21" spans="9:11" ht="15" customHeight="1" x14ac:dyDescent="0.25">
      <c r="I21" s="2"/>
      <c r="J21" s="2"/>
      <c r="K21" s="2"/>
    </row>
    <row r="22" spans="9:11" ht="15" customHeight="1" x14ac:dyDescent="0.25">
      <c r="I22" s="2"/>
      <c r="J22" s="2"/>
      <c r="K22" s="2"/>
    </row>
    <row r="23" spans="9:11" ht="15" customHeight="1" x14ac:dyDescent="0.25">
      <c r="I23" s="2"/>
      <c r="J23" s="2"/>
      <c r="K23" s="2"/>
    </row>
    <row r="24" spans="9:11" ht="15" customHeight="1" x14ac:dyDescent="0.25">
      <c r="I24" s="2"/>
      <c r="J24" s="2"/>
      <c r="K24" s="2"/>
    </row>
    <row r="25" spans="9:11" ht="15" customHeight="1" x14ac:dyDescent="0.25">
      <c r="I25" s="2"/>
      <c r="J25" s="2"/>
      <c r="K25" s="2"/>
    </row>
    <row r="26" spans="9:11" ht="15" customHeight="1" x14ac:dyDescent="0.25">
      <c r="I26" s="2"/>
      <c r="J26" s="2"/>
      <c r="K26" s="2"/>
    </row>
    <row r="27" spans="9:11" ht="15" customHeight="1" x14ac:dyDescent="0.25">
      <c r="I27" s="2"/>
      <c r="J27" s="2"/>
      <c r="K27" s="2"/>
    </row>
    <row r="28" spans="9:11" ht="15" customHeight="1" x14ac:dyDescent="0.25">
      <c r="I28" s="2"/>
      <c r="J28" s="2"/>
      <c r="K28" s="2"/>
    </row>
    <row r="29" spans="9:11" ht="15" customHeight="1" x14ac:dyDescent="0.25">
      <c r="I29" s="2"/>
      <c r="J29" s="2"/>
      <c r="K29" s="2"/>
    </row>
    <row r="30" spans="9:11" ht="15" customHeight="1" x14ac:dyDescent="0.25">
      <c r="I30" s="2"/>
      <c r="J30" s="2"/>
      <c r="K30" s="2"/>
    </row>
    <row r="31" spans="9:11" ht="15" customHeight="1" x14ac:dyDescent="0.25">
      <c r="I31" s="2"/>
      <c r="J31" s="2"/>
      <c r="K31" s="2"/>
    </row>
    <row r="32" spans="9:11" ht="15" customHeight="1" x14ac:dyDescent="0.25">
      <c r="I32" s="2"/>
      <c r="J32" s="2"/>
      <c r="K32" s="2"/>
    </row>
    <row r="33" spans="2:26" ht="15" customHeight="1" x14ac:dyDescent="0.25">
      <c r="I33" s="2"/>
      <c r="J33" s="2"/>
      <c r="K33" s="2"/>
    </row>
    <row r="34" spans="2:26" ht="20.100000000000001" customHeight="1" x14ac:dyDescent="0.3">
      <c r="B34" s="63" t="s">
        <v>250</v>
      </c>
      <c r="C34" s="61"/>
      <c r="D34" s="61"/>
      <c r="E34" s="62"/>
      <c r="F34" s="62"/>
      <c r="G34" s="62"/>
      <c r="H34" s="62"/>
      <c r="I34" s="62"/>
      <c r="J34" s="62"/>
      <c r="K34" s="62"/>
      <c r="L34" s="62"/>
      <c r="M34" s="62"/>
      <c r="N34" s="62"/>
      <c r="O34" s="62"/>
      <c r="P34" s="61"/>
      <c r="Q34" s="61"/>
      <c r="R34" s="61"/>
      <c r="S34" s="61"/>
      <c r="T34" s="61"/>
      <c r="U34" s="61"/>
      <c r="V34" s="61"/>
      <c r="W34" s="61"/>
      <c r="X34" s="61"/>
      <c r="Y34" s="61"/>
      <c r="Z34" s="61"/>
    </row>
    <row r="35" spans="2:26" ht="15" customHeight="1" x14ac:dyDescent="0.25">
      <c r="I35" s="2"/>
      <c r="J35" s="2"/>
      <c r="K35" s="2"/>
    </row>
    <row r="36" spans="2:26" ht="15" customHeight="1" x14ac:dyDescent="0.25">
      <c r="I36" s="2"/>
      <c r="J36" s="2"/>
      <c r="K36" s="2"/>
    </row>
    <row r="37" spans="2:26" ht="15" customHeight="1" x14ac:dyDescent="0.25">
      <c r="I37" s="2"/>
      <c r="J37" s="2"/>
      <c r="K37" s="2"/>
    </row>
    <row r="38" spans="2:26" ht="15" customHeight="1" x14ac:dyDescent="0.25">
      <c r="I38" s="2"/>
      <c r="J38" s="2"/>
      <c r="K38" s="2"/>
    </row>
    <row r="39" spans="2:26" ht="15" customHeight="1" x14ac:dyDescent="0.25">
      <c r="I39" s="2"/>
      <c r="J39" s="2"/>
      <c r="K39" s="2"/>
    </row>
    <row r="40" spans="2:26" ht="15" customHeight="1" x14ac:dyDescent="0.25">
      <c r="I40" s="2"/>
      <c r="J40" s="2"/>
      <c r="K40" s="2"/>
    </row>
    <row r="41" spans="2:26" ht="15" customHeight="1" x14ac:dyDescent="0.25">
      <c r="I41" s="2"/>
      <c r="J41" s="2"/>
      <c r="K41" s="2"/>
    </row>
    <row r="42" spans="2:26" ht="15" customHeight="1" x14ac:dyDescent="0.25">
      <c r="I42" s="2"/>
      <c r="J42" s="2"/>
      <c r="K42" s="2"/>
    </row>
    <row r="43" spans="2:26" ht="15" customHeight="1" x14ac:dyDescent="0.25">
      <c r="I43" s="2"/>
      <c r="J43" s="2"/>
      <c r="K43" s="2"/>
    </row>
    <row r="44" spans="2:26" ht="15" customHeight="1" x14ac:dyDescent="0.25">
      <c r="I44" s="2"/>
      <c r="J44" s="2"/>
      <c r="K44" s="2"/>
    </row>
    <row r="45" spans="2:26" ht="15" customHeight="1" x14ac:dyDescent="0.25">
      <c r="I45" s="2"/>
      <c r="J45" s="2"/>
      <c r="K45" s="2"/>
    </row>
    <row r="46" spans="2:26" ht="15" customHeight="1" x14ac:dyDescent="0.25">
      <c r="I46" s="2"/>
      <c r="J46" s="2"/>
      <c r="K46" s="2"/>
    </row>
    <row r="47" spans="2:26" ht="15" customHeight="1" x14ac:dyDescent="0.25">
      <c r="I47" s="2"/>
      <c r="J47" s="2"/>
      <c r="K47" s="2"/>
    </row>
    <row r="48" spans="2:26" ht="15" customHeight="1" x14ac:dyDescent="0.25">
      <c r="I48" s="2"/>
      <c r="J48" s="2"/>
      <c r="K48" s="2"/>
    </row>
    <row r="49" spans="2:26" ht="15" customHeight="1" x14ac:dyDescent="0.25">
      <c r="I49" s="2"/>
      <c r="J49" s="2"/>
      <c r="K49" s="2"/>
    </row>
    <row r="50" spans="2:26" ht="15" customHeight="1" x14ac:dyDescent="0.25">
      <c r="I50" s="2"/>
      <c r="J50" s="2"/>
      <c r="K50" s="2"/>
    </row>
    <row r="51" spans="2:26" ht="15" customHeight="1" x14ac:dyDescent="0.25">
      <c r="I51" s="2"/>
      <c r="J51" s="2"/>
      <c r="K51" s="2"/>
    </row>
    <row r="52" spans="2:26" ht="15" customHeight="1" x14ac:dyDescent="0.25">
      <c r="I52" s="2"/>
      <c r="J52" s="2"/>
      <c r="K52" s="2"/>
    </row>
    <row r="53" spans="2:26" ht="15" customHeight="1" x14ac:dyDescent="0.25">
      <c r="I53" s="2"/>
      <c r="J53" s="2"/>
      <c r="K53" s="2"/>
    </row>
    <row r="54" spans="2:26" ht="15" customHeight="1" x14ac:dyDescent="0.25">
      <c r="I54" s="2"/>
      <c r="J54" s="2"/>
      <c r="K54" s="2"/>
    </row>
    <row r="55" spans="2:26" ht="15" customHeight="1" x14ac:dyDescent="0.25">
      <c r="I55" s="2"/>
      <c r="J55" s="2"/>
      <c r="K55" s="2"/>
    </row>
    <row r="57" spans="2:26" ht="18.75" x14ac:dyDescent="0.3">
      <c r="B57" s="66" t="s">
        <v>251</v>
      </c>
      <c r="C57" s="62"/>
      <c r="D57" s="62"/>
      <c r="E57" s="62"/>
      <c r="F57" s="62"/>
      <c r="G57" s="62"/>
      <c r="H57" s="62"/>
      <c r="I57" s="61"/>
      <c r="J57" s="61"/>
      <c r="K57" s="61"/>
      <c r="M57" s="63" t="s">
        <v>252</v>
      </c>
      <c r="N57" s="62"/>
      <c r="O57" s="62"/>
      <c r="P57" s="62"/>
      <c r="Q57" s="62"/>
      <c r="R57" s="62"/>
      <c r="S57" s="62"/>
      <c r="T57" s="62"/>
      <c r="U57" s="62"/>
      <c r="V57" s="62"/>
      <c r="W57" s="62"/>
      <c r="X57" s="62"/>
      <c r="Y57" s="62"/>
      <c r="Z57" s="62"/>
    </row>
    <row r="58" spans="2:26" ht="18.75" x14ac:dyDescent="0.25">
      <c r="B58" s="67"/>
      <c r="C58" s="49"/>
      <c r="D58" s="49"/>
      <c r="E58" s="49"/>
      <c r="F58" s="49"/>
      <c r="G58" s="49"/>
      <c r="H58" s="49"/>
    </row>
    <row r="59" spans="2:26" ht="29.25" customHeight="1" x14ac:dyDescent="0.25">
      <c r="B59" s="119" t="s">
        <v>119</v>
      </c>
      <c r="C59" s="119"/>
      <c r="D59" s="119"/>
      <c r="E59" s="119"/>
      <c r="F59" s="119"/>
      <c r="G59" s="119"/>
      <c r="H59" s="119"/>
      <c r="I59" s="119"/>
      <c r="J59" s="119"/>
      <c r="K59" s="119"/>
      <c r="M59" s="9" t="s">
        <v>220</v>
      </c>
    </row>
    <row r="60" spans="2:26" x14ac:dyDescent="0.25">
      <c r="B60" s="122" t="s">
        <v>121</v>
      </c>
      <c r="G60" s="65"/>
      <c r="H60" s="65"/>
    </row>
    <row r="61" spans="2:26" ht="38.1" customHeight="1" thickBot="1" x14ac:dyDescent="0.3">
      <c r="B61" s="122"/>
      <c r="C61" s="123" t="s">
        <v>120</v>
      </c>
      <c r="D61" s="123"/>
      <c r="E61" s="123"/>
      <c r="F61" s="123"/>
      <c r="G61" s="123"/>
      <c r="H61" s="123"/>
      <c r="M61" s="74" t="s">
        <v>255</v>
      </c>
      <c r="U61" s="8" t="s">
        <v>256</v>
      </c>
    </row>
    <row r="62" spans="2:26" ht="48" customHeight="1" thickTop="1" thickBot="1" x14ac:dyDescent="0.3">
      <c r="B62" s="122"/>
      <c r="C62" s="57"/>
      <c r="D62" s="84" t="s">
        <v>122</v>
      </c>
      <c r="E62" s="84" t="s">
        <v>123</v>
      </c>
      <c r="F62" s="84" t="s">
        <v>124</v>
      </c>
      <c r="G62" s="84" t="s">
        <v>125</v>
      </c>
      <c r="H62" s="84" t="s">
        <v>126</v>
      </c>
      <c r="L62" s="120" t="s">
        <v>217</v>
      </c>
      <c r="M62" s="68">
        <v>5</v>
      </c>
      <c r="N62" s="108" cm="1">
        <f t="array" ref="N62">SUMPRODUCT((RiskAssessment[Likelihood]=$M62)*(RiskAssessment[Impact]=N$67))</f>
        <v>0</v>
      </c>
      <c r="O62" s="108" cm="1">
        <f t="array" ref="O62">SUMPRODUCT((RiskAssessment[Likelihood]=$M62)*(RiskAssessment[Impact]=O$67))</f>
        <v>0</v>
      </c>
      <c r="P62" s="109" cm="1">
        <f t="array" ref="P62">SUMPRODUCT((RiskAssessment[Likelihood]=$M62)*(RiskAssessment[Impact]=P$67))</f>
        <v>0</v>
      </c>
      <c r="Q62" s="109" cm="1">
        <f t="array" ref="Q62">SUMPRODUCT((RiskAssessment[Likelihood]=$M62)*(RiskAssessment[Impact]=Q$67))</f>
        <v>0</v>
      </c>
      <c r="R62" s="109" cm="1">
        <f t="array" ref="R62">SUMPRODUCT((RiskAssessment[Likelihood]=$M62)*(RiskAssessment[Impact]=R$67))</f>
        <v>0</v>
      </c>
      <c r="S62" s="55"/>
      <c r="T62" s="120" t="s">
        <v>217</v>
      </c>
      <c r="U62" s="68">
        <v>5</v>
      </c>
      <c r="V62" s="108" cm="1">
        <f t="array" ref="V62">SUMPRODUCT((RiskAssessment[Post-Treatment Likelihood]=$U62)*(RiskAssessment[Post- Treatment Impact]=V$67))</f>
        <v>0</v>
      </c>
      <c r="W62" s="108" cm="1">
        <f t="array" ref="W62">SUMPRODUCT((RiskAssessment[Post-Treatment Likelihood]=$U62)*(RiskAssessment[Post- Treatment Impact]=W$67))</f>
        <v>0</v>
      </c>
      <c r="X62" s="109" cm="1">
        <f t="array" ref="X62">SUMPRODUCT((RiskAssessment[Post-Treatment Likelihood]=$U62)*(RiskAssessment[Post- Treatment Impact]=X$67))</f>
        <v>0</v>
      </c>
      <c r="Y62" s="109" cm="1">
        <f t="array" ref="Y62">SUMPRODUCT((RiskAssessment[Post-Treatment Likelihood]=$U62)*(RiskAssessment[Post- Treatment Impact]=Y$67))</f>
        <v>0</v>
      </c>
      <c r="Z62" s="109" cm="1">
        <f t="array" ref="Z62">SUMPRODUCT((RiskAssessment[Post-Treatment Likelihood]=$U62)*(RiskAssessment[Post- Treatment Impact]=Z$67))</f>
        <v>0</v>
      </c>
    </row>
    <row r="63" spans="2:26" ht="48" customHeight="1" thickTop="1" thickBot="1" x14ac:dyDescent="0.3">
      <c r="B63" s="122"/>
      <c r="C63" s="84" t="s">
        <v>229</v>
      </c>
      <c r="D63" s="58" t="s">
        <v>127</v>
      </c>
      <c r="E63" s="58" t="s">
        <v>128</v>
      </c>
      <c r="F63" s="59" t="s">
        <v>129</v>
      </c>
      <c r="G63" s="59" t="s">
        <v>130</v>
      </c>
      <c r="H63" s="59" t="s">
        <v>131</v>
      </c>
      <c r="L63" s="120"/>
      <c r="M63" s="69">
        <v>4</v>
      </c>
      <c r="N63" s="110" cm="1">
        <f t="array" ref="N63">SUMPRODUCT((RiskAssessment[Likelihood]=$M63)*(RiskAssessment[Impact]=N$67))</f>
        <v>0</v>
      </c>
      <c r="O63" s="108" cm="1">
        <f t="array" ref="O63">SUMPRODUCT((RiskAssessment[Likelihood]=$M63)*(RiskAssessment[Impact]=O$67))</f>
        <v>0</v>
      </c>
      <c r="P63" s="109" cm="1">
        <f t="array" ref="P63">SUMPRODUCT((RiskAssessment[Likelihood]=$M63)*(RiskAssessment[Impact]=P$67))</f>
        <v>0</v>
      </c>
      <c r="Q63" s="109" cm="1">
        <f t="array" ref="Q63">SUMPRODUCT((RiskAssessment[Likelihood]=$M63)*(RiskAssessment[Impact]=Q$67))</f>
        <v>0</v>
      </c>
      <c r="R63" s="109" cm="1">
        <f t="array" ref="R63">SUMPRODUCT((RiskAssessment[Likelihood]=$M63)*(RiskAssessment[Impact]=R$67))</f>
        <v>0</v>
      </c>
      <c r="S63" s="55"/>
      <c r="T63" s="120"/>
      <c r="U63" s="69">
        <v>4</v>
      </c>
      <c r="V63" s="110" cm="1">
        <f t="array" ref="V63">SUMPRODUCT((RiskAssessment[Post-Treatment Likelihood]=$U63)*(RiskAssessment[Post- Treatment Impact]=V$67))</f>
        <v>0</v>
      </c>
      <c r="W63" s="108" cm="1">
        <f t="array" ref="W63">SUMPRODUCT((RiskAssessment[Post-Treatment Likelihood]=$U63)*(RiskAssessment[Post- Treatment Impact]=W$67))</f>
        <v>0</v>
      </c>
      <c r="X63" s="109" cm="1">
        <f t="array" ref="X63">SUMPRODUCT((RiskAssessment[Post-Treatment Likelihood]=$U63)*(RiskAssessment[Post- Treatment Impact]=X$67))</f>
        <v>0</v>
      </c>
      <c r="Y63" s="109" cm="1">
        <f t="array" ref="Y63">SUMPRODUCT((RiskAssessment[Post-Treatment Likelihood]=$U63)*(RiskAssessment[Post- Treatment Impact]=Y$67))</f>
        <v>0</v>
      </c>
      <c r="Z63" s="109" cm="1">
        <f t="array" ref="Z63">SUMPRODUCT((RiskAssessment[Post-Treatment Likelihood]=$U63)*(RiskAssessment[Post- Treatment Impact]=Z$67))</f>
        <v>0</v>
      </c>
    </row>
    <row r="64" spans="2:26" ht="48" customHeight="1" thickTop="1" thickBot="1" x14ac:dyDescent="0.3">
      <c r="B64" s="122"/>
      <c r="C64" s="84" t="s">
        <v>132</v>
      </c>
      <c r="D64" s="60" t="s">
        <v>133</v>
      </c>
      <c r="E64" s="58" t="s">
        <v>134</v>
      </c>
      <c r="F64" s="59" t="s">
        <v>135</v>
      </c>
      <c r="G64" s="59" t="s">
        <v>136</v>
      </c>
      <c r="H64" s="59" t="s">
        <v>130</v>
      </c>
      <c r="L64" s="120"/>
      <c r="M64" s="69">
        <v>3</v>
      </c>
      <c r="N64" s="110" cm="1">
        <f t="array" ref="N64">SUMPRODUCT((RiskAssessment[Likelihood]=$M64)*(RiskAssessment[Impact]=N$67))</f>
        <v>0</v>
      </c>
      <c r="O64" s="108" cm="1">
        <f t="array" ref="O64">SUMPRODUCT((RiskAssessment[Likelihood]=$M64)*(RiskAssessment[Impact]=O$67))</f>
        <v>0</v>
      </c>
      <c r="P64" s="108" cm="1">
        <f t="array" ref="P64">SUMPRODUCT((RiskAssessment[Likelihood]=$M64)*(RiskAssessment[Impact]=P$67))</f>
        <v>0</v>
      </c>
      <c r="Q64" s="109" cm="1">
        <f t="array" ref="Q64">SUMPRODUCT((RiskAssessment[Likelihood]=$M64)*(RiskAssessment[Impact]=Q$67))</f>
        <v>0</v>
      </c>
      <c r="R64" s="109" cm="1">
        <f t="array" ref="R64">SUMPRODUCT((RiskAssessment[Likelihood]=$M64)*(RiskAssessment[Impact]=R$67))</f>
        <v>0</v>
      </c>
      <c r="S64" s="55"/>
      <c r="T64" s="120"/>
      <c r="U64" s="69">
        <v>3</v>
      </c>
      <c r="V64" s="110" cm="1">
        <f t="array" ref="V64">SUMPRODUCT((RiskAssessment[Post-Treatment Likelihood]=$U64)*(RiskAssessment[Post- Treatment Impact]=V$67))</f>
        <v>0</v>
      </c>
      <c r="W64" s="108" cm="1">
        <f t="array" ref="W64">SUMPRODUCT((RiskAssessment[Post-Treatment Likelihood]=$U64)*(RiskAssessment[Post- Treatment Impact]=W$67))</f>
        <v>0</v>
      </c>
      <c r="X64" s="108" cm="1">
        <f t="array" ref="X64">SUMPRODUCT((RiskAssessment[Post-Treatment Likelihood]=$U64)*(RiskAssessment[Post- Treatment Impact]=X$67))</f>
        <v>0</v>
      </c>
      <c r="Y64" s="109" cm="1">
        <f t="array" ref="Y64">SUMPRODUCT((RiskAssessment[Post-Treatment Likelihood]=$U64)*(RiskAssessment[Post- Treatment Impact]=Y$67))</f>
        <v>0</v>
      </c>
      <c r="Z64" s="109" cm="1">
        <f t="array" ref="Z64">SUMPRODUCT((RiskAssessment[Post-Treatment Likelihood]=$U64)*(RiskAssessment[Post- Treatment Impact]=Z$67))</f>
        <v>0</v>
      </c>
    </row>
    <row r="65" spans="2:26" ht="48" customHeight="1" thickTop="1" thickBot="1" x14ac:dyDescent="0.3">
      <c r="B65" s="122"/>
      <c r="C65" s="84" t="s">
        <v>137</v>
      </c>
      <c r="D65" s="60" t="s">
        <v>138</v>
      </c>
      <c r="E65" s="58" t="s">
        <v>139</v>
      </c>
      <c r="F65" s="58" t="s">
        <v>140</v>
      </c>
      <c r="G65" s="59" t="s">
        <v>135</v>
      </c>
      <c r="H65" s="59" t="s">
        <v>129</v>
      </c>
      <c r="L65" s="120"/>
      <c r="M65" s="69">
        <v>2</v>
      </c>
      <c r="N65" s="110" cm="1">
        <f t="array" ref="N65">SUMPRODUCT((RiskAssessment[Likelihood]=$M65)*(RiskAssessment[Impact]=N$67))</f>
        <v>0</v>
      </c>
      <c r="O65" s="110" cm="1">
        <f t="array" ref="O65">SUMPRODUCT((RiskAssessment[Likelihood]=$M65)*(RiskAssessment[Impact]=O$67))</f>
        <v>0</v>
      </c>
      <c r="P65" s="108" cm="1">
        <f t="array" ref="P65">SUMPRODUCT((RiskAssessment[Likelihood]=$M65)*(RiskAssessment[Impact]=P$67))</f>
        <v>0</v>
      </c>
      <c r="Q65" s="108" cm="1">
        <f t="array" ref="Q65">SUMPRODUCT((RiskAssessment[Likelihood]=$M65)*(RiskAssessment[Impact]=Q$67))</f>
        <v>0</v>
      </c>
      <c r="R65" s="108" cm="1">
        <f t="array" ref="R65">SUMPRODUCT((RiskAssessment[Likelihood]=$M65)*(RiskAssessment[Impact]=R$67))</f>
        <v>0</v>
      </c>
      <c r="S65" s="55"/>
      <c r="T65" s="120"/>
      <c r="U65" s="69">
        <v>2</v>
      </c>
      <c r="V65" s="110" cm="1">
        <f t="array" ref="V65">SUMPRODUCT((RiskAssessment[Post-Treatment Likelihood]=$U65)*(RiskAssessment[Post- Treatment Impact]=V$67))</f>
        <v>0</v>
      </c>
      <c r="W65" s="110" cm="1">
        <f t="array" ref="W65">SUMPRODUCT((RiskAssessment[Post-Treatment Likelihood]=$U65)*(RiskAssessment[Post- Treatment Impact]=W$67))</f>
        <v>0</v>
      </c>
      <c r="X65" s="108" cm="1">
        <f t="array" ref="X65">SUMPRODUCT((RiskAssessment[Post-Treatment Likelihood]=$U65)*(RiskAssessment[Post- Treatment Impact]=X$67))</f>
        <v>0</v>
      </c>
      <c r="Y65" s="108" cm="1">
        <f t="array" ref="Y65">SUMPRODUCT((RiskAssessment[Post-Treatment Likelihood]=$U65)*(RiskAssessment[Post- Treatment Impact]=Y$67))</f>
        <v>0</v>
      </c>
      <c r="Z65" s="108" cm="1">
        <f t="array" ref="Z65">SUMPRODUCT((RiskAssessment[Post-Treatment Likelihood]=$U65)*(RiskAssessment[Post- Treatment Impact]=Z$67))</f>
        <v>0</v>
      </c>
    </row>
    <row r="66" spans="2:26" ht="48" customHeight="1" thickTop="1" thickBot="1" x14ac:dyDescent="0.3">
      <c r="B66" s="122"/>
      <c r="C66" s="84" t="s">
        <v>141</v>
      </c>
      <c r="D66" s="60" t="s">
        <v>142</v>
      </c>
      <c r="E66" s="60" t="s">
        <v>133</v>
      </c>
      <c r="F66" s="58" t="s">
        <v>139</v>
      </c>
      <c r="G66" s="58" t="s">
        <v>134</v>
      </c>
      <c r="H66" s="58" t="s">
        <v>128</v>
      </c>
      <c r="L66" s="120"/>
      <c r="M66" s="69">
        <v>1</v>
      </c>
      <c r="N66" s="110" cm="1">
        <f t="array" ref="N66">SUMPRODUCT((RiskAssessment[Likelihood]=$M66)*(RiskAssessment[Impact]=N$67))</f>
        <v>0</v>
      </c>
      <c r="O66" s="110" cm="1">
        <f t="array" ref="O66">SUMPRODUCT((RiskAssessment[Likelihood]=$M66)*(RiskAssessment[Impact]=O$67))</f>
        <v>0</v>
      </c>
      <c r="P66" s="110" cm="1">
        <f t="array" ref="P66">SUMPRODUCT((RiskAssessment[Likelihood]=$M66)*(RiskAssessment[Impact]=P$67))</f>
        <v>0</v>
      </c>
      <c r="Q66" s="110" cm="1">
        <f t="array" ref="Q66">SUMPRODUCT((RiskAssessment[Likelihood]=$M66)*(RiskAssessment[Impact]=Q$67))</f>
        <v>0</v>
      </c>
      <c r="R66" s="108" cm="1">
        <f t="array" ref="R66">SUMPRODUCT((RiskAssessment[Likelihood]=$M66)*(RiskAssessment[Impact]=R$67))</f>
        <v>0</v>
      </c>
      <c r="S66" s="55"/>
      <c r="T66" s="120"/>
      <c r="U66" s="69">
        <v>1</v>
      </c>
      <c r="V66" s="110" cm="1">
        <f t="array" ref="V66">SUMPRODUCT((RiskAssessment[Post-Treatment Likelihood]=$U66)*(RiskAssessment[Post- Treatment Impact]=V$67))</f>
        <v>0</v>
      </c>
      <c r="W66" s="110" cm="1">
        <f t="array" ref="W66">SUMPRODUCT((RiskAssessment[Post-Treatment Likelihood]=$U66)*(RiskAssessment[Post- Treatment Impact]=W$67))</f>
        <v>0</v>
      </c>
      <c r="X66" s="110" cm="1">
        <f t="array" ref="X66">SUMPRODUCT((RiskAssessment[Post-Treatment Likelihood]=$U66)*(RiskAssessment[Post- Treatment Impact]=X$67))</f>
        <v>0</v>
      </c>
      <c r="Y66" s="110" cm="1">
        <f t="array" ref="Y66">SUMPRODUCT((RiskAssessment[Post-Treatment Likelihood]=$U66)*(RiskAssessment[Post- Treatment Impact]=Y$67))</f>
        <v>0</v>
      </c>
      <c r="Z66" s="108" cm="1">
        <f t="array" ref="Z66">SUMPRODUCT((RiskAssessment[Post-Treatment Likelihood]=$U66)*(RiskAssessment[Post- Treatment Impact]=Z$67))</f>
        <v>0</v>
      </c>
    </row>
    <row r="67" spans="2:26" ht="48" customHeight="1" thickTop="1" thickBot="1" x14ac:dyDescent="0.3">
      <c r="B67" s="122"/>
      <c r="C67" s="84" t="s">
        <v>143</v>
      </c>
      <c r="D67" s="60" t="s">
        <v>144</v>
      </c>
      <c r="E67" s="60" t="s">
        <v>142</v>
      </c>
      <c r="F67" s="60" t="s">
        <v>138</v>
      </c>
      <c r="G67" s="60" t="s">
        <v>133</v>
      </c>
      <c r="H67" s="58" t="s">
        <v>127</v>
      </c>
      <c r="L67" s="120"/>
      <c r="M67" s="70"/>
      <c r="N67" s="71">
        <v>1</v>
      </c>
      <c r="O67" s="71">
        <v>2</v>
      </c>
      <c r="P67" s="71">
        <v>3</v>
      </c>
      <c r="Q67" s="71">
        <v>4</v>
      </c>
      <c r="R67" s="72">
        <v>5</v>
      </c>
      <c r="S67" s="55"/>
      <c r="T67" s="120"/>
      <c r="U67" s="70"/>
      <c r="V67" s="71">
        <v>1</v>
      </c>
      <c r="W67" s="71">
        <v>2</v>
      </c>
      <c r="X67" s="71">
        <v>3</v>
      </c>
      <c r="Y67" s="71">
        <v>4</v>
      </c>
      <c r="Z67" s="72">
        <v>5</v>
      </c>
    </row>
    <row r="68" spans="2:26" ht="32.25" customHeight="1" thickTop="1" x14ac:dyDescent="0.25">
      <c r="L68" s="121" t="s">
        <v>257</v>
      </c>
      <c r="M68" s="121"/>
      <c r="N68" s="121"/>
      <c r="O68" s="121"/>
      <c r="P68" s="121"/>
      <c r="Q68" s="121"/>
      <c r="R68" s="121"/>
      <c r="S68" s="73"/>
      <c r="T68" s="121" t="s">
        <v>257</v>
      </c>
      <c r="U68" s="121"/>
      <c r="V68" s="121"/>
      <c r="W68" s="121"/>
      <c r="X68" s="121"/>
      <c r="Y68" s="121"/>
      <c r="Z68" s="121"/>
    </row>
    <row r="69" spans="2:26" ht="15" customHeight="1" x14ac:dyDescent="0.25">
      <c r="B69" s="56"/>
      <c r="I69" s="2"/>
      <c r="J69" s="2"/>
      <c r="K69" s="2"/>
    </row>
    <row r="70" spans="2:26" ht="15" customHeight="1" x14ac:dyDescent="0.25">
      <c r="B70" s="56"/>
      <c r="I70" s="3"/>
      <c r="J70" s="3"/>
      <c r="K70" s="3"/>
      <c r="L70" s="3"/>
      <c r="M70" s="3"/>
      <c r="N70" s="3"/>
    </row>
    <row r="71" spans="2:26" ht="18.75" x14ac:dyDescent="0.3">
      <c r="B71" s="63" t="s">
        <v>253</v>
      </c>
      <c r="C71" s="62"/>
      <c r="D71" s="62"/>
      <c r="E71" s="62"/>
      <c r="F71" s="62"/>
      <c r="G71" s="62"/>
      <c r="H71" s="62"/>
      <c r="I71" s="62"/>
      <c r="J71" s="62"/>
      <c r="K71" s="62"/>
      <c r="L71" s="62"/>
      <c r="M71" s="62"/>
      <c r="N71" s="62"/>
      <c r="O71" s="62"/>
      <c r="P71" s="62"/>
      <c r="Q71" s="62"/>
      <c r="R71" s="62"/>
      <c r="S71" s="62"/>
      <c r="T71" s="62"/>
      <c r="U71" s="62"/>
      <c r="V71" s="61"/>
      <c r="W71" s="61"/>
      <c r="X71" s="61"/>
      <c r="Y71" s="61"/>
      <c r="Z71" s="61"/>
    </row>
    <row r="94" spans="2:35" ht="18.75" x14ac:dyDescent="0.3">
      <c r="B94" s="63" t="s">
        <v>254</v>
      </c>
      <c r="C94" s="62"/>
      <c r="D94" s="62"/>
      <c r="E94" s="62"/>
      <c r="F94" s="62"/>
      <c r="G94" s="62"/>
      <c r="H94" s="62"/>
      <c r="I94" s="62"/>
      <c r="J94" s="62"/>
      <c r="K94" s="62"/>
      <c r="L94" s="62"/>
      <c r="M94" s="62"/>
      <c r="N94" s="62"/>
      <c r="O94" s="62"/>
      <c r="P94" s="62"/>
      <c r="Q94" s="62"/>
      <c r="R94" s="62"/>
      <c r="S94" s="62"/>
      <c r="T94" s="62"/>
      <c r="U94" s="62"/>
      <c r="V94" s="62"/>
      <c r="W94" s="62"/>
      <c r="X94" s="62"/>
      <c r="Y94" s="62"/>
      <c r="Z94" s="62"/>
      <c r="AA94" s="49"/>
      <c r="AB94" s="49"/>
      <c r="AC94" s="49"/>
      <c r="AD94" s="49"/>
      <c r="AE94" s="49"/>
      <c r="AF94" s="49"/>
      <c r="AG94" s="49"/>
      <c r="AH94" s="49"/>
      <c r="AI94" s="49"/>
    </row>
  </sheetData>
  <mergeCells count="7">
    <mergeCell ref="B59:K59"/>
    <mergeCell ref="L62:L67"/>
    <mergeCell ref="L68:R68"/>
    <mergeCell ref="T62:T67"/>
    <mergeCell ref="T68:Z68"/>
    <mergeCell ref="B60:B67"/>
    <mergeCell ref="C61:H61"/>
  </mergeCells>
  <pageMargins left="0.23622047244094491" right="0.23622047244094491" top="0.39370078740157483" bottom="0.39370078740157483" header="0.19685039370078741" footer="0.19685039370078741"/>
  <pageSetup paperSize="9" scale="23" orientation="landscape" horizontalDpi="360" verticalDpi="36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3E4F5-DF90-4F1D-A0B0-9EF99D0AAB49}">
  <dimension ref="B4:D15"/>
  <sheetViews>
    <sheetView showGridLines="0" workbookViewId="0"/>
  </sheetViews>
  <sheetFormatPr defaultRowHeight="15" x14ac:dyDescent="0.25"/>
  <cols>
    <col min="1" max="1" width="2.85546875" customWidth="1"/>
    <col min="2" max="2" width="11.7109375" bestFit="1" customWidth="1"/>
    <col min="3" max="3" width="14.28515625" bestFit="1" customWidth="1"/>
    <col min="4" max="4" width="9" bestFit="1" customWidth="1"/>
    <col min="5" max="5" width="5.42578125" bestFit="1" customWidth="1"/>
    <col min="10" max="10" width="20" customWidth="1"/>
    <col min="11" max="11" width="20.5703125" customWidth="1"/>
  </cols>
  <sheetData>
    <row r="4" spans="2:4" ht="18.75" x14ac:dyDescent="0.3">
      <c r="B4" s="85" t="s">
        <v>261</v>
      </c>
    </row>
    <row r="6" spans="2:4" x14ac:dyDescent="0.25">
      <c r="B6" s="87" t="s">
        <v>5</v>
      </c>
      <c r="C6" s="87" t="s">
        <v>255</v>
      </c>
      <c r="D6" s="88"/>
    </row>
    <row r="7" spans="2:4" x14ac:dyDescent="0.25">
      <c r="B7" t="s">
        <v>53</v>
      </c>
      <c r="C7">
        <f>COUNTIF(RiskAssessment[Risk Level],PreMitigationRisksByRiskLevel[[#This Row],[Risk level]])</f>
        <v>0</v>
      </c>
    </row>
    <row r="8" spans="2:4" x14ac:dyDescent="0.25">
      <c r="B8" t="s">
        <v>54</v>
      </c>
      <c r="C8">
        <f>COUNTIF(RiskAssessment[Risk Level],PreMitigationRisksByRiskLevel[[#This Row],[Risk level]])</f>
        <v>0</v>
      </c>
    </row>
    <row r="9" spans="2:4" x14ac:dyDescent="0.25">
      <c r="B9" t="s">
        <v>55</v>
      </c>
      <c r="C9">
        <f>COUNTIF(RiskAssessment[Risk Level],PreMitigationRisksByRiskLevel[[#This Row],[Risk level]])</f>
        <v>0</v>
      </c>
    </row>
    <row r="12" spans="2:4" ht="15" customHeight="1" x14ac:dyDescent="0.25">
      <c r="B12" s="62" t="s">
        <v>5</v>
      </c>
      <c r="C12" s="62" t="s">
        <v>262</v>
      </c>
    </row>
    <row r="13" spans="2:4" ht="15" customHeight="1" x14ac:dyDescent="0.25">
      <c r="B13" t="s">
        <v>53</v>
      </c>
      <c r="C13" s="48">
        <v>0</v>
      </c>
    </row>
    <row r="14" spans="2:4" x14ac:dyDescent="0.25">
      <c r="B14" t="s">
        <v>54</v>
      </c>
      <c r="C14" s="48">
        <v>0</v>
      </c>
    </row>
    <row r="15" spans="2:4" x14ac:dyDescent="0.25">
      <c r="B15" t="s">
        <v>55</v>
      </c>
      <c r="C15" s="48">
        <v>0</v>
      </c>
    </row>
  </sheetData>
  <pageMargins left="0.7" right="0.7" top="0.75" bottom="0.75" header="0.3" footer="0.3"/>
  <pageSetup paperSize="9" orientation="portrait" horizontalDpi="360" verticalDpi="360"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A63F8-CBC4-485A-9214-52D7F10AE4DA}">
  <dimension ref="B4:D7"/>
  <sheetViews>
    <sheetView showGridLines="0" workbookViewId="0"/>
  </sheetViews>
  <sheetFormatPr defaultRowHeight="15" x14ac:dyDescent="0.25"/>
  <cols>
    <col min="1" max="1" width="2.85546875" customWidth="1"/>
    <col min="2" max="2" width="19.28515625" bestFit="1" customWidth="1"/>
    <col min="3" max="3" width="13.28515625" bestFit="1" customWidth="1"/>
    <col min="4" max="4" width="18" bestFit="1" customWidth="1"/>
    <col min="5" max="6" width="6" bestFit="1" customWidth="1"/>
    <col min="7" max="8" width="11.28515625" bestFit="1" customWidth="1"/>
  </cols>
  <sheetData>
    <row r="4" spans="2:4" ht="18.75" x14ac:dyDescent="0.3">
      <c r="B4" s="85" t="s">
        <v>263</v>
      </c>
    </row>
    <row r="6" spans="2:4" x14ac:dyDescent="0.25">
      <c r="B6" s="62" t="s">
        <v>145</v>
      </c>
      <c r="C6" s="62" t="s">
        <v>204</v>
      </c>
      <c r="D6" s="62" t="s">
        <v>63</v>
      </c>
    </row>
    <row r="7" spans="2:4" x14ac:dyDescent="0.25">
      <c r="B7" s="62" t="s">
        <v>293</v>
      </c>
      <c r="C7" t="s">
        <v>260</v>
      </c>
      <c r="D7" s="48">
        <v>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60A9E-86FD-4F3D-AF8A-CECB6264C8CB}">
  <dimension ref="B4:C15"/>
  <sheetViews>
    <sheetView showGridLines="0" workbookViewId="0"/>
  </sheetViews>
  <sheetFormatPr defaultRowHeight="15" x14ac:dyDescent="0.25"/>
  <cols>
    <col min="1" max="1" width="2.85546875" customWidth="1"/>
    <col min="2" max="2" width="11.7109375" bestFit="1" customWidth="1"/>
    <col min="3" max="3" width="15.140625" bestFit="1" customWidth="1"/>
  </cols>
  <sheetData>
    <row r="4" spans="2:3" ht="18.75" x14ac:dyDescent="0.3">
      <c r="B4" s="85" t="s">
        <v>259</v>
      </c>
    </row>
    <row r="6" spans="2:3" x14ac:dyDescent="0.25">
      <c r="B6" s="87" t="s">
        <v>5</v>
      </c>
      <c r="C6" s="87" t="s">
        <v>256</v>
      </c>
    </row>
    <row r="7" spans="2:3" x14ac:dyDescent="0.25">
      <c r="B7" t="s">
        <v>53</v>
      </c>
      <c r="C7">
        <f>COUNTIF(RiskAssessment[Post-Treatment Risk Level],RisksByRiskLevelPreandPostTreatment10[[#This Row],[Risk level]])</f>
        <v>0</v>
      </c>
    </row>
    <row r="8" spans="2:3" x14ac:dyDescent="0.25">
      <c r="B8" t="s">
        <v>54</v>
      </c>
      <c r="C8">
        <f>COUNTIF(RiskAssessment[Post-Treatment Risk Level],RisksByRiskLevelPreandPostTreatment10[[#This Row],[Risk level]])</f>
        <v>0</v>
      </c>
    </row>
    <row r="9" spans="2:3" x14ac:dyDescent="0.25">
      <c r="B9" t="s">
        <v>55</v>
      </c>
      <c r="C9">
        <f>COUNTIF(RiskAssessment[Post-Treatment Risk Level],RisksByRiskLevelPreandPostTreatment10[[#This Row],[Risk level]])</f>
        <v>0</v>
      </c>
    </row>
    <row r="12" spans="2:3" x14ac:dyDescent="0.25">
      <c r="B12" s="62" t="s">
        <v>5</v>
      </c>
      <c r="C12" s="62" t="s">
        <v>264</v>
      </c>
    </row>
    <row r="13" spans="2:3" x14ac:dyDescent="0.25">
      <c r="B13" t="s">
        <v>53</v>
      </c>
      <c r="C13" s="48">
        <v>0</v>
      </c>
    </row>
    <row r="14" spans="2:3" x14ac:dyDescent="0.25">
      <c r="B14" t="s">
        <v>54</v>
      </c>
      <c r="C14" s="48">
        <v>0</v>
      </c>
    </row>
    <row r="15" spans="2:3" x14ac:dyDescent="0.25">
      <c r="B15" t="s">
        <v>55</v>
      </c>
      <c r="C15" s="48">
        <v>0</v>
      </c>
    </row>
  </sheetData>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32937-DB60-4DE4-BFE1-D13A6F60674E}">
  <dimension ref="B4:D15"/>
  <sheetViews>
    <sheetView showGridLines="0" workbookViewId="0"/>
  </sheetViews>
  <sheetFormatPr defaultRowHeight="15" x14ac:dyDescent="0.25"/>
  <cols>
    <col min="1" max="1" width="2.85546875" customWidth="1"/>
    <col min="2" max="2" width="11.7109375" bestFit="1" customWidth="1"/>
    <col min="3" max="3" width="14.28515625" bestFit="1" customWidth="1"/>
    <col min="4" max="4" width="15.140625" bestFit="1" customWidth="1"/>
  </cols>
  <sheetData>
    <row r="4" spans="2:4" ht="18.75" x14ac:dyDescent="0.25">
      <c r="B4" s="86" t="s">
        <v>258</v>
      </c>
    </row>
    <row r="6" spans="2:4" x14ac:dyDescent="0.25">
      <c r="B6" s="87" t="s">
        <v>5</v>
      </c>
      <c r="C6" s="87" t="s">
        <v>255</v>
      </c>
      <c r="D6" s="87" t="s">
        <v>256</v>
      </c>
    </row>
    <row r="7" spans="2:4" x14ac:dyDescent="0.25">
      <c r="B7" t="s">
        <v>53</v>
      </c>
      <c r="C7">
        <f>COUNTIF(RiskAssessment[Risk Level],PreMitigationRisksByRiskLevel10[[#This Row],[Risk level]])</f>
        <v>0</v>
      </c>
      <c r="D7">
        <f>COUNTIF(RiskAssessment[Post-Treatment Risk Level],PreMitigationRisksByRiskLevel10[[#This Row],[Risk level]])</f>
        <v>0</v>
      </c>
    </row>
    <row r="8" spans="2:4" x14ac:dyDescent="0.25">
      <c r="B8" t="s">
        <v>54</v>
      </c>
      <c r="C8">
        <f>COUNTIF(RiskAssessment[Risk Level],PreMitigationRisksByRiskLevel10[[#This Row],[Risk level]])</f>
        <v>0</v>
      </c>
      <c r="D8">
        <f>COUNTIF(RiskAssessment[Post-Treatment Risk Level],PreMitigationRisksByRiskLevel10[[#This Row],[Risk level]])</f>
        <v>0</v>
      </c>
    </row>
    <row r="9" spans="2:4" x14ac:dyDescent="0.25">
      <c r="B9" t="s">
        <v>55</v>
      </c>
      <c r="C9">
        <f>COUNTIF(RiskAssessment[Risk Level],PreMitigationRisksByRiskLevel10[[#This Row],[Risk level]])</f>
        <v>0</v>
      </c>
      <c r="D9">
        <f>COUNTIF(RiskAssessment[Post-Treatment Risk Level],PreMitigationRisksByRiskLevel10[[#This Row],[Risk level]])</f>
        <v>0</v>
      </c>
    </row>
    <row r="12" spans="2:4" x14ac:dyDescent="0.25">
      <c r="B12" s="62" t="s">
        <v>5</v>
      </c>
      <c r="C12" s="62" t="s">
        <v>262</v>
      </c>
      <c r="D12" s="62" t="s">
        <v>264</v>
      </c>
    </row>
    <row r="13" spans="2:4" x14ac:dyDescent="0.25">
      <c r="B13" t="s">
        <v>53</v>
      </c>
      <c r="C13" s="48">
        <v>0</v>
      </c>
      <c r="D13" s="48">
        <v>0</v>
      </c>
    </row>
    <row r="14" spans="2:4" x14ac:dyDescent="0.25">
      <c r="B14" t="s">
        <v>54</v>
      </c>
      <c r="C14" s="48">
        <v>0</v>
      </c>
      <c r="D14" s="48">
        <v>0</v>
      </c>
    </row>
    <row r="15" spans="2:4" x14ac:dyDescent="0.25">
      <c r="B15" t="s">
        <v>55</v>
      </c>
      <c r="C15" s="48">
        <v>0</v>
      </c>
      <c r="D15" s="48">
        <v>0</v>
      </c>
    </row>
  </sheetData>
  <pageMargins left="0.7" right="0.7" top="0.75" bottom="0.75" header="0.3" footer="0.3"/>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7CBF-669D-4C66-BF14-C25C395EDAAC}">
  <dimension ref="B4:C8"/>
  <sheetViews>
    <sheetView showGridLines="0" workbookViewId="0"/>
  </sheetViews>
  <sheetFormatPr defaultRowHeight="15" x14ac:dyDescent="0.25"/>
  <cols>
    <col min="1" max="1" width="2.85546875" customWidth="1"/>
    <col min="2" max="2" width="26.5703125" bestFit="1" customWidth="1"/>
    <col min="3" max="3" width="21.7109375" bestFit="1" customWidth="1"/>
  </cols>
  <sheetData>
    <row r="4" spans="2:3" ht="18.75" x14ac:dyDescent="0.3">
      <c r="B4" s="85" t="s">
        <v>265</v>
      </c>
    </row>
    <row r="7" spans="2:3" x14ac:dyDescent="0.25">
      <c r="B7" s="62" t="s">
        <v>208</v>
      </c>
      <c r="C7" s="62" t="s">
        <v>218</v>
      </c>
    </row>
    <row r="8" spans="2:3" x14ac:dyDescent="0.25">
      <c r="B8" t="s">
        <v>0</v>
      </c>
      <c r="C8" s="4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3E414-954D-4490-976C-605E82C1EE5F}">
  <dimension ref="B4:C8"/>
  <sheetViews>
    <sheetView showGridLines="0" workbookViewId="0"/>
  </sheetViews>
  <sheetFormatPr defaultRowHeight="15" x14ac:dyDescent="0.25"/>
  <cols>
    <col min="1" max="1" width="2.85546875" customWidth="1"/>
    <col min="2" max="2" width="12" bestFit="1" customWidth="1"/>
    <col min="3" max="3" width="21.5703125" bestFit="1" customWidth="1"/>
  </cols>
  <sheetData>
    <row r="4" spans="2:3" ht="18.75" x14ac:dyDescent="0.25">
      <c r="B4" s="86" t="s">
        <v>266</v>
      </c>
    </row>
    <row r="7" spans="2:3" x14ac:dyDescent="0.25">
      <c r="B7" s="62" t="s">
        <v>145</v>
      </c>
      <c r="C7" s="62" t="s">
        <v>65</v>
      </c>
    </row>
    <row r="8" spans="2:3" x14ac:dyDescent="0.25">
      <c r="B8" t="s">
        <v>293</v>
      </c>
      <c r="C8" s="90">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3A6D8-A761-407E-8E43-5737DD052D09}">
  <dimension ref="B4:C8"/>
  <sheetViews>
    <sheetView showGridLines="0" workbookViewId="0"/>
  </sheetViews>
  <sheetFormatPr defaultRowHeight="15" x14ac:dyDescent="0.25"/>
  <cols>
    <col min="1" max="1" width="2.85546875" customWidth="1"/>
    <col min="2" max="2" width="31.5703125" bestFit="1" customWidth="1"/>
    <col min="3" max="3" width="12" bestFit="1" customWidth="1"/>
    <col min="4" max="4" width="9.42578125" bestFit="1" customWidth="1"/>
    <col min="5" max="5" width="6" bestFit="1" customWidth="1"/>
    <col min="6" max="6" width="19.42578125" bestFit="1" customWidth="1"/>
    <col min="7" max="7" width="7.28515625" bestFit="1" customWidth="1"/>
  </cols>
  <sheetData>
    <row r="4" spans="2:3" ht="18.75" x14ac:dyDescent="0.3">
      <c r="B4" s="85" t="s">
        <v>267</v>
      </c>
    </row>
    <row r="6" spans="2:3" x14ac:dyDescent="0.25">
      <c r="B6" s="62" t="s">
        <v>228</v>
      </c>
      <c r="C6" s="62" t="s">
        <v>145</v>
      </c>
    </row>
    <row r="7" spans="2:3" x14ac:dyDescent="0.25">
      <c r="B7" s="62" t="s">
        <v>200</v>
      </c>
      <c r="C7" s="62" t="s">
        <v>293</v>
      </c>
    </row>
    <row r="8" spans="2:3" x14ac:dyDescent="0.25">
      <c r="B8" t="s">
        <v>260</v>
      </c>
      <c r="C8" s="4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BFB13-1C62-4512-A734-8ABC103D3E8B}">
  <dimension ref="B4:C7"/>
  <sheetViews>
    <sheetView showGridLines="0" workbookViewId="0"/>
  </sheetViews>
  <sheetFormatPr defaultRowHeight="15" x14ac:dyDescent="0.25"/>
  <cols>
    <col min="1" max="1" width="2.85546875" customWidth="1"/>
    <col min="2" max="2" width="12.42578125" bestFit="1" customWidth="1"/>
    <col min="3" max="3" width="18.42578125" bestFit="1" customWidth="1"/>
  </cols>
  <sheetData>
    <row r="4" spans="2:3" ht="18.75" x14ac:dyDescent="0.3">
      <c r="B4" s="85" t="s">
        <v>273</v>
      </c>
    </row>
    <row r="6" spans="2:3" x14ac:dyDescent="0.25">
      <c r="B6" s="62" t="s">
        <v>243</v>
      </c>
      <c r="C6" s="62" t="s">
        <v>269</v>
      </c>
    </row>
    <row r="7" spans="2:3" x14ac:dyDescent="0.25">
      <c r="B7" t="s">
        <v>293</v>
      </c>
      <c r="C7" s="48">
        <v>20</v>
      </c>
    </row>
  </sheetData>
  <pageMargins left="0.7" right="0.7" top="0.75" bottom="0.75" header="0.3" footer="0.3"/>
  <pageSetup paperSize="9" orientation="portrait" horizontalDpi="360" verticalDpi="360"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CEA22-9563-4C52-B3A9-CEF699863138}">
  <dimension ref="B4:D7"/>
  <sheetViews>
    <sheetView showGridLines="0" workbookViewId="0"/>
  </sheetViews>
  <sheetFormatPr defaultRowHeight="15" x14ac:dyDescent="0.25"/>
  <cols>
    <col min="1" max="1" width="2.85546875" customWidth="1"/>
    <col min="2" max="3" width="12.42578125" bestFit="1" customWidth="1"/>
    <col min="4" max="4" width="12.140625" bestFit="1" customWidth="1"/>
  </cols>
  <sheetData>
    <row r="4" spans="2:4" ht="18.75" x14ac:dyDescent="0.25">
      <c r="B4" s="91" t="s">
        <v>270</v>
      </c>
    </row>
    <row r="6" spans="2:4" x14ac:dyDescent="0.25">
      <c r="B6" s="62" t="s">
        <v>236</v>
      </c>
      <c r="C6" s="62" t="s">
        <v>243</v>
      </c>
      <c r="D6" s="62" t="s">
        <v>271</v>
      </c>
    </row>
    <row r="7" spans="2:4" x14ac:dyDescent="0.25">
      <c r="B7" s="92" t="s">
        <v>260</v>
      </c>
      <c r="C7" s="92" t="s">
        <v>293</v>
      </c>
      <c r="D7" s="93">
        <v>20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BB278-9695-44E5-A674-F81E26B0407A}">
  <dimension ref="B4:D7"/>
  <sheetViews>
    <sheetView showGridLines="0" workbookViewId="0"/>
  </sheetViews>
  <sheetFormatPr defaultRowHeight="15" x14ac:dyDescent="0.25"/>
  <cols>
    <col min="1" max="1" width="2.85546875" customWidth="1"/>
    <col min="2" max="2" width="19.28515625" bestFit="1" customWidth="1"/>
    <col min="3" max="3" width="12.42578125" bestFit="1" customWidth="1"/>
    <col min="4" max="4" width="18.42578125" bestFit="1" customWidth="1"/>
    <col min="5" max="5" width="5.7109375" bestFit="1" customWidth="1"/>
  </cols>
  <sheetData>
    <row r="4" spans="2:4" ht="18.75" x14ac:dyDescent="0.3">
      <c r="B4" s="85" t="s">
        <v>268</v>
      </c>
    </row>
    <row r="6" spans="2:4" x14ac:dyDescent="0.25">
      <c r="B6" s="62" t="s">
        <v>237</v>
      </c>
      <c r="C6" s="62" t="s">
        <v>243</v>
      </c>
      <c r="D6" s="62" t="s">
        <v>269</v>
      </c>
    </row>
    <row r="7" spans="2:4" x14ac:dyDescent="0.25">
      <c r="B7" t="s">
        <v>260</v>
      </c>
      <c r="C7" s="62" t="s">
        <v>293</v>
      </c>
      <c r="D7" s="48">
        <v>20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880A6-9E7C-433E-9B39-F34485A44E59}">
  <dimension ref="B4:D7"/>
  <sheetViews>
    <sheetView showGridLines="0" workbookViewId="0"/>
  </sheetViews>
  <sheetFormatPr defaultRowHeight="15" x14ac:dyDescent="0.25"/>
  <cols>
    <col min="1" max="1" width="2.85546875" customWidth="1"/>
    <col min="2" max="2" width="19.28515625" bestFit="1" customWidth="1"/>
    <col min="3" max="3" width="12.42578125" bestFit="1" customWidth="1"/>
    <col min="4" max="4" width="12.140625" bestFit="1" customWidth="1"/>
    <col min="5" max="5" width="5.7109375" bestFit="1" customWidth="1"/>
  </cols>
  <sheetData>
    <row r="4" spans="2:4" ht="18.75" x14ac:dyDescent="0.3">
      <c r="B4" s="85" t="s">
        <v>272</v>
      </c>
    </row>
    <row r="6" spans="2:4" x14ac:dyDescent="0.25">
      <c r="B6" s="62" t="s">
        <v>245</v>
      </c>
      <c r="C6" s="62" t="s">
        <v>243</v>
      </c>
      <c r="D6" s="62" t="s">
        <v>271</v>
      </c>
    </row>
    <row r="7" spans="2:4" x14ac:dyDescent="0.25">
      <c r="B7" t="s">
        <v>260</v>
      </c>
      <c r="C7" s="62" t="s">
        <v>293</v>
      </c>
      <c r="D7" s="48">
        <v>20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EC8BD-C620-406B-9959-7DD6EEB9B92F}">
  <dimension ref="B2:D49"/>
  <sheetViews>
    <sheetView showGridLines="0" zoomScaleNormal="100" workbookViewId="0"/>
  </sheetViews>
  <sheetFormatPr defaultColWidth="9.140625" defaultRowHeight="15" x14ac:dyDescent="0.25"/>
  <cols>
    <col min="1" max="1" width="2.85546875" style="3" customWidth="1"/>
    <col min="2" max="2" width="18.85546875" style="3" customWidth="1"/>
    <col min="3" max="3" width="20.28515625" style="3" bestFit="1" customWidth="1"/>
    <col min="4" max="4" width="63.28515625" style="3" customWidth="1"/>
    <col min="5" max="16384" width="9.140625" style="3"/>
  </cols>
  <sheetData>
    <row r="2" spans="2:4" x14ac:dyDescent="0.25">
      <c r="B2" s="4"/>
      <c r="C2" s="4"/>
    </row>
    <row r="3" spans="2:4" x14ac:dyDescent="0.25">
      <c r="B3" s="4"/>
      <c r="C3" s="4"/>
    </row>
    <row r="4" spans="2:4" x14ac:dyDescent="0.25">
      <c r="B4" s="4"/>
      <c r="C4" s="4"/>
    </row>
    <row r="5" spans="2:4" x14ac:dyDescent="0.25">
      <c r="B5" s="4"/>
      <c r="C5" s="4"/>
    </row>
    <row r="6" spans="2:4" x14ac:dyDescent="0.25">
      <c r="B6" s="4"/>
      <c r="C6" s="4"/>
    </row>
    <row r="7" spans="2:4" x14ac:dyDescent="0.25">
      <c r="B7" s="4"/>
      <c r="C7" s="4"/>
    </row>
    <row r="8" spans="2:4" ht="21" x14ac:dyDescent="0.25">
      <c r="B8" s="8" t="s">
        <v>226</v>
      </c>
      <c r="C8" s="8"/>
      <c r="D8" s="9"/>
    </row>
    <row r="9" spans="2:4" x14ac:dyDescent="0.25">
      <c r="B9" s="9" t="s">
        <v>146</v>
      </c>
      <c r="C9" s="9"/>
      <c r="D9" s="9"/>
    </row>
    <row r="10" spans="2:4" x14ac:dyDescent="0.25">
      <c r="B10" s="9"/>
      <c r="C10" s="9"/>
      <c r="D10" s="9"/>
    </row>
    <row r="11" spans="2:4" ht="21" customHeight="1" x14ac:dyDescent="0.25">
      <c r="B11" s="31" t="s">
        <v>196</v>
      </c>
      <c r="C11" s="31" t="s">
        <v>147</v>
      </c>
      <c r="D11" s="32" t="s">
        <v>148</v>
      </c>
    </row>
    <row r="12" spans="2:4" ht="30" x14ac:dyDescent="0.25">
      <c r="B12" s="46" t="s">
        <v>149</v>
      </c>
      <c r="C12" s="10" t="s">
        <v>150</v>
      </c>
      <c r="D12" s="10" t="s">
        <v>151</v>
      </c>
    </row>
    <row r="13" spans="2:4" ht="30" x14ac:dyDescent="0.25">
      <c r="B13" s="45"/>
      <c r="C13" s="10" t="s">
        <v>152</v>
      </c>
      <c r="D13" s="10" t="s">
        <v>153</v>
      </c>
    </row>
    <row r="14" spans="2:4" ht="30" x14ac:dyDescent="0.25">
      <c r="B14" s="45"/>
      <c r="C14" s="10" t="s">
        <v>154</v>
      </c>
      <c r="D14" s="10" t="s">
        <v>155</v>
      </c>
    </row>
    <row r="15" spans="2:4" x14ac:dyDescent="0.25">
      <c r="B15" s="45"/>
      <c r="C15" s="10" t="s">
        <v>156</v>
      </c>
      <c r="D15" s="10" t="s">
        <v>157</v>
      </c>
    </row>
    <row r="16" spans="2:4" x14ac:dyDescent="0.25">
      <c r="B16" s="45"/>
      <c r="C16" s="10" t="s">
        <v>158</v>
      </c>
      <c r="D16" s="10" t="s">
        <v>159</v>
      </c>
    </row>
    <row r="17" spans="2:4" x14ac:dyDescent="0.25">
      <c r="B17" s="45"/>
      <c r="C17" s="10"/>
      <c r="D17" s="10"/>
    </row>
    <row r="18" spans="2:4" ht="15.75" x14ac:dyDescent="0.25">
      <c r="B18" s="46" t="s">
        <v>160</v>
      </c>
      <c r="C18" s="10" t="s">
        <v>161</v>
      </c>
      <c r="D18" s="10" t="s">
        <v>162</v>
      </c>
    </row>
    <row r="19" spans="2:4" ht="30" x14ac:dyDescent="0.25">
      <c r="B19" s="45"/>
      <c r="C19" s="10" t="s">
        <v>163</v>
      </c>
      <c r="D19" s="10" t="s">
        <v>164</v>
      </c>
    </row>
    <row r="20" spans="2:4" x14ac:dyDescent="0.25">
      <c r="B20" s="45"/>
      <c r="C20" s="10" t="s">
        <v>165</v>
      </c>
      <c r="D20" s="10" t="s">
        <v>166</v>
      </c>
    </row>
    <row r="21" spans="2:4" ht="30" x14ac:dyDescent="0.25">
      <c r="B21" s="45"/>
      <c r="C21" s="10" t="s">
        <v>167</v>
      </c>
      <c r="D21" s="10" t="s">
        <v>168</v>
      </c>
    </row>
    <row r="22" spans="2:4" ht="30" x14ac:dyDescent="0.25">
      <c r="B22" s="45"/>
      <c r="C22" s="10" t="s">
        <v>169</v>
      </c>
      <c r="D22" s="10" t="s">
        <v>170</v>
      </c>
    </row>
    <row r="23" spans="2:4" ht="30" x14ac:dyDescent="0.25">
      <c r="B23" s="45"/>
      <c r="C23" s="10" t="s">
        <v>231</v>
      </c>
      <c r="D23" s="10" t="s">
        <v>232</v>
      </c>
    </row>
    <row r="24" spans="2:4" x14ac:dyDescent="0.25">
      <c r="B24" s="45"/>
      <c r="C24" s="10"/>
      <c r="D24" s="10"/>
    </row>
    <row r="25" spans="2:4" ht="15.75" x14ac:dyDescent="0.25">
      <c r="B25" s="46" t="s">
        <v>171</v>
      </c>
      <c r="C25" s="10" t="s">
        <v>172</v>
      </c>
      <c r="D25" s="10" t="s">
        <v>173</v>
      </c>
    </row>
    <row r="26" spans="2:4" x14ac:dyDescent="0.25">
      <c r="B26" s="45"/>
      <c r="C26" s="10" t="s">
        <v>174</v>
      </c>
      <c r="D26" s="10" t="s">
        <v>175</v>
      </c>
    </row>
    <row r="27" spans="2:4" ht="30" x14ac:dyDescent="0.25">
      <c r="B27" s="45"/>
      <c r="C27" s="10" t="s">
        <v>176</v>
      </c>
      <c r="D27" s="10" t="s">
        <v>177</v>
      </c>
    </row>
    <row r="28" spans="2:4" x14ac:dyDescent="0.25">
      <c r="B28" s="45"/>
      <c r="C28" s="10"/>
      <c r="D28" s="10"/>
    </row>
    <row r="29" spans="2:4" ht="15.75" x14ac:dyDescent="0.25">
      <c r="B29" s="46" t="s">
        <v>178</v>
      </c>
      <c r="C29" s="10" t="s">
        <v>179</v>
      </c>
      <c r="D29" s="10" t="s">
        <v>180</v>
      </c>
    </row>
    <row r="30" spans="2:4" ht="30" x14ac:dyDescent="0.25">
      <c r="B30" s="45"/>
      <c r="C30" s="10" t="s">
        <v>181</v>
      </c>
      <c r="D30" s="10" t="s">
        <v>182</v>
      </c>
    </row>
    <row r="31" spans="2:4" ht="30" x14ac:dyDescent="0.25">
      <c r="B31" s="45"/>
      <c r="C31" s="10" t="s">
        <v>183</v>
      </c>
      <c r="D31" s="10" t="s">
        <v>294</v>
      </c>
    </row>
    <row r="32" spans="2:4" x14ac:dyDescent="0.25">
      <c r="B32" s="45"/>
      <c r="C32" s="10"/>
      <c r="D32" s="10"/>
    </row>
    <row r="33" spans="2:4" ht="15.75" x14ac:dyDescent="0.25">
      <c r="B33" s="46" t="s">
        <v>184</v>
      </c>
      <c r="C33" s="10" t="s">
        <v>185</v>
      </c>
      <c r="D33" s="10" t="s">
        <v>186</v>
      </c>
    </row>
    <row r="34" spans="2:4" x14ac:dyDescent="0.25">
      <c r="B34" s="45"/>
      <c r="C34" s="10" t="s">
        <v>187</v>
      </c>
      <c r="D34" s="10" t="s">
        <v>188</v>
      </c>
    </row>
    <row r="35" spans="2:4" x14ac:dyDescent="0.25">
      <c r="B35" s="45"/>
      <c r="C35" s="10" t="s">
        <v>189</v>
      </c>
      <c r="D35" s="10" t="s">
        <v>190</v>
      </c>
    </row>
    <row r="36" spans="2:4" x14ac:dyDescent="0.25">
      <c r="B36" s="45"/>
      <c r="C36" s="10"/>
      <c r="D36" s="10"/>
    </row>
    <row r="37" spans="2:4" ht="30" x14ac:dyDescent="0.25">
      <c r="B37" s="46" t="s">
        <v>191</v>
      </c>
      <c r="C37" s="10" t="s">
        <v>192</v>
      </c>
      <c r="D37" s="10" t="s">
        <v>193</v>
      </c>
    </row>
    <row r="38" spans="2:4" ht="30" x14ac:dyDescent="0.25">
      <c r="B38" s="11"/>
      <c r="C38" s="10" t="s">
        <v>194</v>
      </c>
      <c r="D38" s="10" t="s">
        <v>195</v>
      </c>
    </row>
    <row r="39" spans="2:4" ht="15.75" thickBot="1" x14ac:dyDescent="0.3">
      <c r="B39" s="33"/>
      <c r="C39" s="33"/>
      <c r="D39" s="33"/>
    </row>
    <row r="40" spans="2:4" ht="15.75" thickTop="1" x14ac:dyDescent="0.25">
      <c r="B40" s="12"/>
      <c r="C40" s="12"/>
      <c r="D40" s="12"/>
    </row>
    <row r="46" spans="2:4" x14ac:dyDescent="0.25">
      <c r="B46" s="6"/>
      <c r="C46" s="6"/>
      <c r="D46" s="2"/>
    </row>
    <row r="47" spans="2:4" x14ac:dyDescent="0.25">
      <c r="B47" s="6"/>
      <c r="C47" s="6"/>
      <c r="D47" s="2"/>
    </row>
    <row r="48" spans="2:4" x14ac:dyDescent="0.25">
      <c r="B48" s="6"/>
      <c r="C48" s="6"/>
      <c r="D48" s="2"/>
    </row>
    <row r="49" spans="2:4" x14ac:dyDescent="0.25">
      <c r="B49" s="6"/>
      <c r="C49" s="6"/>
      <c r="D49" s="2"/>
    </row>
  </sheetData>
  <sheetProtection selectLockedCells="1" selectUnlockedCells="1"/>
  <pageMargins left="0.70866141732283472" right="0.70866141732283472" top="0.74803149606299213" bottom="0.74803149606299213" header="0.31496062992125984" footer="0.31496062992125984"/>
  <pageSetup paperSize="9" orientation="landscape" horizontalDpi="1200" verticalDpi="1200" r:id="rId1"/>
  <headerFooter>
    <oddFooter>&amp;L&amp;D&amp;CPage &amp;P of &amp;N</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5DFA5-324E-4D0E-967A-0820BDFD99B4}">
  <sheetPr codeName="Sheet8"/>
  <dimension ref="B2:D27"/>
  <sheetViews>
    <sheetView showGridLines="0" zoomScaleNormal="100" workbookViewId="0"/>
  </sheetViews>
  <sheetFormatPr defaultColWidth="9.140625" defaultRowHeight="15" x14ac:dyDescent="0.25"/>
  <cols>
    <col min="1" max="1" width="2.85546875" style="3" customWidth="1"/>
    <col min="2" max="2" width="11.7109375" style="3" customWidth="1"/>
    <col min="3" max="3" width="16.28515625" style="3" customWidth="1"/>
    <col min="4" max="4" width="67.85546875" style="3" customWidth="1"/>
    <col min="5" max="16384" width="9.140625" style="3"/>
  </cols>
  <sheetData>
    <row r="2" spans="2:4" x14ac:dyDescent="0.25">
      <c r="B2" s="4"/>
      <c r="C2" s="4"/>
    </row>
    <row r="3" spans="2:4" x14ac:dyDescent="0.25">
      <c r="B3" s="4"/>
      <c r="C3" s="4"/>
    </row>
    <row r="4" spans="2:4" x14ac:dyDescent="0.25">
      <c r="B4" s="4"/>
      <c r="C4" s="4"/>
    </row>
    <row r="5" spans="2:4" x14ac:dyDescent="0.25">
      <c r="B5" s="4"/>
      <c r="C5" s="4"/>
    </row>
    <row r="6" spans="2:4" x14ac:dyDescent="0.25">
      <c r="B6" s="4"/>
      <c r="C6" s="4"/>
    </row>
    <row r="7" spans="2:4" x14ac:dyDescent="0.25">
      <c r="B7" s="4"/>
      <c r="C7" s="4"/>
    </row>
    <row r="8" spans="2:4" ht="21" x14ac:dyDescent="0.25">
      <c r="B8" s="8" t="s">
        <v>227</v>
      </c>
      <c r="C8" s="8"/>
      <c r="D8" s="9"/>
    </row>
    <row r="9" spans="2:4" x14ac:dyDescent="0.25">
      <c r="B9" s="9" t="s">
        <v>71</v>
      </c>
      <c r="C9" s="9"/>
      <c r="D9" s="9"/>
    </row>
    <row r="10" spans="2:4" x14ac:dyDescent="0.25">
      <c r="B10" s="9"/>
      <c r="C10" s="9"/>
      <c r="D10" s="9"/>
    </row>
    <row r="11" spans="2:4" ht="21" customHeight="1" x14ac:dyDescent="0.25">
      <c r="B11" s="31" t="s">
        <v>66</v>
      </c>
      <c r="C11" s="31" t="s">
        <v>13</v>
      </c>
      <c r="D11" s="32" t="s">
        <v>14</v>
      </c>
    </row>
    <row r="12" spans="2:4" ht="30" x14ac:dyDescent="0.25">
      <c r="B12" s="11">
        <v>1</v>
      </c>
      <c r="C12" s="10" t="s">
        <v>15</v>
      </c>
      <c r="D12" s="10" t="s">
        <v>19</v>
      </c>
    </row>
    <row r="13" spans="2:4" ht="30" x14ac:dyDescent="0.25">
      <c r="B13" s="11">
        <v>2</v>
      </c>
      <c r="C13" s="10" t="s">
        <v>72</v>
      </c>
      <c r="D13" s="10" t="s">
        <v>20</v>
      </c>
    </row>
    <row r="14" spans="2:4" ht="30" x14ac:dyDescent="0.25">
      <c r="B14" s="11">
        <v>3</v>
      </c>
      <c r="C14" s="10" t="s">
        <v>16</v>
      </c>
      <c r="D14" s="10" t="s">
        <v>23</v>
      </c>
    </row>
    <row r="15" spans="2:4" ht="30" x14ac:dyDescent="0.25">
      <c r="B15" s="11">
        <v>4</v>
      </c>
      <c r="C15" s="10" t="s">
        <v>17</v>
      </c>
      <c r="D15" s="10" t="s">
        <v>21</v>
      </c>
    </row>
    <row r="16" spans="2:4" ht="30" x14ac:dyDescent="0.25">
      <c r="B16" s="11">
        <v>5</v>
      </c>
      <c r="C16" s="10" t="s">
        <v>18</v>
      </c>
      <c r="D16" s="10" t="s">
        <v>22</v>
      </c>
    </row>
    <row r="17" spans="2:4" ht="15.75" thickBot="1" x14ac:dyDescent="0.3">
      <c r="B17" s="33"/>
      <c r="C17" s="33"/>
      <c r="D17" s="33"/>
    </row>
    <row r="18" spans="2:4" ht="15.75" thickTop="1" x14ac:dyDescent="0.25">
      <c r="B18" s="12"/>
      <c r="C18" s="12"/>
      <c r="D18" s="12"/>
    </row>
    <row r="24" spans="2:4" x14ac:dyDescent="0.25">
      <c r="B24" s="6"/>
      <c r="C24" s="6"/>
      <c r="D24" s="2"/>
    </row>
    <row r="25" spans="2:4" x14ac:dyDescent="0.25">
      <c r="B25" s="6"/>
      <c r="C25" s="6"/>
      <c r="D25" s="2"/>
    </row>
    <row r="26" spans="2:4" x14ac:dyDescent="0.25">
      <c r="B26" s="6"/>
      <c r="C26" s="6"/>
      <c r="D26" s="2"/>
    </row>
    <row r="27" spans="2:4" x14ac:dyDescent="0.25">
      <c r="B27" s="6"/>
      <c r="C27" s="6"/>
      <c r="D27" s="2"/>
    </row>
  </sheetData>
  <sheetProtection selectLockedCells="1" selectUnlockedCells="1"/>
  <pageMargins left="0.70866141732283472" right="0.70866141732283472" top="0.74803149606299213" bottom="0.74803149606299213" header="0.31496062992125984" footer="0.31496062992125984"/>
  <pageSetup paperSize="9" orientation="landscape" horizontalDpi="1200" verticalDpi="1200" r:id="rId1"/>
  <headerFooter>
    <oddFooter>&amp;L&amp;D&amp;CPage &amp;P of &amp;N</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24C3F-9F2D-4591-AE18-E13B89AB177A}">
  <sheetPr>
    <pageSetUpPr fitToPage="1"/>
  </sheetPr>
  <dimension ref="B2:P28"/>
  <sheetViews>
    <sheetView showGridLines="0" zoomScaleNormal="100" workbookViewId="0"/>
  </sheetViews>
  <sheetFormatPr defaultColWidth="9.140625" defaultRowHeight="15" x14ac:dyDescent="0.25"/>
  <cols>
    <col min="1" max="1" width="2.85546875" style="3" customWidth="1"/>
    <col min="2" max="2" width="7.42578125" style="3" customWidth="1"/>
    <col min="3" max="3" width="11.28515625" style="3" customWidth="1"/>
    <col min="4" max="4" width="26.7109375" style="3" customWidth="1"/>
    <col min="5" max="5" width="25.140625" style="3" customWidth="1"/>
    <col min="6" max="7" width="21.42578125" style="3" customWidth="1"/>
    <col min="8" max="8" width="25.5703125" style="3" bestFit="1" customWidth="1"/>
    <col min="9" max="9" width="36.28515625" style="3" customWidth="1"/>
    <col min="10" max="16384" width="9.140625" style="3"/>
  </cols>
  <sheetData>
    <row r="2" spans="2:16" x14ac:dyDescent="0.25">
      <c r="B2" s="4"/>
      <c r="C2" s="4"/>
    </row>
    <row r="3" spans="2:16" x14ac:dyDescent="0.25">
      <c r="B3" s="4"/>
      <c r="C3" s="4"/>
    </row>
    <row r="4" spans="2:16" x14ac:dyDescent="0.25">
      <c r="B4" s="4"/>
      <c r="C4" s="4"/>
    </row>
    <row r="5" spans="2:16" x14ac:dyDescent="0.25">
      <c r="B5" s="4"/>
      <c r="C5" s="4"/>
    </row>
    <row r="6" spans="2:16" x14ac:dyDescent="0.25">
      <c r="B6" s="4"/>
      <c r="C6" s="4"/>
    </row>
    <row r="7" spans="2:16" x14ac:dyDescent="0.25">
      <c r="B7" s="4"/>
      <c r="C7" s="4"/>
    </row>
    <row r="8" spans="2:16" ht="21" x14ac:dyDescent="0.25">
      <c r="B8" s="8" t="s">
        <v>62</v>
      </c>
      <c r="C8" s="8"/>
      <c r="D8" s="26"/>
      <c r="E8" s="26"/>
      <c r="F8" s="26"/>
      <c r="G8" s="26"/>
      <c r="H8" s="26"/>
      <c r="I8" s="26"/>
    </row>
    <row r="9" spans="2:16" x14ac:dyDescent="0.25">
      <c r="B9" s="26" t="s">
        <v>73</v>
      </c>
      <c r="C9" s="26"/>
      <c r="D9" s="26"/>
      <c r="E9" s="26"/>
      <c r="F9" s="26"/>
      <c r="G9" s="26"/>
      <c r="H9" s="26"/>
      <c r="I9" s="26"/>
    </row>
    <row r="10" spans="2:16" x14ac:dyDescent="0.25">
      <c r="B10" s="26"/>
      <c r="C10" s="26"/>
      <c r="D10" s="26"/>
      <c r="E10" s="26"/>
      <c r="F10" s="26"/>
      <c r="G10" s="26"/>
      <c r="H10" s="26"/>
      <c r="I10" s="26"/>
    </row>
    <row r="11" spans="2:16" ht="21" customHeight="1" x14ac:dyDescent="0.25">
      <c r="B11" s="36" t="s">
        <v>51</v>
      </c>
      <c r="C11" s="37"/>
      <c r="D11" s="36" t="s">
        <v>50</v>
      </c>
      <c r="E11" s="36"/>
      <c r="F11" s="36"/>
      <c r="G11" s="36"/>
      <c r="H11" s="36"/>
      <c r="I11" s="36"/>
    </row>
    <row r="12" spans="2:16" ht="30" x14ac:dyDescent="0.25">
      <c r="B12" s="34" t="s">
        <v>48</v>
      </c>
      <c r="C12" s="34" t="s">
        <v>49</v>
      </c>
      <c r="D12" s="34" t="s">
        <v>74</v>
      </c>
      <c r="E12" s="34" t="s">
        <v>75</v>
      </c>
      <c r="F12" s="34" t="s">
        <v>76</v>
      </c>
      <c r="G12" s="34" t="s">
        <v>52</v>
      </c>
      <c r="H12" s="34" t="s">
        <v>77</v>
      </c>
      <c r="I12" s="34" t="s">
        <v>78</v>
      </c>
    </row>
    <row r="13" spans="2:16" ht="30" x14ac:dyDescent="0.25">
      <c r="B13" s="13">
        <v>1</v>
      </c>
      <c r="C13" s="7" t="s">
        <v>24</v>
      </c>
      <c r="D13" s="7" t="s">
        <v>25</v>
      </c>
      <c r="E13" s="2" t="s">
        <v>26</v>
      </c>
      <c r="F13" s="2" t="s">
        <v>27</v>
      </c>
      <c r="G13" s="44" t="s">
        <v>79</v>
      </c>
      <c r="H13" s="2" t="s">
        <v>28</v>
      </c>
      <c r="I13" s="44" t="s">
        <v>24</v>
      </c>
      <c r="J13" s="2"/>
      <c r="K13" s="2"/>
      <c r="L13" s="2"/>
      <c r="M13" s="2"/>
      <c r="N13" s="2"/>
      <c r="O13" s="2"/>
      <c r="P13" s="2"/>
    </row>
    <row r="14" spans="2:16" ht="30" x14ac:dyDescent="0.25">
      <c r="B14" s="13">
        <v>2</v>
      </c>
      <c r="C14" s="7" t="s">
        <v>29</v>
      </c>
      <c r="D14" s="7" t="s">
        <v>30</v>
      </c>
      <c r="E14" s="2" t="s">
        <v>31</v>
      </c>
      <c r="F14" s="2" t="s">
        <v>32</v>
      </c>
      <c r="G14" s="44" t="s">
        <v>80</v>
      </c>
      <c r="H14" s="2" t="s">
        <v>33</v>
      </c>
      <c r="I14" s="44" t="s">
        <v>81</v>
      </c>
      <c r="J14" s="2"/>
      <c r="K14" s="2"/>
      <c r="L14" s="2"/>
      <c r="M14" s="2"/>
      <c r="N14" s="2"/>
      <c r="O14" s="2"/>
      <c r="P14" s="2"/>
    </row>
    <row r="15" spans="2:16" ht="45" x14ac:dyDescent="0.25">
      <c r="B15" s="13">
        <v>3</v>
      </c>
      <c r="C15" s="7" t="s">
        <v>34</v>
      </c>
      <c r="D15" s="7" t="s">
        <v>35</v>
      </c>
      <c r="E15" s="2" t="s">
        <v>36</v>
      </c>
      <c r="F15" s="2" t="s">
        <v>37</v>
      </c>
      <c r="G15" s="44" t="s">
        <v>82</v>
      </c>
      <c r="H15" s="2" t="s">
        <v>38</v>
      </c>
      <c r="I15" s="44" t="s">
        <v>83</v>
      </c>
      <c r="J15" s="2"/>
      <c r="K15" s="2"/>
      <c r="L15" s="2"/>
      <c r="M15" s="2"/>
      <c r="N15" s="2"/>
      <c r="O15" s="2"/>
      <c r="P15" s="2"/>
    </row>
    <row r="16" spans="2:16" ht="30" x14ac:dyDescent="0.25">
      <c r="B16" s="13">
        <v>4</v>
      </c>
      <c r="C16" s="7" t="s">
        <v>39</v>
      </c>
      <c r="D16" s="7" t="s">
        <v>40</v>
      </c>
      <c r="E16" s="2" t="s">
        <v>41</v>
      </c>
      <c r="F16" s="2" t="s">
        <v>42</v>
      </c>
      <c r="G16" s="44" t="s">
        <v>84</v>
      </c>
      <c r="H16" s="2" t="s">
        <v>43</v>
      </c>
      <c r="I16" s="44" t="s">
        <v>297</v>
      </c>
      <c r="J16" s="2"/>
      <c r="K16" s="2"/>
      <c r="L16" s="2"/>
      <c r="M16" s="2"/>
      <c r="N16" s="2"/>
      <c r="O16" s="2"/>
      <c r="P16" s="2"/>
    </row>
    <row r="17" spans="2:16" ht="30" x14ac:dyDescent="0.25">
      <c r="B17" s="13">
        <v>5</v>
      </c>
      <c r="C17" s="7" t="s">
        <v>44</v>
      </c>
      <c r="D17" s="7" t="s">
        <v>45</v>
      </c>
      <c r="E17" s="2" t="s">
        <v>295</v>
      </c>
      <c r="F17" s="2" t="s">
        <v>46</v>
      </c>
      <c r="G17" s="44" t="s">
        <v>85</v>
      </c>
      <c r="H17" s="2" t="s">
        <v>47</v>
      </c>
      <c r="I17" s="44" t="s">
        <v>86</v>
      </c>
      <c r="J17" s="2"/>
      <c r="K17" s="2"/>
      <c r="L17" s="2"/>
      <c r="M17" s="2"/>
      <c r="N17" s="2"/>
      <c r="O17" s="2"/>
      <c r="P17" s="2"/>
    </row>
    <row r="18" spans="2:16" ht="15.75" thickBot="1" x14ac:dyDescent="0.3">
      <c r="B18" s="35"/>
      <c r="C18" s="35"/>
      <c r="D18" s="35"/>
      <c r="E18" s="35"/>
      <c r="F18" s="35"/>
      <c r="G18" s="35"/>
      <c r="H18" s="35"/>
      <c r="I18" s="35"/>
    </row>
    <row r="19" spans="2:16" ht="15.75" thickTop="1" x14ac:dyDescent="0.25"/>
    <row r="25" spans="2:16" x14ac:dyDescent="0.25">
      <c r="B25" s="6"/>
      <c r="C25" s="6"/>
      <c r="D25" s="2"/>
      <c r="E25" s="2"/>
    </row>
    <row r="26" spans="2:16" x14ac:dyDescent="0.25">
      <c r="B26" s="6"/>
      <c r="C26" s="6"/>
      <c r="D26" s="2"/>
      <c r="E26" s="2"/>
    </row>
    <row r="27" spans="2:16" x14ac:dyDescent="0.25">
      <c r="B27" s="6"/>
      <c r="C27" s="6"/>
      <c r="D27" s="2"/>
      <c r="E27" s="2"/>
    </row>
    <row r="28" spans="2:16" x14ac:dyDescent="0.25">
      <c r="B28" s="6"/>
      <c r="C28" s="6"/>
      <c r="D28" s="2"/>
      <c r="E28" s="2"/>
    </row>
  </sheetData>
  <pageMargins left="0.7" right="0.7" top="0.75" bottom="0.75" header="0.3" footer="0.3"/>
  <pageSetup paperSize="9" scale="74" orientation="landscape" horizontalDpi="1200" verticalDpi="1200" r:id="rId1"/>
  <headerFooter>
    <oddFooter>&amp;L&amp;D&amp;CPage &amp;P of &amp;N</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02217-DDCA-4A92-B209-317F65649764}">
  <sheetPr>
    <pageSetUpPr fitToPage="1"/>
  </sheetPr>
  <dimension ref="B2:P28"/>
  <sheetViews>
    <sheetView showGridLines="0" zoomScaleNormal="100" workbookViewId="0"/>
  </sheetViews>
  <sheetFormatPr defaultColWidth="9.140625" defaultRowHeight="15" x14ac:dyDescent="0.25"/>
  <cols>
    <col min="1" max="1" width="2.85546875" style="3" customWidth="1"/>
    <col min="2" max="2" width="7.42578125" style="3" customWidth="1"/>
    <col min="3" max="3" width="11.28515625" style="3" customWidth="1"/>
    <col min="4" max="4" width="26.7109375" style="3" customWidth="1"/>
    <col min="5" max="5" width="25.140625" style="3" customWidth="1"/>
    <col min="6" max="7" width="21.42578125" style="3" customWidth="1"/>
    <col min="8" max="8" width="30.140625" style="3" bestFit="1" customWidth="1"/>
    <col min="9" max="9" width="36.28515625" style="3" customWidth="1"/>
    <col min="10" max="16384" width="9.140625" style="3"/>
  </cols>
  <sheetData>
    <row r="2" spans="2:16" x14ac:dyDescent="0.25">
      <c r="B2" s="4"/>
      <c r="C2" s="4"/>
    </row>
    <row r="3" spans="2:16" x14ac:dyDescent="0.25">
      <c r="B3" s="4"/>
      <c r="C3" s="4"/>
    </row>
    <row r="4" spans="2:16" x14ac:dyDescent="0.25">
      <c r="B4" s="4"/>
      <c r="C4" s="4"/>
    </row>
    <row r="5" spans="2:16" x14ac:dyDescent="0.25">
      <c r="B5" s="4"/>
      <c r="C5" s="4"/>
    </row>
    <row r="6" spans="2:16" x14ac:dyDescent="0.25">
      <c r="B6" s="4"/>
      <c r="C6" s="4"/>
    </row>
    <row r="7" spans="2:16" x14ac:dyDescent="0.25">
      <c r="B7" s="4"/>
      <c r="C7" s="4"/>
    </row>
    <row r="8" spans="2:16" ht="21" x14ac:dyDescent="0.25">
      <c r="B8" s="8" t="s">
        <v>87</v>
      </c>
      <c r="C8" s="8"/>
      <c r="D8" s="26"/>
      <c r="E8" s="26"/>
      <c r="F8" s="26"/>
      <c r="G8" s="26"/>
      <c r="H8" s="26"/>
      <c r="I8" s="26"/>
    </row>
    <row r="9" spans="2:16" x14ac:dyDescent="0.25">
      <c r="B9" s="26" t="s">
        <v>88</v>
      </c>
      <c r="C9" s="26"/>
      <c r="D9" s="26"/>
      <c r="E9" s="26"/>
      <c r="F9" s="26"/>
      <c r="G9" s="26"/>
      <c r="H9" s="26"/>
      <c r="I9" s="26"/>
    </row>
    <row r="10" spans="2:16" x14ac:dyDescent="0.25">
      <c r="B10" s="26"/>
      <c r="C10" s="26"/>
      <c r="D10" s="26"/>
      <c r="E10" s="26"/>
      <c r="F10" s="26"/>
      <c r="G10" s="26"/>
      <c r="H10" s="26"/>
      <c r="I10" s="26"/>
    </row>
    <row r="11" spans="2:16" ht="21" customHeight="1" x14ac:dyDescent="0.25">
      <c r="B11" s="36" t="s">
        <v>51</v>
      </c>
      <c r="C11" s="37"/>
      <c r="D11" s="36" t="s">
        <v>89</v>
      </c>
      <c r="E11" s="36"/>
      <c r="F11" s="36"/>
      <c r="G11" s="36"/>
      <c r="H11" s="36"/>
      <c r="I11" s="36"/>
    </row>
    <row r="12" spans="2:16" ht="30" x14ac:dyDescent="0.25">
      <c r="B12" s="34" t="s">
        <v>48</v>
      </c>
      <c r="C12" s="34" t="s">
        <v>49</v>
      </c>
      <c r="D12" s="34" t="s">
        <v>74</v>
      </c>
      <c r="E12" s="34" t="s">
        <v>90</v>
      </c>
      <c r="F12" s="34" t="s">
        <v>76</v>
      </c>
      <c r="G12" s="34" t="s">
        <v>91</v>
      </c>
      <c r="H12" s="34" t="s">
        <v>92</v>
      </c>
      <c r="I12" s="34" t="s">
        <v>93</v>
      </c>
    </row>
    <row r="13" spans="2:16" ht="30" x14ac:dyDescent="0.25">
      <c r="B13" s="13">
        <v>1</v>
      </c>
      <c r="C13" s="7" t="s">
        <v>24</v>
      </c>
      <c r="D13" s="44" t="s">
        <v>25</v>
      </c>
      <c r="E13" s="44" t="s">
        <v>26</v>
      </c>
      <c r="F13" s="44" t="s">
        <v>94</v>
      </c>
      <c r="G13" s="44" t="s">
        <v>95</v>
      </c>
      <c r="H13" s="44" t="s">
        <v>28</v>
      </c>
      <c r="I13" s="44" t="s">
        <v>24</v>
      </c>
      <c r="J13" s="2"/>
      <c r="K13" s="2"/>
      <c r="L13" s="2"/>
      <c r="M13" s="2"/>
      <c r="N13" s="2"/>
      <c r="O13" s="2"/>
      <c r="P13" s="2"/>
    </row>
    <row r="14" spans="2:16" ht="45" x14ac:dyDescent="0.25">
      <c r="B14" s="13">
        <v>2</v>
      </c>
      <c r="C14" s="7" t="s">
        <v>29</v>
      </c>
      <c r="D14" s="44" t="s">
        <v>96</v>
      </c>
      <c r="E14" s="44" t="s">
        <v>97</v>
      </c>
      <c r="F14" s="44" t="s">
        <v>98</v>
      </c>
      <c r="G14" s="44" t="s">
        <v>99</v>
      </c>
      <c r="H14" s="44" t="s">
        <v>100</v>
      </c>
      <c r="I14" s="44" t="s">
        <v>101</v>
      </c>
      <c r="J14" s="2"/>
      <c r="K14" s="2"/>
      <c r="L14" s="2"/>
      <c r="M14" s="2"/>
      <c r="N14" s="2"/>
      <c r="O14" s="2"/>
      <c r="P14" s="2"/>
    </row>
    <row r="15" spans="2:16" ht="45" x14ac:dyDescent="0.25">
      <c r="B15" s="13">
        <v>3</v>
      </c>
      <c r="C15" s="7" t="s">
        <v>34</v>
      </c>
      <c r="D15" s="44" t="s">
        <v>102</v>
      </c>
      <c r="E15" s="44" t="s">
        <v>103</v>
      </c>
      <c r="F15" s="44" t="s">
        <v>104</v>
      </c>
      <c r="G15" s="44" t="s">
        <v>105</v>
      </c>
      <c r="H15" s="44" t="s">
        <v>106</v>
      </c>
      <c r="I15" s="44" t="s">
        <v>107</v>
      </c>
      <c r="J15" s="2"/>
      <c r="K15" s="2"/>
      <c r="L15" s="2"/>
      <c r="M15" s="2"/>
      <c r="N15" s="2"/>
      <c r="O15" s="2"/>
      <c r="P15" s="2"/>
    </row>
    <row r="16" spans="2:16" ht="60" x14ac:dyDescent="0.25">
      <c r="B16" s="13">
        <v>4</v>
      </c>
      <c r="C16" s="7" t="s">
        <v>39</v>
      </c>
      <c r="D16" s="44" t="s">
        <v>108</v>
      </c>
      <c r="E16" s="44" t="s">
        <v>109</v>
      </c>
      <c r="F16" s="44" t="s">
        <v>110</v>
      </c>
      <c r="G16" s="44" t="s">
        <v>111</v>
      </c>
      <c r="H16" s="44" t="s">
        <v>112</v>
      </c>
      <c r="I16" s="44" t="s">
        <v>296</v>
      </c>
      <c r="J16" s="2"/>
      <c r="K16" s="2"/>
      <c r="L16" s="2"/>
      <c r="M16" s="2"/>
      <c r="N16" s="2"/>
      <c r="O16" s="2"/>
      <c r="P16" s="2"/>
    </row>
    <row r="17" spans="2:16" ht="60" x14ac:dyDescent="0.25">
      <c r="B17" s="13">
        <v>5</v>
      </c>
      <c r="C17" s="7" t="s">
        <v>44</v>
      </c>
      <c r="D17" s="44" t="s">
        <v>113</v>
      </c>
      <c r="E17" s="44" t="s">
        <v>114</v>
      </c>
      <c r="F17" s="44" t="s">
        <v>115</v>
      </c>
      <c r="G17" s="44" t="s">
        <v>116</v>
      </c>
      <c r="H17" s="44" t="s">
        <v>117</v>
      </c>
      <c r="I17" s="44" t="s">
        <v>118</v>
      </c>
      <c r="J17" s="2"/>
      <c r="K17" s="2"/>
      <c r="L17" s="2"/>
      <c r="M17" s="2"/>
      <c r="N17" s="2"/>
      <c r="O17" s="2"/>
      <c r="P17" s="2"/>
    </row>
    <row r="18" spans="2:16" ht="15.75" thickBot="1" x14ac:dyDescent="0.3">
      <c r="B18" s="35"/>
      <c r="C18" s="35"/>
      <c r="D18" s="35"/>
      <c r="E18" s="35"/>
      <c r="F18" s="35"/>
      <c r="G18" s="35"/>
      <c r="H18" s="35"/>
      <c r="I18" s="35"/>
    </row>
    <row r="19" spans="2:16" ht="15.75" thickTop="1" x14ac:dyDescent="0.25"/>
    <row r="25" spans="2:16" x14ac:dyDescent="0.25">
      <c r="B25" s="6"/>
      <c r="C25" s="6"/>
      <c r="D25" s="2"/>
      <c r="E25" s="2"/>
    </row>
    <row r="26" spans="2:16" x14ac:dyDescent="0.25">
      <c r="B26" s="6"/>
      <c r="C26" s="6"/>
      <c r="D26" s="2"/>
      <c r="E26" s="2"/>
    </row>
    <row r="27" spans="2:16" x14ac:dyDescent="0.25">
      <c r="B27" s="6"/>
      <c r="C27" s="6"/>
      <c r="D27" s="2"/>
      <c r="E27" s="2"/>
    </row>
    <row r="28" spans="2:16" x14ac:dyDescent="0.25">
      <c r="B28" s="6"/>
      <c r="C28" s="6"/>
      <c r="D28" s="2"/>
      <c r="E28" s="2"/>
    </row>
  </sheetData>
  <pageMargins left="0.7" right="0.7" top="0.75" bottom="0.75" header="0.3" footer="0.3"/>
  <pageSetup paperSize="9" scale="72" orientation="landscape" horizontalDpi="1200" verticalDpi="1200" r:id="rId1"/>
  <headerFooter>
    <oddFooter>&amp;L&amp;D&amp;CPage &amp;P of &amp;N</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2BCC5-11C1-4335-841F-1BAC61F5BB29}">
  <sheetPr codeName="Sheet13"/>
  <dimension ref="B4:D26"/>
  <sheetViews>
    <sheetView showGridLines="0" zoomScaleNormal="100" workbookViewId="0"/>
  </sheetViews>
  <sheetFormatPr defaultRowHeight="15" x14ac:dyDescent="0.25"/>
  <cols>
    <col min="1" max="1" width="2.85546875" customWidth="1"/>
    <col min="2" max="2" width="15" customWidth="1"/>
    <col min="3" max="3" width="6.140625" customWidth="1"/>
    <col min="4" max="4" width="21.28515625" customWidth="1"/>
    <col min="5" max="5" width="6.140625" customWidth="1"/>
  </cols>
  <sheetData>
    <row r="4" spans="2:4" ht="18.75" x14ac:dyDescent="0.3">
      <c r="B4" s="85" t="s">
        <v>64</v>
      </c>
    </row>
    <row r="6" spans="2:4" x14ac:dyDescent="0.25">
      <c r="B6" s="89" t="s">
        <v>8</v>
      </c>
      <c r="D6" s="49" t="s">
        <v>219</v>
      </c>
    </row>
    <row r="7" spans="2:4" x14ac:dyDescent="0.25">
      <c r="B7" s="5" t="s">
        <v>0</v>
      </c>
      <c r="C7" s="1"/>
      <c r="D7" t="s">
        <v>0</v>
      </c>
    </row>
    <row r="8" spans="2:4" x14ac:dyDescent="0.25">
      <c r="B8" s="5">
        <v>1</v>
      </c>
      <c r="C8" s="1"/>
      <c r="D8" t="s">
        <v>9</v>
      </c>
    </row>
    <row r="9" spans="2:4" x14ac:dyDescent="0.25">
      <c r="B9" s="5">
        <v>2</v>
      </c>
      <c r="C9" s="1"/>
      <c r="D9" t="s">
        <v>10</v>
      </c>
    </row>
    <row r="10" spans="2:4" x14ac:dyDescent="0.25">
      <c r="B10" s="5">
        <v>3</v>
      </c>
      <c r="C10" s="1"/>
      <c r="D10" t="s">
        <v>11</v>
      </c>
    </row>
    <row r="11" spans="2:4" x14ac:dyDescent="0.25">
      <c r="B11" s="5">
        <v>4</v>
      </c>
      <c r="C11" s="1"/>
      <c r="D11" t="s">
        <v>12</v>
      </c>
    </row>
    <row r="12" spans="2:4" x14ac:dyDescent="0.25">
      <c r="B12" s="5">
        <v>5</v>
      </c>
      <c r="C12" s="1"/>
    </row>
    <row r="13" spans="2:4" x14ac:dyDescent="0.25">
      <c r="B13" s="1"/>
      <c r="C13" s="1"/>
    </row>
    <row r="14" spans="2:4" x14ac:dyDescent="0.25">
      <c r="B14" s="1"/>
      <c r="C14" s="1"/>
    </row>
    <row r="15" spans="2:4" x14ac:dyDescent="0.25">
      <c r="B15" s="50"/>
      <c r="C15" s="1"/>
      <c r="D15" s="49"/>
    </row>
    <row r="16" spans="2:4" x14ac:dyDescent="0.25">
      <c r="B16" s="1"/>
      <c r="C16" s="1"/>
    </row>
    <row r="17" spans="2:3" x14ac:dyDescent="0.25">
      <c r="B17" s="1"/>
      <c r="C17" s="1"/>
    </row>
    <row r="18" spans="2:3" x14ac:dyDescent="0.25">
      <c r="B18" s="1"/>
      <c r="C18" s="1"/>
    </row>
    <row r="19" spans="2:3" x14ac:dyDescent="0.25">
      <c r="B19" s="1"/>
      <c r="C19" s="1"/>
    </row>
    <row r="20" spans="2:3" x14ac:dyDescent="0.25">
      <c r="B20" s="1"/>
      <c r="C20" s="1"/>
    </row>
    <row r="21" spans="2:3" x14ac:dyDescent="0.25">
      <c r="B21" s="1"/>
      <c r="C21" s="1"/>
    </row>
    <row r="22" spans="2:3" x14ac:dyDescent="0.25">
      <c r="B22" s="1"/>
    </row>
    <row r="23" spans="2:3" x14ac:dyDescent="0.25">
      <c r="B23" s="1"/>
    </row>
    <row r="24" spans="2:3" x14ac:dyDescent="0.25">
      <c r="B24" s="1"/>
    </row>
    <row r="25" spans="2:3" x14ac:dyDescent="0.25">
      <c r="B25" s="1"/>
    </row>
    <row r="26" spans="2:3" x14ac:dyDescent="0.25">
      <c r="B26" s="1"/>
    </row>
  </sheetData>
  <pageMargins left="0.7" right="0.7" top="0.75" bottom="0.75" header="0.3" footer="0.3"/>
  <pageSetup paperSize="9" orientation="portrait" horizontalDpi="360" verticalDpi="360"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D34F48D8F043AB4E88B8448C9A41E4F2" ma:contentTypeVersion="13" ma:contentTypeDescription="Create a new document." ma:contentTypeScope="" ma:versionID="3865feef376cda2e852ae1c7fd8e37fa">
  <xsd:schema xmlns:xsd="http://www.w3.org/2001/XMLSchema" xmlns:xs="http://www.w3.org/2001/XMLSchema" xmlns:p="http://schemas.microsoft.com/office/2006/metadata/properties" xmlns:ns2="df15456a-aabd-451a-b26d-603cb9643e03" xmlns:ns3="17366138-4c19-4296-90e1-fdecf533ae0c" targetNamespace="http://schemas.microsoft.com/office/2006/metadata/properties" ma:root="true" ma:fieldsID="e87ae09b166ae28a29ff95ac7a778b10" ns2:_="" ns3:_="">
    <xsd:import namespace="df15456a-aabd-451a-b26d-603cb9643e03"/>
    <xsd:import namespace="17366138-4c19-4296-90e1-fdecf533ae0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15456a-aabd-451a-b26d-603cb9643e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7366138-4c19-4296-90e1-fdecf533ae0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ECB737B-7BDF-49F9-BFC9-A1EE92825942}">
  <ds:schemaRefs>
    <ds:schemaRef ds:uri="http://schemas.microsoft.com/DataMashup"/>
  </ds:schemaRefs>
</ds:datastoreItem>
</file>

<file path=customXml/itemProps2.xml><?xml version="1.0" encoding="utf-8"?>
<ds:datastoreItem xmlns:ds="http://schemas.openxmlformats.org/officeDocument/2006/customXml" ds:itemID="{EF2FC474-6880-4FE8-B8D6-B5C39B1EC703}"/>
</file>

<file path=customXml/itemProps3.xml><?xml version="1.0" encoding="utf-8"?>
<ds:datastoreItem xmlns:ds="http://schemas.openxmlformats.org/officeDocument/2006/customXml" ds:itemID="{BE29E310-ECC5-4B3B-9676-09C492D3B983}">
  <ds:schemaRefs>
    <ds:schemaRef ds:uri="http://schemas.microsoft.com/sharepoint/v3/contenttype/forms"/>
  </ds:schemaRefs>
</ds:datastoreItem>
</file>

<file path=customXml/itemProps4.xml><?xml version="1.0" encoding="utf-8"?>
<ds:datastoreItem xmlns:ds="http://schemas.openxmlformats.org/officeDocument/2006/customXml" ds:itemID="{C08B4250-B95D-49BB-B3C5-3FC868E45619}">
  <ds:schemaRefs>
    <ds:schemaRef ds:uri="http://purl.org/dc/terms/"/>
    <ds:schemaRef ds:uri="http://schemas.openxmlformats.org/package/2006/metadata/core-properties"/>
    <ds:schemaRef ds:uri="519c89c0-4739-45b7-90b4-c645f8135810"/>
    <ds:schemaRef ds:uri="http://schemas.microsoft.com/office/2006/documentManagement/types"/>
    <ds:schemaRef ds:uri="http://schemas.microsoft.com/office/infopath/2007/PartnerControls"/>
    <ds:schemaRef ds:uri="http://purl.org/dc/elements/1.1/"/>
    <ds:schemaRef ds:uri="http://schemas.microsoft.com/office/2006/metadata/properties"/>
    <ds:schemaRef ds:uri="906258ce-5a0c-4f3f-a95b-99bb0331ce14"/>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Guidance</vt:lpstr>
      <vt:lpstr>Assessment Details</vt:lpstr>
      <vt:lpstr>Risk Assessment</vt:lpstr>
      <vt:lpstr>Opportunity Assessment</vt:lpstr>
      <vt:lpstr>Dashboard</vt:lpstr>
      <vt:lpstr>Pre-treatment Risks Pivot</vt:lpstr>
      <vt:lpstr>Pre-treatment Risk Owners Pivot</vt:lpstr>
      <vt:lpstr>Post-treatment Risks Pivot</vt:lpstr>
      <vt:lpstr>Pre &amp; Post Risks By Level Pivot</vt:lpstr>
      <vt:lpstr>Treatment option chosen Pivot</vt:lpstr>
      <vt:lpstr>Total treatment costs Pivot</vt:lpstr>
      <vt:lpstr>Treatment Action Owner</vt:lpstr>
      <vt:lpstr>Opps By Level</vt:lpstr>
      <vt:lpstr>Opps By Level &amp; Type</vt:lpstr>
      <vt:lpstr>Opp Levels By Opp Owner</vt:lpstr>
      <vt:lpstr>Opp Action Owner</vt:lpstr>
      <vt:lpstr>Example Threats</vt:lpstr>
      <vt:lpstr>Likelihood</vt:lpstr>
      <vt:lpstr>Risk Impact</vt:lpstr>
      <vt:lpstr>Opportunity Impact</vt:lpstr>
      <vt:lpstr>Selection Tables</vt:lpstr>
      <vt:lpstr>'Assessment Details'!Print_Area</vt:lpstr>
      <vt:lpstr>Dashboard!Print_Area</vt:lpstr>
      <vt:lpstr>'Example Threats'!Print_Area</vt:lpstr>
      <vt:lpstr>Guidance!Print_Area</vt:lpstr>
      <vt:lpstr>Likelihood!Print_Area</vt:lpstr>
      <vt:lpstr>'Opportunity Assessment'!Print_Area</vt:lpstr>
      <vt:lpstr>'Risk Assessment'!Print_Area</vt:lpstr>
      <vt:lpstr>'Risk Assessment'!Print_Titles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ISO22301 Toolkit</dc:title>
  <dc:creator>Copyright CertiKit</dc:creator>
  <cp:lastModifiedBy>Andie Darlington</cp:lastModifiedBy>
  <cp:lastPrinted>2021-10-01T12:32:56Z</cp:lastPrinted>
  <dcterms:created xsi:type="dcterms:W3CDTF">2015-06-05T18:17:20Z</dcterms:created>
  <dcterms:modified xsi:type="dcterms:W3CDTF">2021-10-01T12:33:09Z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0x010100D34F48D8F043AB4E88B8448C9A41E4F2</vt:lpwstr>
  </property>
</Properties>
</file>