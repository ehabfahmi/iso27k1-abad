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0. Implementation Resources/"/>
    </mc:Choice>
  </mc:AlternateContent>
  <xr:revisionPtr revIDLastSave="23" documentId="13_ncr:1_{086B3C08-7515-4915-B1D8-3CD5705B59B8}" xr6:coauthVersionLast="47" xr6:coauthVersionMax="47" xr10:uidLastSave="{CA1674F4-FCC5-45E6-8075-35E9ED90E2EA}"/>
  <bookViews>
    <workbookView xWindow="-120" yWindow="-120" windowWidth="29040" windowHeight="15840" tabRatio="781" xr2:uid="{00000000-000D-0000-FFFF-FFFF00000000}"/>
  </bookViews>
  <sheets>
    <sheet name="Guidance" sheetId="63" r:id="rId1"/>
    <sheet name="Assessment Details" sheetId="64" r:id="rId2"/>
    <sheet name="ISO22301 Gap Assessment" sheetId="65" r:id="rId3"/>
    <sheet name="Dashboard" sheetId="62" r:id="rId4"/>
    <sheet name="Conformity Table" sheetId="66" state="hidden" r:id="rId5"/>
    <sheet name="Conformity Chart Pivot" sheetId="53" state="hidden" r:id="rId6"/>
    <sheet name="% Conformity Chart Pivot" sheetId="61" state="hidden" r:id="rId7"/>
    <sheet name="% Conformity Radar Pivot" sheetId="55" state="hidden" r:id="rId8"/>
  </sheets>
  <definedNames>
    <definedName name="_xlnm.Print_Area" localSheetId="0">Guidance!$B$2:$B$26</definedName>
    <definedName name="_xlnm.Print_Titles" localSheetId="2">'ISO22301 Gap Assessment'!$9:$9</definedName>
  </definedNames>
  <calcPr calcId="191029"/>
  <pivotCaches>
    <pivotCache cacheId="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1" i="62" l="1"/>
  <c r="C14" i="66" l="1"/>
  <c r="E108" i="65" l="1"/>
  <c r="E101" i="65"/>
  <c r="E89" i="65"/>
  <c r="E60" i="65"/>
  <c r="E46" i="65"/>
  <c r="E35" i="65"/>
  <c r="E22" i="65"/>
  <c r="D20" i="62" l="1"/>
  <c r="E20" i="62" s="1"/>
  <c r="D13" i="66"/>
  <c r="E13" i="66" s="1"/>
  <c r="D19" i="62"/>
  <c r="E19" i="62" s="1"/>
  <c r="D12" i="66"/>
  <c r="E12" i="66" s="1"/>
  <c r="D18" i="62"/>
  <c r="E18" i="62" s="1"/>
  <c r="D11" i="66"/>
  <c r="E11" i="66" s="1"/>
  <c r="D17" i="62"/>
  <c r="E17" i="62" s="1"/>
  <c r="D10" i="66"/>
  <c r="E10" i="66" s="1"/>
  <c r="D16" i="62"/>
  <c r="E16" i="62" s="1"/>
  <c r="D9" i="66"/>
  <c r="E9" i="66" s="1"/>
  <c r="D15" i="62"/>
  <c r="E15" i="62" s="1"/>
  <c r="D8" i="66"/>
  <c r="E8" i="66" s="1"/>
  <c r="D14" i="62"/>
  <c r="D7" i="66"/>
  <c r="D21" i="62" l="1"/>
  <c r="E21" i="62" s="1"/>
  <c r="E14" i="62"/>
  <c r="D14" i="66"/>
  <c r="E14" i="66" s="1"/>
  <c r="E7" i="66"/>
</calcChain>
</file>

<file path=xl/sharedStrings.xml><?xml version="1.0" encoding="utf-8"?>
<sst xmlns="http://schemas.openxmlformats.org/spreadsheetml/2006/main" count="301" uniqueCount="181">
  <si>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 xml:space="preserve">This Excel sheet must be removed from the final version of the document. </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</si>
  <si>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</si>
  <si>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</si>
  <si>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</si>
  <si>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t xml:space="preserve">Date(s) of assessment
</t>
  </si>
  <si>
    <t xml:space="preserve">Location of assessment
</t>
  </si>
  <si>
    <t xml:space="preserve">Assessor
</t>
  </si>
  <si>
    <t>Assessment participants</t>
  </si>
  <si>
    <t xml:space="preserve">Purpose of assessment
</t>
  </si>
  <si>
    <t xml:space="preserve">Scope of assessment
</t>
  </si>
  <si>
    <t>ACTION OWNER</t>
  </si>
  <si>
    <t>Yes</t>
  </si>
  <si>
    <t>Gap assessment results</t>
  </si>
  <si>
    <t>REQS IN SECTION</t>
  </si>
  <si>
    <t>PERCENTAGE CONFORMANT</t>
  </si>
  <si>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colour scheme, go to the Page Layout ribbon, select Themes and choose a  different style.</t>
    </r>
  </si>
  <si>
    <t>Assessment Details</t>
  </si>
  <si>
    <t>Total</t>
  </si>
  <si>
    <t>To refresh chart data, click on “Refresh All” on the Data ribbon.</t>
  </si>
  <si>
    <r>
      <rPr>
        <b/>
        <sz val="16"/>
        <color theme="2" tint="-0.499984740745262"/>
        <rFont val="Calibri"/>
        <family val="2"/>
        <scheme val="minor"/>
      </rPr>
      <t>Areas of the standard addressed</t>
    </r>
    <r>
      <rPr>
        <sz val="11"/>
        <color rgb="FF444444"/>
        <rFont val="Calibri"/>
        <family val="2"/>
        <scheme val="minor"/>
      </rPr>
      <t xml:space="preserve">
</t>
    </r>
    <r>
      <rPr>
        <sz val="11"/>
        <color theme="1"/>
        <rFont val="Calibri"/>
        <family val="2"/>
        <scheme val="minor"/>
      </rPr>
      <t>All areas of the ISO22301 standard are covered.</t>
    </r>
  </si>
  <si>
    <r>
      <rPr>
        <b/>
        <sz val="16"/>
        <color theme="2" tint="-0.499984740745262"/>
        <rFont val="Calibri"/>
        <family val="2"/>
        <scheme val="minor"/>
      </rPr>
      <t>General guidance</t>
    </r>
    <r>
      <rPr>
        <sz val="11"/>
        <color rgb="FF444444"/>
        <rFont val="Calibri"/>
        <family val="2"/>
        <scheme val="minor"/>
      </rPr>
      <t xml:space="preserve">
</t>
    </r>
    <r>
      <rPr>
        <sz val="11"/>
        <color theme="1"/>
        <rFont val="Calibri"/>
        <family val="2"/>
        <scheme val="minor"/>
      </rPr>
      <t>This tool allows you to perform a gap assessment against the ISO22301 standard. The questions asked are based on the contents of the relevant standard and are designed to give a reasonable assessment of the degree to which the relevant requirements are met. In all cases a "Yes" answer is taken as a positive indication. The results are summarised in a series of tables and in a selection of charts.
If you would prefer to assess your conformity directly against the requirements of the standard, CertiKit provides a separate chargeable product, the CertiKit Enhanced Gap Assessment Tool, which lists the exact requirements from the standard, line by line. Because this second option contains the full text from the standard, it is subject to a licensing agreement that CertiKit maintains with the ISO via BSI. The Enhanced Gap Assessment Tool is available for purchase from our website.</t>
    </r>
  </si>
  <si>
    <r>
      <rPr>
        <b/>
        <sz val="16"/>
        <color theme="2" tint="-0.499984740745262"/>
        <rFont val="Calibri"/>
        <family val="2"/>
        <scheme val="minor"/>
      </rPr>
      <t>Review frequency</t>
    </r>
    <r>
      <rPr>
        <sz val="11"/>
        <color rgb="FF444444"/>
        <rFont val="Calibri"/>
        <family val="2"/>
        <scheme val="minor"/>
      </rPr>
      <t xml:space="preserve">
</t>
    </r>
    <r>
      <rPr>
        <sz val="11"/>
        <color theme="1"/>
        <rFont val="Calibri"/>
        <family val="2"/>
        <scheme val="minor"/>
      </rPr>
      <t>It is a good idea to revisit this assessment on a regular basis throughout your project to obtain an indication of progress and as a final check prior to an external audit.</t>
    </r>
  </si>
  <si>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ISO22301 Toolkit Version 6</t>
    </r>
  </si>
  <si>
    <t xml:space="preserve">Standard addressed:
</t>
  </si>
  <si>
    <t>Terms used</t>
  </si>
  <si>
    <t>BCMS = Business Continuity Management System</t>
  </si>
  <si>
    <t xml:space="preserve"> AREA/SECTION</t>
  </si>
  <si>
    <t>SUB-SECTION</t>
  </si>
  <si>
    <t>ISO22301 REQUIREMENTS</t>
  </si>
  <si>
    <t>REQS MET?</t>
  </si>
  <si>
    <t>ACTION NEEDED TO MEET REQ</t>
  </si>
  <si>
    <t>4 Context of the organization</t>
  </si>
  <si>
    <t xml:space="preserve">4.1 Understanding the organization and its context </t>
  </si>
  <si>
    <t>Have the external and internal issues that affect the BCMS been determined?</t>
  </si>
  <si>
    <t>Has the organization identified and documented its activities, products and services and relationships, and the potential impact of a disruptive event on them?</t>
  </si>
  <si>
    <t>Has the context been defined, in terms of objectives, risk criteria and appetite, and the purpose of the BCMS?</t>
  </si>
  <si>
    <t>4.2 Understanding the needs and expectations of interested parties</t>
  </si>
  <si>
    <t>4.2.1 General</t>
  </si>
  <si>
    <t>Have the interested parties and their requirements been identified?</t>
  </si>
  <si>
    <t>4.2.2 Legal and regulatory requirements</t>
  </si>
  <si>
    <t>Is there a procedure to identify, document and communicate applicable legal and regulatory requirements?</t>
  </si>
  <si>
    <t>Does the BCMS take the applicable legal and regulatory requirements into account?</t>
  </si>
  <si>
    <t>4.3 Determining the scope of the business continuity management system</t>
  </si>
  <si>
    <t>4.3.1 General</t>
  </si>
  <si>
    <t>Has the scope of the BCMS been determined and documented?</t>
  </si>
  <si>
    <t>4.3.2 Scope of the BCMS</t>
  </si>
  <si>
    <t>Have exclusions to the scope been documented and explained?</t>
  </si>
  <si>
    <t>4.4 Business continuity management system</t>
  </si>
  <si>
    <t>Is a BCMS in place and being continually improved?</t>
  </si>
  <si>
    <t>Total:</t>
  </si>
  <si>
    <t>5 Leadership</t>
  </si>
  <si>
    <t>5.1 Leadership and commitment</t>
  </si>
  <si>
    <t>Does top management demonstrate leadership with respect to the BCMS?</t>
  </si>
  <si>
    <t>Does top management demonstrate commitment to the BCMS?</t>
  </si>
  <si>
    <t>Is top management commitment evidenced by actions such as providing resources, communicating effectively and setting objectives?</t>
  </si>
  <si>
    <t>Has top management allocated responsibility for the BCMS and assigned other relevant BCMS roles?</t>
  </si>
  <si>
    <t>5.2 Policy</t>
  </si>
  <si>
    <t>5.2.1 Establishing the business continuity policy</t>
  </si>
  <si>
    <t>Is a documented business continuity policy in place?</t>
  </si>
  <si>
    <t>Does it set objectives for the BCMS?</t>
  </si>
  <si>
    <t>Does it commit the organization to satisfying requirements and continually improving the BCMS?</t>
  </si>
  <si>
    <t>5.2.2 Communicating the business continuity policy</t>
  </si>
  <si>
    <t>Is it adequately communicated and reviewed?</t>
  </si>
  <si>
    <t>5.3 Roles, responsibilities and authorities</t>
  </si>
  <si>
    <t>Are roles, responsibilities and authorities for the BCMS defined, allocated and communicated?</t>
  </si>
  <si>
    <t>6 Planning</t>
  </si>
  <si>
    <t>6.1 Actions to address risks and opportunities</t>
  </si>
  <si>
    <t>6.1.1 Determining risks and opportunities</t>
  </si>
  <si>
    <t xml:space="preserve">Does the plan for the BCMS take into account the relevant issues and requirements? </t>
  </si>
  <si>
    <t>Are all of the relevant risks and opportunities determined?</t>
  </si>
  <si>
    <t>6.1.2 Addressing risks and opportunities</t>
  </si>
  <si>
    <t>Are actions planned to address the identified risks and opportunities?</t>
  </si>
  <si>
    <t>6.2 Business continuity objectives and plans to achieve them</t>
  </si>
  <si>
    <t>6.2.1 Establishing business continuity objectives</t>
  </si>
  <si>
    <t>Have measurable business continuity objectives been established and communicated?</t>
  </si>
  <si>
    <t>6.2.2 Determining business continuity objectives</t>
  </si>
  <si>
    <t>Is there a plan to achieve the defined business continuity objectives?</t>
  </si>
  <si>
    <t>Is success against the objectives reviewed and updated regularly?</t>
  </si>
  <si>
    <t>6.3 Planning changes to the business continuity management system</t>
  </si>
  <si>
    <t>Are changes to the BCMS carried out in a planned manner?</t>
  </si>
  <si>
    <t>7 Support</t>
  </si>
  <si>
    <t>7.1 Resources</t>
  </si>
  <si>
    <t>Are BCMS resources determined and provided?</t>
  </si>
  <si>
    <t>7.2 Competence</t>
  </si>
  <si>
    <t>Are all of the relevant people sufficiently competent to perform their roles?</t>
  </si>
  <si>
    <t>Where necessary, is action taken to improve competence and are records kept?</t>
  </si>
  <si>
    <t>7.3 Awareness</t>
  </si>
  <si>
    <t>Are all relevant people aware of the business continuity policy and their role during disruptive incidents?</t>
  </si>
  <si>
    <t>7.4 Communication</t>
  </si>
  <si>
    <t>Is effective internal and external communication in place?</t>
  </si>
  <si>
    <t>Is the availability of communication assured during a disruptive incident?</t>
  </si>
  <si>
    <t>7.5 Documented information</t>
  </si>
  <si>
    <t>7.5.1 General</t>
  </si>
  <si>
    <t>Is all of the documented information required by the standard in place?</t>
  </si>
  <si>
    <t>7.5.2 Creating and updating</t>
  </si>
  <si>
    <t>Are standards used for documentation such as titles, references, format, review and approval?</t>
  </si>
  <si>
    <t>7.5.3 Control of documented information</t>
  </si>
  <si>
    <t>Is the lifecycle of documented information controlled, including that from outside the organization?</t>
  </si>
  <si>
    <t>Is documented information adequately protected?</t>
  </si>
  <si>
    <t>8 Operation</t>
  </si>
  <si>
    <t xml:space="preserve">8.1 Operational planning and control </t>
  </si>
  <si>
    <t>Are all of the processes needed to meet requirements planned, implemented and controlled?</t>
  </si>
  <si>
    <t>Are planned changes controlled and the consequences of unplanned changes mitigated?</t>
  </si>
  <si>
    <t>Are outsourced processes identified and controlled?</t>
  </si>
  <si>
    <t>8.2 Business impact analysis and risk assessment</t>
  </si>
  <si>
    <t>8.2.1 General</t>
  </si>
  <si>
    <t>Is a formal and documented process in place for business impact analysis and risk assessment?</t>
  </si>
  <si>
    <t>8.2.2 Business impact analysis</t>
  </si>
  <si>
    <t>Are continuity and recovery priorities, objectives and targets determined using a formal and documented process?</t>
  </si>
  <si>
    <t>8.2.3 Risk assessment</t>
  </si>
  <si>
    <t>Are business continuity risks identified, analysed, evaluated and treated in an appropriate and timely way?</t>
  </si>
  <si>
    <t>8.3 Business continuity strategies and solutions</t>
  </si>
  <si>
    <t>8.3.1 General</t>
  </si>
  <si>
    <t>Have appropriate business continuity strategies been identified?</t>
  </si>
  <si>
    <t>8.3.2 Identification of strategies and solutions</t>
  </si>
  <si>
    <t>Have alternative strategies been identified based on relevant criteria, such as timeframes and impact?</t>
  </si>
  <si>
    <t>8.3.3 Selection of strategies and solutions</t>
  </si>
  <si>
    <t>Has the selection of appropriate strategies been based on the identified requirements, risk appetite and cost/benefit profile?</t>
  </si>
  <si>
    <t>8.3.4 Resource requirements</t>
  </si>
  <si>
    <t>Are the resources required for the selected business continuity strategies identified?</t>
  </si>
  <si>
    <t>8.3.5 Implementation of solutions</t>
  </si>
  <si>
    <t>Are the business continuity solutions implemented and available for activation when required?</t>
  </si>
  <si>
    <t>8.4 Business continuity plans and procedures</t>
  </si>
  <si>
    <t>8.4.1 General</t>
  </si>
  <si>
    <t>Are appropriate business continuity procedures in place to manage a disruptive incident?</t>
  </si>
  <si>
    <t>Are the procedures specific, flexible, prioritised and effective?</t>
  </si>
  <si>
    <t>8.4.2 Response structure</t>
  </si>
  <si>
    <t>Is a management structure defined to respond to a disruptive incident?</t>
  </si>
  <si>
    <t xml:space="preserve">Is the response structure supported by appropriate procedures, resources and communication methods? </t>
  </si>
  <si>
    <t>8.4.3 Warning and communication</t>
  </si>
  <si>
    <t>Are procedures in place to detect, monitor and record vital information about an incident?</t>
  </si>
  <si>
    <t>Are procedures in place for internal and external communication during an incident?</t>
  </si>
  <si>
    <t>Are procedures regularly exercised?</t>
  </si>
  <si>
    <t>8.4.4 Business continuity plans</t>
  </si>
  <si>
    <t>Does the structure of each plan follow that required by the standard as defined in the list in section 8.4.4?</t>
  </si>
  <si>
    <t>8.4.5 Recovery</t>
  </si>
  <si>
    <t>Are documented procedures in place to return to normal working after an incident?</t>
  </si>
  <si>
    <t>8.5 Exercise programme</t>
  </si>
  <si>
    <t>Is a business continuity exercising and testing plan and schedule in place?</t>
  </si>
  <si>
    <t>Are all plans tested sufficiently to ensure their successful use in an incident?</t>
  </si>
  <si>
    <t>8.6 Evaluation of business continuity documentation and capabilities</t>
  </si>
  <si>
    <t>Are regular evaluations of business continuity procedures carried out, using a variety of appropriate methods?</t>
  </si>
  <si>
    <t>Are post-incident reviews carried out to identify improvements?</t>
  </si>
  <si>
    <t>9 Performance evaluation</t>
  </si>
  <si>
    <t>9.1 Monitoring, measurement, analysis and evaluation</t>
  </si>
  <si>
    <t>Is it clearly defined what needs to be monitored and measured to determine the effectiveness of the BCMS?</t>
  </si>
  <si>
    <t>Are the methods for monitoring, measurement, analysis and evaluation clearly defined and the results documented?</t>
  </si>
  <si>
    <t>Are actions taken when monitoring shows up adverse trends?</t>
  </si>
  <si>
    <t>9.2 Internal audit</t>
  </si>
  <si>
    <t>9.2.1 General</t>
  </si>
  <si>
    <t>Are appropriate internal audits being carried out by suitably qualified and impartial people?</t>
  </si>
  <si>
    <t>9.2.2 Audit programme(s)</t>
  </si>
  <si>
    <t>Are the audit results being communicated to management so that action can be taken?</t>
  </si>
  <si>
    <t>9.3 Management review</t>
  </si>
  <si>
    <t>9.3.1 General</t>
  </si>
  <si>
    <t>Are documented management reviews being held regularly?</t>
  </si>
  <si>
    <t>9.3.2 Management review input</t>
  </si>
  <si>
    <t>Are all of the topics from the standard a) to d) (and subsequent bulleted list) covered in each management review?</t>
  </si>
  <si>
    <t>9.3.3 Management review outputs</t>
  </si>
  <si>
    <t>Do the outputs from the management review cover the areas required by the standard a) to e)?</t>
  </si>
  <si>
    <t>10 Improvement</t>
  </si>
  <si>
    <t>10.1 Nonconformity and corrective action</t>
  </si>
  <si>
    <t>Are nonconformities being identified, documented, evaluated and addressed?</t>
  </si>
  <si>
    <t>Is the effectiveness of corrective actions reviewed and the BCMS changed if necessary?</t>
  </si>
  <si>
    <t>10.2 Continual improvement</t>
  </si>
  <si>
    <t>Is the BCMS being continually improved?</t>
  </si>
  <si>
    <t>AREA OF STANDARD</t>
  </si>
  <si>
    <t>NO OF REQS MET</t>
  </si>
  <si>
    <t>PERCENTAGE CONFORMITY</t>
  </si>
  <si>
    <t xml:space="preserve">REQS IN SECTION </t>
  </si>
  <si>
    <t xml:space="preserve">NO OF REQS MET </t>
  </si>
  <si>
    <t xml:space="preserve">PERCENTAGE CONFORMITY </t>
  </si>
  <si>
    <t>Level of Conformity to ISO22301 Standard</t>
  </si>
  <si>
    <t xml:space="preserve">Percentage Conformity to the ISO22301 Standard </t>
  </si>
  <si>
    <t>Percentage Conformity to the ISO22301 Standard Radar Chart</t>
  </si>
  <si>
    <t>Percentage conformity to the ISO22301 standard radar chart</t>
  </si>
  <si>
    <t>Level of conformity to the ISO22301 standard</t>
  </si>
  <si>
    <t>Percentage conformity to the ISO22301 standard</t>
  </si>
  <si>
    <t>Do business continuity plans and procedures contain all of the  information required by the standard as defined in the list in section 8.4.4 a) to g)?</t>
  </si>
  <si>
    <r>
      <rPr>
        <b/>
        <sz val="16"/>
        <color theme="2" tint="-0.499984740745262"/>
        <rFont val="Calibri"/>
        <family val="2"/>
        <scheme val="minor"/>
      </rPr>
      <t>Purpose of this document</t>
    </r>
    <r>
      <rPr>
        <sz val="11"/>
        <color rgb="FF444444"/>
        <rFont val="Calibri"/>
        <family val="2"/>
        <scheme val="minor"/>
      </rPr>
      <t xml:space="preserve">
This document should be used to assess the level of conformity of an organization against the ISO22301 standard. It may be used by a consultant on behalf of a client or by an organization directly.</t>
    </r>
  </si>
  <si>
    <t>ISO22301 Gap Assessment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</si>
</sst>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8"/>
      <color theme="2" tint="-0.499984740745262"/>
      <name val="Calibri"/>
      <family val="2"/>
      <scheme val="minor"/>
    </font>
    <font>
      <b/>
      <sz val="16"/>
      <color theme="2" tint="-0.499984740745262"/>
      <name val="Calibri"/>
      <family val="2"/>
      <scheme val="minor"/>
    </font>
    <font>
      <b/>
      <sz val="12"/>
      <color theme="1"/>
      <name val="Calibri"/>
      <family val="2"/>
      <scheme val="minor"/>
    </font>
    <font>
      <b/>
      <sz val="14"/>
      <color theme="1"/>
      <name val="Calibri"/>
      <family val="2"/>
      <scheme val="minor"/>
    </font>
    <font>
      <sz val="11"/>
      <color theme="0"/>
      <name val="Calibri"/>
      <family val="2"/>
      <scheme val="minor"/>
    </font>
    <font>
      <b/>
      <sz val="10"/>
      <color theme="0"/>
      <name val="Calibri"/>
      <family val="2"/>
      <scheme val="minor"/>
    </font>
    <font>
      <b/>
      <sz val="14"/>
      <color theme="0"/>
      <name val="Calibri"/>
      <family val="2"/>
      <scheme val="minor"/>
    </font>
    <font>
      <b/>
      <sz val="14"/>
      <color rgb="FF000000"/>
      <name val="Calibri"/>
      <family val="2"/>
      <scheme val="minor"/>
    </font>
    <font>
      <sz val="16"/>
      <color theme="1"/>
      <name val="Calibri"/>
      <family val="2"/>
      <scheme val="minor"/>
    </font>
    <font>
      <sz val="12"/>
      <color rgb="FF444444"/>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51">
    <xf numFmtId="0" fontId="0" fillId="0" borderId="0" xfId="0"/>
    <xf numFmtId="0" fontId="4" fillId="0" borderId="0" xfId="0" applyFont="1" applyAlignment="1">
      <alignment vertical="top" wrapText="1"/>
    </xf>
    <xf numFmtId="0" fontId="4" fillId="0" borderId="0" xfId="0" applyFont="1" applyAlignment="1">
      <alignment vertical="top"/>
    </xf>
    <xf numFmtId="0" fontId="4" fillId="0" borderId="0" xfId="0" applyFont="1" applyAlignment="1">
      <alignment horizontal="right" vertical="top"/>
    </xf>
    <xf numFmtId="0" fontId="4" fillId="0" borderId="0" xfId="0" applyFont="1" applyFill="1" applyAlignment="1">
      <alignment horizontal="left" vertical="top"/>
    </xf>
    <xf numFmtId="0" fontId="5" fillId="0" borderId="0" xfId="0" applyFont="1" applyAlignment="1">
      <alignment vertical="top"/>
    </xf>
    <xf numFmtId="0" fontId="8" fillId="0" borderId="0" xfId="0" applyFont="1" applyAlignment="1">
      <alignment vertical="top"/>
    </xf>
    <xf numFmtId="0" fontId="7" fillId="3" borderId="4" xfId="0" applyFont="1" applyFill="1" applyBorder="1" applyAlignment="1">
      <alignment vertical="top" wrapText="1"/>
    </xf>
    <xf numFmtId="0" fontId="3" fillId="2" borderId="0" xfId="0" applyFont="1" applyFill="1" applyAlignment="1">
      <alignment vertical="top" wrapText="1"/>
    </xf>
    <xf numFmtId="0" fontId="4" fillId="0" borderId="0" xfId="0" applyFont="1" applyAlignment="1">
      <alignment horizontal="center" vertical="top"/>
    </xf>
    <xf numFmtId="9" fontId="4" fillId="0" borderId="0" xfId="0" applyNumberFormat="1" applyFont="1" applyAlignment="1">
      <alignment horizontal="center" vertical="top"/>
    </xf>
    <xf numFmtId="0" fontId="11" fillId="0" borderId="0" xfId="0" applyFont="1" applyAlignment="1">
      <alignment vertical="top" wrapText="1"/>
    </xf>
    <xf numFmtId="0" fontId="7" fillId="3" borderId="0" xfId="0" applyFont="1" applyFill="1" applyAlignment="1">
      <alignment horizontal="right" vertical="top" wrapText="1"/>
    </xf>
    <xf numFmtId="0" fontId="7" fillId="3" borderId="0" xfId="0" applyFont="1" applyFill="1" applyAlignment="1">
      <alignment horizontal="center" vertical="top" wrapText="1"/>
    </xf>
    <xf numFmtId="0" fontId="3" fillId="2" borderId="0" xfId="0" applyFont="1" applyFill="1" applyAlignment="1">
      <alignment vertical="center" wrapText="1"/>
    </xf>
    <xf numFmtId="0" fontId="3" fillId="0" borderId="0" xfId="0" applyFont="1" applyFill="1" applyAlignment="1">
      <alignment vertical="top" wrapText="1"/>
    </xf>
    <xf numFmtId="0" fontId="0" fillId="0" borderId="0" xfId="0" applyNumberFormat="1"/>
    <xf numFmtId="9" fontId="0" fillId="0" borderId="0" xfId="0" applyNumberFormat="1"/>
    <xf numFmtId="0" fontId="13" fillId="2" borderId="0" xfId="0" applyFont="1" applyFill="1"/>
    <xf numFmtId="0" fontId="6" fillId="0" borderId="0" xfId="0" applyFont="1" applyAlignment="1">
      <alignment horizontal="center" vertical="top"/>
    </xf>
    <xf numFmtId="0" fontId="4"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horizontal="left" vertical="center" readingOrder="1"/>
    </xf>
    <xf numFmtId="0" fontId="4" fillId="2" borderId="0" xfId="0" applyFont="1" applyFill="1" applyAlignment="1">
      <alignment horizontal="center" vertical="top"/>
    </xf>
    <xf numFmtId="0" fontId="3" fillId="2" borderId="0" xfId="0" applyFont="1" applyFill="1" applyAlignment="1">
      <alignment vertical="top"/>
    </xf>
    <xf numFmtId="0" fontId="16" fillId="0" borderId="0" xfId="0" applyFont="1" applyAlignment="1">
      <alignment horizontal="left" vertical="center" readingOrder="1"/>
    </xf>
    <xf numFmtId="0" fontId="12" fillId="0" borderId="0" xfId="0" applyFont="1" applyAlignment="1">
      <alignment horizontal="left" vertical="center" readingOrder="1"/>
    </xf>
    <xf numFmtId="0" fontId="4" fillId="0" borderId="0" xfId="0" applyFont="1" applyAlignment="1">
      <alignment horizontal="left" vertical="top"/>
    </xf>
    <xf numFmtId="0" fontId="6" fillId="0" borderId="3" xfId="0" applyFont="1" applyBorder="1" applyAlignment="1">
      <alignment vertical="top" wrapText="1"/>
    </xf>
    <xf numFmtId="0" fontId="0" fillId="0" borderId="0" xfId="0" applyAlignment="1">
      <alignment vertical="top"/>
    </xf>
    <xf numFmtId="0" fontId="0" fillId="0" borderId="4" xfId="0" applyBorder="1" applyAlignment="1">
      <alignment vertical="top" wrapText="1"/>
    </xf>
    <xf numFmtId="0" fontId="0" fillId="0" borderId="0" xfId="0" applyAlignment="1">
      <alignment horizontal="right" vertical="top" wrapText="1"/>
    </xf>
    <xf numFmtId="0" fontId="0" fillId="0" borderId="0" xfId="0" applyAlignment="1">
      <alignment vertical="top" wrapText="1"/>
    </xf>
    <xf numFmtId="0" fontId="0" fillId="0" borderId="0" xfId="0" applyAlignment="1">
      <alignment horizontal="center" vertical="top" wrapText="1"/>
    </xf>
    <xf numFmtId="0" fontId="11" fillId="0" borderId="0" xfId="0" applyFont="1" applyAlignment="1">
      <alignment horizontal="left" vertical="top"/>
    </xf>
    <xf numFmtId="0" fontId="0" fillId="0" borderId="0" xfId="0" applyAlignment="1">
      <alignment horizontal="left" vertical="top"/>
    </xf>
    <xf numFmtId="0" fontId="3" fillId="2" borderId="0" xfId="0" applyFont="1" applyFill="1" applyAlignment="1">
      <alignment horizontal="center" vertical="center" wrapText="1"/>
    </xf>
    <xf numFmtId="0" fontId="8" fillId="0" borderId="0" xfId="0" applyFont="1" applyAlignment="1">
      <alignment vertical="top" wrapText="1"/>
    </xf>
    <xf numFmtId="0" fontId="0" fillId="0" borderId="0" xfId="0" applyAlignment="1" applyProtection="1">
      <alignment horizontal="center" vertical="top" wrapText="1"/>
      <protection locked="0"/>
    </xf>
    <xf numFmtId="0" fontId="0" fillId="3" borderId="0" xfId="0" applyFill="1" applyAlignment="1">
      <alignment vertical="top" wrapText="1"/>
    </xf>
    <xf numFmtId="0" fontId="6" fillId="0" borderId="0" xfId="0" applyFont="1" applyAlignment="1">
      <alignment vertical="top" wrapText="1"/>
    </xf>
    <xf numFmtId="9" fontId="6" fillId="0" borderId="0" xfId="0" applyNumberFormat="1" applyFont="1" applyAlignment="1">
      <alignment horizontal="center" vertical="top"/>
    </xf>
    <xf numFmtId="0" fontId="16" fillId="0" borderId="0" xfId="0" applyFont="1" applyAlignment="1">
      <alignment horizontal="left" vertical="top" readingOrder="1"/>
    </xf>
    <xf numFmtId="0" fontId="13" fillId="2" borderId="0" xfId="0" applyFont="1" applyFill="1" applyAlignment="1">
      <alignment horizontal="left" vertical="top"/>
    </xf>
    <xf numFmtId="9" fontId="4" fillId="0" borderId="0" xfId="0" applyNumberFormat="1" applyFont="1" applyFill="1" applyAlignment="1">
      <alignment horizontal="center" vertical="top"/>
    </xf>
    <xf numFmtId="0" fontId="14" fillId="0" borderId="0" xfId="0" applyFont="1" applyFill="1" applyAlignment="1">
      <alignment vertical="top" wrapText="1"/>
    </xf>
    <xf numFmtId="0" fontId="8" fillId="0" borderId="0" xfId="0" applyFont="1" applyFill="1"/>
    <xf numFmtId="0" fontId="17" fillId="0" borderId="0" xfId="0" applyFont="1" applyFill="1"/>
    <xf numFmtId="0" fontId="18" fillId="0" borderId="0" xfId="0" applyFont="1" applyAlignment="1">
      <alignment vertical="top"/>
    </xf>
    <xf numFmtId="0" fontId="0" fillId="0" borderId="0" xfId="0" applyFont="1" applyFill="1" applyAlignment="1">
      <alignment vertical="top"/>
    </xf>
    <xf numFmtId="0" fontId="12" fillId="0" borderId="0" xfId="0" applyFont="1" applyFill="1" applyAlignment="1">
      <alignment vertical="top"/>
    </xf>
  </cellXfs>
  <cellStyles count="3">
    <cellStyle name="Heading 1" xfId="1" builtinId="16" customBuiltin="1"/>
    <cellStyle name="Heading 2" xfId="2" builtinId="17" customBuiltin="1"/>
    <cellStyle name="Normal" xfId="0" builtinId="0"/>
  </cellStyles>
  <dxfs count="48">
    <dxf>
      <numFmt numFmtId="1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numFmt numFmtId="1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alignment vertical="top"/>
    </dxf>
    <dxf>
      <alignment vertical="top"/>
    </dxf>
    <dxf>
      <alignment vertical="top"/>
    </dxf>
    <dxf>
      <alignment horizontal="left"/>
    </dxf>
    <dxf>
      <alignment horizontal="left"/>
    </dxf>
    <dxf>
      <alignment horizontal="left"/>
    </dxf>
    <dxf>
      <font>
        <b/>
        <i val="0"/>
        <strike val="0"/>
        <condense val="0"/>
        <extend val="0"/>
        <outline val="0"/>
        <shadow val="0"/>
        <u val="none"/>
        <vertAlign val="baseline"/>
        <sz val="11"/>
        <color rgb="FF444444"/>
        <name val="Calibri"/>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numFmt numFmtId="13" formatCode="0%"/>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font>
    </dxf>
    <dxf>
      <font>
        <b/>
        <i val="0"/>
        <strike val="0"/>
        <condense val="0"/>
        <extend val="0"/>
        <outline val="0"/>
        <shadow val="0"/>
        <u val="none"/>
        <vertAlign val="baseline"/>
        <sz val="11"/>
        <color theme="0"/>
        <name val="Calibri"/>
        <family val="2"/>
        <scheme val="minor"/>
      </font>
      <fill>
        <patternFill patternType="solid">
          <fgColor indexed="64"/>
          <bgColor theme="2" tint="-0.499984740745262"/>
        </patternFill>
      </fill>
      <alignment horizontal="general" vertical="top" textRotation="0" wrapText="1" indent="0" justifyLastLine="0" shrinkToFit="0" readingOrder="0"/>
    </dxf>
    <dxf>
      <font>
        <b/>
        <i val="0"/>
        <strike val="0"/>
        <condense val="0"/>
        <extend val="0"/>
        <outline val="0"/>
        <shadow val="0"/>
        <u val="none"/>
        <vertAlign val="baseline"/>
        <sz val="11"/>
        <color rgb="FF444444"/>
        <name val="Calibri"/>
        <family val="2"/>
        <scheme val="minor"/>
      </font>
      <numFmt numFmtId="13" formatCode="0%"/>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numFmt numFmtId="13" formatCode="0%"/>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1"/>
        <color rgb="FF444444"/>
        <name val="Calibri"/>
        <family val="2"/>
        <scheme val="minor"/>
      </font>
      <alignment horizontal="center" vertical="top" textRotation="0" wrapText="0" indent="0" justifyLastLine="0" shrinkToFit="0" readingOrder="0"/>
    </dxf>
    <dxf>
      <font>
        <b/>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rgb="FF444444"/>
        <name val="Calibri"/>
        <family val="2"/>
        <scheme val="minor"/>
      </font>
      <alignment horizontal="general" vertical="top" textRotation="0" wrapText="1" indent="0" justifyLastLine="0" shrinkToFit="0" readingOrder="0"/>
    </dxf>
    <dxf>
      <font>
        <b/>
      </font>
    </dxf>
    <dxf>
      <font>
        <b/>
        <i val="0"/>
        <strike val="0"/>
        <condense val="0"/>
        <extend val="0"/>
        <outline val="0"/>
        <shadow val="0"/>
        <u val="none"/>
        <vertAlign val="baseline"/>
        <sz val="11"/>
        <color theme="0"/>
        <name val="Calibri"/>
        <family val="2"/>
        <scheme val="minor"/>
      </font>
      <fill>
        <patternFill patternType="solid">
          <fgColor indexed="64"/>
          <bgColor theme="2" tint="-0.499984740745262"/>
        </patternFill>
      </fill>
      <alignment horizontal="general"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2" defaultTableStyle="CertiKit table style" defaultPivotStyle="PivotStyleLight16">
    <tableStyle name="CertiKit Slicer" pivot="0" table="0" count="10" xr9:uid="{FCC2AF85-7669-42AB-BE0F-8A70404C0D05}">
      <tableStyleElement type="wholeTable" dxfId="47"/>
      <tableStyleElement type="headerRow" dxfId="46"/>
    </tableStyle>
    <tableStyle name="CertiKit table style" pivot="0" count="4" xr9:uid="{C9D01002-7EEB-4392-906F-2D3907ED044F}">
      <tableStyleElement type="wholeTable" dxfId="45"/>
      <tableStyleElement type="headerRow" dxfId="44"/>
      <tableStyleElement type="firstRowStripe" dxfId="43"/>
      <tableStyleElement type="secondRowStripe" dxfId="42"/>
    </tableStyle>
  </tableStyles>
  <colors>
    <mruColors>
      <color rgb="FFD0EAEB"/>
      <color rgb="FF009BA4"/>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[BCMS-FORM-00-4 ISO22301 Gap Assessment Tool.xlsx]Conformity Chart Pivot!ComplianceResultsPivotTable</c:name>
    <c:fmtId val="2"/>
  </c:pivotSource>
  <c:chart>
    <c:autoTitleDeleted val="0"/>
    <c:pivotFmts>
      <c:pivotFmt>
        <c:idx val="0"/>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'Conformity Chart Pivot'!$C$6</c:f>
              <c:strCache>
                <c:ptCount val="1"/>
                <c:pt idx="0">
                  <c:v>REQS IN SECTION </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'Conformity Chart Pivot'!$B$7:$B$13</c:f>
              <c:strCache>
                <c:ptCount val="7"/>
                <c:pt idx="0">
                  <c:v>10 Improvement</c:v>
                </c:pt>
                <c:pt idx="1">
                  <c:v>9 Performance evaluation</c:v>
                </c:pt>
                <c:pt idx="2">
                  <c:v>8 Operation</c:v>
                </c:pt>
                <c:pt idx="3">
                  <c:v>7 Support</c:v>
                </c:pt>
                <c:pt idx="4">
                  <c:v>6 Planning</c:v>
                </c:pt>
                <c:pt idx="5">
                  <c:v>5 Leadership</c:v>
                </c:pt>
                <c:pt idx="6">
                  <c:v>4 Context of the organization</c:v>
                </c:pt>
              </c:strCache>
            </c:strRef>
          </c:cat>
          <c:val>
            <c:numRef>
              <c:f>'Conformity Chart Pivot'!$C$7:$C$13</c:f>
              <c:numCache>
                <c:formatCode>General</c:formatCode>
                <c:ptCount val="7"/>
                <c:pt idx="0">
                  <c:v>3</c:v>
                </c:pt>
                <c:pt idx="1">
                  <c:v>8</c:v>
                </c:pt>
                <c:pt idx="2">
                  <c:v>25</c:v>
                </c:pt>
                <c:pt idx="3">
                  <c:v>10</c:v>
                </c:pt>
                <c:pt idx="4">
                  <c:v>7</c:v>
                </c:pt>
                <c:pt idx="5">
                  <c:v>9</c:v>
                </c:pt>
                <c:pt idx="6">
                  <c:v>9</c:v>
                </c:pt>
              </c:numCache>
            </c:numRef>
          </c:val>
          <c:extLst>
            <c:ext xmlns:c16="http://schemas.microsoft.com/office/drawing/2014/chart" uri="{C3380CC4-5D6E-409C-BE32-E72D297353CC}">
              <c16:uniqueId val="{00000000-D7EC-48BE-B9FA-9842F8370F13}"/>
            </c:ext>
          </c:extLst>
        </c:ser>
        <c:ser>
          <c:idx val="1"/>
          <c:order val="1"/>
          <c:tx>
            <c:strRef>
              <c:f>'Conformity Chart Pivot'!$D$6</c:f>
              <c:strCache>
                <c:ptCount val="1"/>
                <c:pt idx="0">
                  <c:v>NO OF REQS MET </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'Conformity Chart Pivot'!$B$7:$B$13</c:f>
              <c:strCache>
                <c:ptCount val="7"/>
                <c:pt idx="0">
                  <c:v>10 Improvement</c:v>
                </c:pt>
                <c:pt idx="1">
                  <c:v>9 Performance evaluation</c:v>
                </c:pt>
                <c:pt idx="2">
                  <c:v>8 Operation</c:v>
                </c:pt>
                <c:pt idx="3">
                  <c:v>7 Support</c:v>
                </c:pt>
                <c:pt idx="4">
                  <c:v>6 Planning</c:v>
                </c:pt>
                <c:pt idx="5">
                  <c:v>5 Leadership</c:v>
                </c:pt>
                <c:pt idx="6">
                  <c:v>4 Context of the organization</c:v>
                </c:pt>
              </c:strCache>
            </c:strRef>
          </c:cat>
          <c:val>
            <c:numRef>
              <c:f>'Conformity Chart Pivot'!$D$7:$D$13</c:f>
              <c:numCache>
                <c:formatCode>General</c:formatCode>
                <c:ptCount val="7"/>
                <c:pt idx="0">
                  <c:v>3</c:v>
                </c:pt>
                <c:pt idx="1">
                  <c:v>8</c:v>
                </c:pt>
                <c:pt idx="2">
                  <c:v>25</c:v>
                </c:pt>
                <c:pt idx="3">
                  <c:v>10</c:v>
                </c:pt>
                <c:pt idx="4">
                  <c:v>7</c:v>
                </c:pt>
                <c:pt idx="5">
                  <c:v>9</c:v>
                </c:pt>
                <c:pt idx="6">
                  <c:v>9</c:v>
                </c:pt>
              </c:numCache>
            </c:numRef>
          </c:val>
          <c:extLst>
            <c:ext xmlns:c16="http://schemas.microsoft.com/office/drawing/2014/chart" uri="{C3380CC4-5D6E-409C-BE32-E72D297353CC}">
              <c16:uniqueId val="{00000001-D7EC-48BE-B9FA-9842F8370F13}"/>
            </c:ext>
          </c:extLst>
        </c:ser>
        <c:dLbls>
          <c:dLblPos val="outEnd"/>
          <c:showLegendKey val="0"/>
          <c:showVal val="1"/>
          <c:showCatName val="0"/>
          <c:showSerName val="0"/>
          <c:showPercent val="0"/>
          <c:showBubbleSize val="0"/>
        </c:dLbls>
        <c:gapWidth val="100"/>
        <c:overlap val="-20"/>
        <c:axId val="1119333928"/>
        <c:axId val="1119335240"/>
      </c:barChart>
      <c:catAx>
        <c:axId val="1119333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335240"/>
        <c:crosses val="autoZero"/>
        <c:auto val="1"/>
        <c:lblAlgn val="ctr"/>
        <c:lblOffset val="100"/>
        <c:noMultiLvlLbl val="0"/>
      </c:catAx>
      <c:valAx>
        <c:axId val="1119335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19333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[BCMS-FORM-00-4 ISO22301 Gap Assessment Tool.xlsx]% Conformity Chart Pivot!%ComplianceChartPivot</c:name>
    <c:fmtId val="2"/>
  </c:pivotSource>
  <c:chart>
    <c:autoTitleDeleted val="1"/>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Conformity Chart Pivot'!$C$6</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Conformity Chart Pivot'!$B$7:$B$13</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 Conformity Chart Pivot'!$C$7:$C$13</c:f>
              <c:numCache>
                <c:formatCode>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4DDF-4A58-B523-F85010F7048C}"/>
            </c:ext>
          </c:extLst>
        </c:ser>
        <c:dLbls>
          <c:dLblPos val="outEnd"/>
          <c:showLegendKey val="0"/>
          <c:showVal val="1"/>
          <c:showCatName val="0"/>
          <c:showSerName val="0"/>
          <c:showPercent val="0"/>
          <c:showBubbleSize val="0"/>
        </c:dLbls>
        <c:gapWidth val="219"/>
        <c:overlap val="-27"/>
        <c:axId val="939896048"/>
        <c:axId val="939896704"/>
      </c:barChart>
      <c:catAx>
        <c:axId val="93989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896704"/>
        <c:crosses val="autoZero"/>
        <c:auto val="1"/>
        <c:lblAlgn val="ctr"/>
        <c:lblOffset val="100"/>
        <c:noMultiLvlLbl val="0"/>
      </c:catAx>
      <c:valAx>
        <c:axId val="939896704"/>
        <c:scaling>
          <c:orientation val="minMax"/>
          <c:max val="1"/>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39896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[BCMS-FORM-00-4 ISO22301 Gap Assessment Tool.xlsx]% Conformity Radar Pivot!%ComplianceRadarPivot</c:name>
    <c:fmtId val="9"/>
  </c:pivotSource>
  <c:chart>
    <c:autoTitleDeleted val="1"/>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0EAE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D0EAEB"/>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5400">
            <a:solidFill>
              <a:schemeClr val="bg2">
                <a:lumMod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 Conformity Radar Pivot'!$C$6</c:f>
              <c:strCache>
                <c:ptCount val="1"/>
                <c:pt idx="0">
                  <c:v>Total</c:v>
                </c:pt>
              </c:strCache>
            </c:strRef>
          </c:tx>
          <c:spPr>
            <a:noFill/>
            <a:ln w="25400">
              <a:solidFill>
                <a:schemeClr val="bg2">
                  <a:lumMod val="25000"/>
                </a:schemeClr>
              </a:solidFill>
            </a:ln>
            <a:effectLst/>
          </c:spPr>
          <c:cat>
            <c:strRef>
              <c:f>'% Conformity Radar Pivot'!$B$7:$B$13</c:f>
              <c:strCache>
                <c:ptCount val="7"/>
                <c:pt idx="0">
                  <c:v>4 Context of the organization</c:v>
                </c:pt>
                <c:pt idx="1">
                  <c:v>5 Leadership</c:v>
                </c:pt>
                <c:pt idx="2">
                  <c:v>6 Planning</c:v>
                </c:pt>
                <c:pt idx="3">
                  <c:v>7 Support</c:v>
                </c:pt>
                <c:pt idx="4">
                  <c:v>8 Operation</c:v>
                </c:pt>
                <c:pt idx="5">
                  <c:v>9 Performance evaluation</c:v>
                </c:pt>
                <c:pt idx="6">
                  <c:v>10 Improvement</c:v>
                </c:pt>
              </c:strCache>
            </c:strRef>
          </c:cat>
          <c:val>
            <c:numRef>
              <c:f>'% Conformity Radar Pivot'!$C$7:$C$13</c:f>
              <c:numCache>
                <c:formatCode>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7CF3-4ACA-9449-72BB933E4235}"/>
            </c:ext>
          </c:extLst>
        </c:ser>
        <c:dLbls>
          <c:showLegendKey val="0"/>
          <c:showVal val="0"/>
          <c:showCatName val="0"/>
          <c:showSerName val="0"/>
          <c:showPercent val="0"/>
          <c:showBubbleSize val="0"/>
        </c:dLbls>
        <c:axId val="963263432"/>
        <c:axId val="963263760"/>
      </c:radarChart>
      <c:catAx>
        <c:axId val="963263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263760"/>
        <c:crosses val="autoZero"/>
        <c:auto val="1"/>
        <c:lblAlgn val="ctr"/>
        <c:lblOffset val="100"/>
        <c:noMultiLvlLbl val="0"/>
      </c:catAx>
      <c:valAx>
        <c:axId val="9632637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63263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jpe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xdr:col>
      <xdr:colOff>3190875</xdr:colOff>
      <xdr:row>0</xdr:row>
      <xdr:rowOff>85725</xdr:rowOff>
    </xdr:from>
    <xdr:to>
      <xdr:col>2</xdr:col>
      <xdr:colOff>95250</xdr:colOff>
      <xdr:row>5</xdr:row>
      <xdr:rowOff>28575</xdr:rowOff>
    </xdr:to>
    <xdr:sp macro="" textlink="">
      <xdr:nvSpPr>
        <xdr:cNvPr id="2" name="TextBox 1">
          <a:extLst>
            <a:ext uri="{FF2B5EF4-FFF2-40B4-BE49-F238E27FC236}">
              <a16:creationId xmlns:a16="http://schemas.microsoft.com/office/drawing/2014/main" id="{0D3CA75C-54EF-4C7D-83E7-E53218EFD3C8}"/>
            </a:ext>
          </a:extLst>
        </xdr:cNvPr>
        <xdr:cNvSpPr txBox="1"/>
      </xdr:nvSpPr>
      <xdr:spPr>
        <a:xfrm>
          <a:off x="3381375" y="85725"/>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Gap Assessment Tool</a:t>
          </a:r>
          <a:r>
            <a:rPr lang="en-GB" sz="1800" b="1" baseline="0">
              <a:solidFill>
                <a:schemeClr val="tx1"/>
              </a:solidFill>
            </a:rPr>
            <a:t> (Questionnaire Based)</a:t>
          </a:r>
          <a:endParaRPr lang="en-GB" sz="1800" b="1">
            <a:solidFill>
              <a:schemeClr val="tx1"/>
            </a:solidFill>
          </a:endParaRPr>
        </a:p>
        <a:p>
          <a:pPr algn="r"/>
          <a:r>
            <a:rPr lang="en-GB" sz="1200" b="0">
              <a:solidFill>
                <a:schemeClr val="tx1"/>
              </a:solidFill>
              <a:latin typeface="+mn-lt"/>
            </a:rPr>
            <a:t>BCMS-FORM-00-4</a:t>
          </a:r>
        </a:p>
      </xdr:txBody>
    </xdr:sp>
    <xdr:clientData/>
  </xdr:twoCellAnchor>
  <xdr:twoCellAnchor editAs="oneCell">
    <xdr:from>
      <xdr:col>1</xdr:col>
      <xdr:colOff>0</xdr:colOff>
      <xdr:row>1</xdr:row>
      <xdr:rowOff>0</xdr:rowOff>
    </xdr:from>
    <xdr:to>
      <xdr:col>1</xdr:col>
      <xdr:colOff>2956158</xdr:colOff>
      <xdr:row>5</xdr:row>
      <xdr:rowOff>9525</xdr:rowOff>
    </xdr:to>
    <xdr:pic>
      <xdr:nvPicPr>
        <xdr:cNvPr id="3" name="Picture 2">
          <a:extLst>
            <a:ext uri="{FF2B5EF4-FFF2-40B4-BE49-F238E27FC236}">
              <a16:creationId xmlns:a16="http://schemas.microsoft.com/office/drawing/2014/main" id="{E2052A01-0BDE-4B06-80BC-7D2550A7D3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956158" cy="77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1060925</xdr:colOff>
      <xdr:row>6</xdr:row>
      <xdr:rowOff>5490</xdr:rowOff>
    </xdr:to>
    <xdr:pic>
      <xdr:nvPicPr>
        <xdr:cNvPr id="2" name="Picture 1" descr="Auto Replace">
          <a:extLst>
            <a:ext uri="{FF2B5EF4-FFF2-40B4-BE49-F238E27FC236}">
              <a16:creationId xmlns:a16="http://schemas.microsoft.com/office/drawing/2014/main" id="{BB6FD80D-8654-4A13-99D1-D16569A43E7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2</xdr:col>
      <xdr:colOff>1200150</xdr:colOff>
      <xdr:row>0</xdr:row>
      <xdr:rowOff>76200</xdr:rowOff>
    </xdr:from>
    <xdr:to>
      <xdr:col>3</xdr:col>
      <xdr:colOff>104775</xdr:colOff>
      <xdr:row>5</xdr:row>
      <xdr:rowOff>19050</xdr:rowOff>
    </xdr:to>
    <xdr:sp macro="" textlink="">
      <xdr:nvSpPr>
        <xdr:cNvPr id="3" name="TextBox 2">
          <a:extLst>
            <a:ext uri="{FF2B5EF4-FFF2-40B4-BE49-F238E27FC236}">
              <a16:creationId xmlns:a16="http://schemas.microsoft.com/office/drawing/2014/main" id="{28120BD2-6638-4234-A07C-5CE367D8C9D2}"/>
            </a:ext>
          </a:extLst>
        </xdr:cNvPr>
        <xdr:cNvSpPr txBox="1"/>
      </xdr:nvSpPr>
      <xdr:spPr>
        <a:xfrm>
          <a:off x="2857500" y="7620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Gap Assessment Tool</a:t>
          </a:r>
          <a:r>
            <a:rPr lang="en-GB" sz="1800" b="1" baseline="0">
              <a:solidFill>
                <a:schemeClr val="tx1"/>
              </a:solidFill>
            </a:rPr>
            <a:t> (Questionnaire Based)</a:t>
          </a:r>
          <a:endParaRPr lang="en-GB" sz="1800" b="1">
            <a:solidFill>
              <a:schemeClr val="tx1"/>
            </a:solidFill>
          </a:endParaRPr>
        </a:p>
        <a:p>
          <a:pPr algn="r"/>
          <a:r>
            <a:rPr lang="en-GB" sz="1200" b="0">
              <a:solidFill>
                <a:schemeClr val="tx1"/>
              </a:solidFill>
              <a:latin typeface="+mn-lt"/>
            </a:rPr>
            <a:t>BCMS-FORM-00-4</a:t>
          </a:r>
        </a:p>
      </xdr:txBody>
    </xdr:sp>
    <xdr:clientData/>
  </xdr:twoCellAnchor>
  <xdr:twoCellAnchor editAs="oneCell">
    <xdr:from>
      <xdr:col>1</xdr:col>
      <xdr:colOff>0</xdr:colOff>
      <xdr:row>1</xdr:row>
      <xdr:rowOff>0</xdr:rowOff>
    </xdr:from>
    <xdr:to>
      <xdr:col>2</xdr:col>
      <xdr:colOff>1060925</xdr:colOff>
      <xdr:row>6</xdr:row>
      <xdr:rowOff>5490</xdr:rowOff>
    </xdr:to>
    <xdr:pic>
      <xdr:nvPicPr>
        <xdr:cNvPr id="4" name="Picture 3" descr="Auto Replace">
          <a:extLst>
            <a:ext uri="{FF2B5EF4-FFF2-40B4-BE49-F238E27FC236}">
              <a16:creationId xmlns:a16="http://schemas.microsoft.com/office/drawing/2014/main" id="{78F12942-1714-4BE4-B4CB-6323864767D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2527775</xdr:colOff>
      <xdr:row>5</xdr:row>
      <xdr:rowOff>186465</xdr:rowOff>
    </xdr:to>
    <xdr:pic>
      <xdr:nvPicPr>
        <xdr:cNvPr id="2" name="Picture 1" descr="Auto Replace">
          <a:extLst>
            <a:ext uri="{FF2B5EF4-FFF2-40B4-BE49-F238E27FC236}">
              <a16:creationId xmlns:a16="http://schemas.microsoft.com/office/drawing/2014/main" id="{C50A8B8D-8FC5-4BFE-AE17-096B0B1151E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2527775</xdr:colOff>
      <xdr:row>6</xdr:row>
      <xdr:rowOff>5490</xdr:rowOff>
    </xdr:to>
    <xdr:pic>
      <xdr:nvPicPr>
        <xdr:cNvPr id="2" name="Picture 1" descr="Auto Replace">
          <a:extLst>
            <a:ext uri="{FF2B5EF4-FFF2-40B4-BE49-F238E27FC236}">
              <a16:creationId xmlns:a16="http://schemas.microsoft.com/office/drawing/2014/main" id="{486A515D-50C0-420C-9644-2E1B81C86C6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xdr:from>
      <xdr:col>1</xdr:col>
      <xdr:colOff>0</xdr:colOff>
      <xdr:row>24</xdr:row>
      <xdr:rowOff>190499</xdr:rowOff>
    </xdr:from>
    <xdr:to>
      <xdr:col>4</xdr:col>
      <xdr:colOff>2038350</xdr:colOff>
      <xdr:row>57</xdr:row>
      <xdr:rowOff>28574</xdr:rowOff>
    </xdr:to>
    <xdr:graphicFrame macro="">
      <xdr:nvGraphicFramePr>
        <xdr:cNvPr id="6" name="Chart 5">
          <a:extLst>
            <a:ext uri="{FF2B5EF4-FFF2-40B4-BE49-F238E27FC236}">
              <a16:creationId xmlns:a16="http://schemas.microsoft.com/office/drawing/2014/main" id="{71E2CF49-B646-4B9C-AF0D-54E113C4D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714374</xdr:colOff>
      <xdr:row>37</xdr:row>
      <xdr:rowOff>19051</xdr:rowOff>
    </xdr:from>
    <xdr:to>
      <xdr:col>19</xdr:col>
      <xdr:colOff>600074</xdr:colOff>
      <xdr:row>57</xdr:row>
      <xdr:rowOff>180975</xdr:rowOff>
    </xdr:to>
    <xdr:graphicFrame macro="">
      <xdr:nvGraphicFramePr>
        <xdr:cNvPr id="8" name="Chart 7">
          <a:extLst>
            <a:ext uri="{FF2B5EF4-FFF2-40B4-BE49-F238E27FC236}">
              <a16:creationId xmlns:a16="http://schemas.microsoft.com/office/drawing/2014/main" id="{7AA10870-11FF-45D9-B96E-8A0D28966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14</xdr:row>
      <xdr:rowOff>0</xdr:rowOff>
    </xdr:from>
    <xdr:to>
      <xdr:col>20</xdr:col>
      <xdr:colOff>9525</xdr:colOff>
      <xdr:row>33</xdr:row>
      <xdr:rowOff>180974</xdr:rowOff>
    </xdr:to>
    <xdr:graphicFrame macro="">
      <xdr:nvGraphicFramePr>
        <xdr:cNvPr id="9" name="Chart 8">
          <a:extLst>
            <a:ext uri="{FF2B5EF4-FFF2-40B4-BE49-F238E27FC236}">
              <a16:creationId xmlns:a16="http://schemas.microsoft.com/office/drawing/2014/main" id="{65259331-E5D7-4C6A-9F47-F2A1F9E24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460.582397106482" createdVersion="6" refreshedVersion="7" minRefreshableVersion="3" recordCount="7" xr:uid="{38A7E628-D863-418C-A459-753F0DBFEB86}">
  <cacheSource type="worksheet">
    <worksheetSource name="Table2"/>
  </cacheSource>
  <cacheFields count="4">
    <cacheField name="AREA OF STANDARD" numFmtId="0">
      <sharedItems count="7">
        <s v="4 Context of the organization"/>
        <s v="5 Leadership"/>
        <s v="6 Planning"/>
        <s v="7 Support"/>
        <s v="8 Operation"/>
        <s v="9 Performance evaluation"/>
        <s v="10 Improvement"/>
      </sharedItems>
    </cacheField>
    <cacheField name="REQS IN SECTION" numFmtId="0">
      <sharedItems containsSemiMixedTypes="0" containsString="0" containsNumber="1" containsInteger="1" minValue="3" maxValue="25"/>
    </cacheField>
    <cacheField name="NO OF REQS MET" numFmtId="0">
      <sharedItems containsSemiMixedTypes="0" containsString="0" containsNumber="1" containsInteger="1" minValue="3" maxValue="25"/>
    </cacheField>
    <cacheField name="PERCENTAGE CONFORMITY" numFmtId="9">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9"/>
    <n v="9"/>
    <n v="1"/>
  </r>
  <r>
    <x v="1"/>
    <n v="9"/>
    <n v="9"/>
    <n v="1"/>
  </r>
  <r>
    <x v="2"/>
    <n v="7"/>
    <n v="7"/>
    <n v="1"/>
  </r>
  <r>
    <x v="3"/>
    <n v="10"/>
    <n v="10"/>
    <n v="1"/>
  </r>
  <r>
    <x v="4"/>
    <n v="25"/>
    <n v="25"/>
    <n v="1"/>
  </r>
  <r>
    <x v="5"/>
    <n v="8"/>
    <n v="8"/>
    <n v="1"/>
  </r>
  <r>
    <x v="6"/>
    <n v="3"/>
    <n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6F68DE-9C56-4845-BB9D-EAE8F8710DD8}" name="ComplianceResultsPivotTable"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compact="0" compactData="0" multipleFieldFilters="0" chartFormat="3">
  <location ref="B6:D13" firstHeaderRow="0" firstDataRow="1" firstDataCol="1"/>
  <pivotFields count="4">
    <pivotField axis="axisRow" compact="0" outline="0" showAll="0" defaultSubtotal="0">
      <items count="7">
        <item x="6"/>
        <item x="5"/>
        <item x="4"/>
        <item x="3"/>
        <item x="2"/>
        <item x="1"/>
        <item x="0"/>
      </items>
    </pivotField>
    <pivotField dataField="1" compact="0" outline="0" showAll="0" defaultSubtotal="0"/>
    <pivotField dataField="1" compact="0" outline="0" showAll="0" defaultSubtotal="0"/>
    <pivotField compact="0" numFmtId="9" outline="0" showAll="0" defaultSubtotal="0"/>
  </pivotFields>
  <rowFields count="1">
    <field x="0"/>
  </rowFields>
  <rowItems count="7">
    <i>
      <x/>
    </i>
    <i>
      <x v="1"/>
    </i>
    <i>
      <x v="2"/>
    </i>
    <i>
      <x v="3"/>
    </i>
    <i>
      <x v="4"/>
    </i>
    <i>
      <x v="5"/>
    </i>
    <i>
      <x v="6"/>
    </i>
  </rowItems>
  <colFields count="1">
    <field x="-2"/>
  </colFields>
  <colItems count="2">
    <i>
      <x/>
    </i>
    <i i="1">
      <x v="1"/>
    </i>
  </colItems>
  <dataFields count="2">
    <dataField name="REQS IN SECTION " fld="1" baseField="0" baseItem="0"/>
    <dataField name="NO OF REQS MET " fld="2" baseField="0" baseItem="0"/>
  </dataFields>
  <formats count="10">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grandRow="1" outline="0" fieldPosition="0"/>
    </format>
    <format dxfId="15">
      <pivotArea field="0" type="button" dataOnly="0" labelOnly="1" outline="0" axis="axisRow" fieldPosition="0"/>
    </format>
    <format dxfId="14">
      <pivotArea dataOnly="0" labelOnly="1" outline="0" fieldPosition="0">
        <references count="1">
          <reference field="4294967294" count="2">
            <x v="0"/>
            <x v="1"/>
          </reference>
        </references>
      </pivotArea>
    </format>
    <format dxfId="13">
      <pivotArea field="0" type="button" dataOnly="0" labelOnly="1" outline="0" axis="axisRow" fieldPosition="0"/>
    </format>
    <format dxfId="12">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CF334A-6254-44B9-8882-60D4230AFDDB}" name="%ComplianceChartPivot"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compact="0" compactData="0" multipleFieldFilters="0" chartFormat="3">
  <location ref="B6:C13" firstHeaderRow="1" firstDataRow="1" firstDataCol="1"/>
  <pivotFields count="4">
    <pivotField axis="axisRow" compact="0" outline="0" showAll="0" defaultSubtotal="0">
      <items count="7">
        <item x="0"/>
        <item x="1"/>
        <item x="2"/>
        <item x="3"/>
        <item x="4"/>
        <item x="5"/>
        <item x="6"/>
      </items>
    </pivotField>
    <pivotField compact="0" outline="0" showAll="0" defaultSubtotal="0"/>
    <pivotField compact="0" outline="0" showAll="0" defaultSubtotal="0"/>
    <pivotField dataField="1" compact="0" numFmtId="9" outline="0" showAll="0" defaultSubtotal="0"/>
  </pivotFields>
  <rowFields count="1">
    <field x="0"/>
  </rowFields>
  <rowItems count="7">
    <i>
      <x/>
    </i>
    <i>
      <x v="1"/>
    </i>
    <i>
      <x v="2"/>
    </i>
    <i>
      <x v="3"/>
    </i>
    <i>
      <x v="4"/>
    </i>
    <i>
      <x v="5"/>
    </i>
    <i>
      <x v="6"/>
    </i>
  </rowItems>
  <colItems count="1">
    <i/>
  </colItems>
  <dataFields count="1">
    <dataField name="PERCENTAGE CONFORMANT" fld="3" baseField="0" baseItem="0" numFmtId="9"/>
  </dataFields>
  <formats count="7">
    <format dxfId="11">
      <pivotArea field="0" type="button" dataOnly="0" labelOnly="1" outline="0" axis="axisRow" fieldPosition="0"/>
    </format>
    <format dxfId="10">
      <pivotArea dataOnly="0" labelOnly="1" outline="0" fieldPosition="0">
        <references count="1">
          <reference field="4294967294" count="1">
            <x v="0"/>
          </reference>
        </references>
      </pivotArea>
    </format>
    <format dxfId="9">
      <pivotArea field="0" type="button" dataOnly="0" labelOnly="1" outline="0" axis="axisRow" fieldPosition="0"/>
    </format>
    <format dxfId="8">
      <pivotArea dataOnly="0" labelOnly="1" outline="0" fieldPosition="0">
        <references count="1">
          <reference field="4294967294" count="1">
            <x v="0"/>
          </reference>
        </references>
      </pivotArea>
    </format>
    <format dxfId="7">
      <pivotArea outline="0" fieldPosition="0">
        <references count="1">
          <reference field="4294967294" count="1">
            <x v="0"/>
          </reference>
        </references>
      </pivotArea>
    </format>
    <format dxfId="6">
      <pivotArea dataOnly="0" labelOnly="1" outline="0" axis="axisValues" fieldPosition="0"/>
    </format>
    <format dxfId="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026E6-0677-48C5-909E-795271CF24F7}" name="%ComplianceRadarPivot" cacheId="3" applyNumberFormats="0" applyBorderFormats="0" applyFontFormats="0" applyPatternFormats="0" applyAlignmentFormats="0" applyWidthHeightFormats="1" dataCaption="Values" updatedVersion="7" minRefreshableVersion="3" useAutoFormatting="1" rowGrandTotals="0" colGrandTotals="0" itemPrintTitles="1" createdVersion="6" indent="0" compact="0" compactData="0" multipleFieldFilters="0" chartFormat="10">
  <location ref="B6:C13" firstHeaderRow="1" firstDataRow="1" firstDataCol="1"/>
  <pivotFields count="4">
    <pivotField axis="axisRow" compact="0" outline="0" showAll="0" defaultSubtotal="0">
      <items count="7">
        <item x="0"/>
        <item x="1"/>
        <item x="2"/>
        <item x="3"/>
        <item x="4"/>
        <item x="5"/>
        <item x="6"/>
      </items>
    </pivotField>
    <pivotField compact="0" outline="0" showAll="0" defaultSubtotal="0"/>
    <pivotField compact="0" outline="0" showAll="0" defaultSubtotal="0"/>
    <pivotField dataField="1" compact="0" numFmtId="9" outline="0" showAll="0" defaultSubtotal="0"/>
  </pivotFields>
  <rowFields count="1">
    <field x="0"/>
  </rowFields>
  <rowItems count="7">
    <i>
      <x/>
    </i>
    <i>
      <x v="1"/>
    </i>
    <i>
      <x v="2"/>
    </i>
    <i>
      <x v="3"/>
    </i>
    <i>
      <x v="4"/>
    </i>
    <i>
      <x v="5"/>
    </i>
    <i>
      <x v="6"/>
    </i>
  </rowItems>
  <colItems count="1">
    <i/>
  </colItems>
  <dataFields count="1">
    <dataField name="PERCENTAGE CONFORMITY " fld="3" baseField="0" baseItem="0" numFmtId="9"/>
  </dataFields>
  <formats count="5">
    <format dxfId="4">
      <pivotArea field="0" type="button" dataOnly="0" labelOnly="1" outline="0" axis="axisRow" fieldPosition="0"/>
    </format>
    <format dxfId="3">
      <pivotArea dataOnly="0" labelOnly="1" outline="0" axis="axisValues" fieldPosition="0"/>
    </format>
    <format dxfId="2">
      <pivotArea field="0" type="button" dataOnly="0" labelOnly="1" outline="0" axis="axisRow" fieldPosition="0"/>
    </format>
    <format dxfId="1">
      <pivotArea dataOnly="0" labelOnly="1" outline="0" axis="axisValues" fieldPosition="0"/>
    </format>
    <format dxfId="0">
      <pivotArea outline="0" fieldPosition="0">
        <references count="1">
          <reference field="4294967294" count="1">
            <x v="0"/>
          </reference>
        </references>
      </pivotArea>
    </format>
  </formats>
  <chartFormats count="2">
    <chartFormat chart="8"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DFA3F9-DBFE-4334-BC59-03952BE64F04}" name="Table25" displayName="Table25" ref="B13:E21" totalsRowCount="1" headerRowDxfId="41" totalsRowDxfId="40">
  <autoFilter ref="B13:E20" xr:uid="{9FE8EE73-EAF4-404B-A90E-56734E4B7F74}"/>
  <tableColumns count="4">
    <tableColumn id="1" xr3:uid="{83531537-65DA-4424-BA51-DA412E95BBC4}" name="AREA OF STANDARD" totalsRowLabel="Total" dataDxfId="39" totalsRowDxfId="38"/>
    <tableColumn id="2" xr3:uid="{D579D146-B8C4-47DD-9ADC-69A705DDDB4C}" name="REQS IN SECTION" totalsRowFunction="sum" dataDxfId="37" totalsRowDxfId="36"/>
    <tableColumn id="3" xr3:uid="{367FE6A6-726E-4831-9F20-D64BB2CD6B00}" name="NO OF REQS MET" totalsRowFunction="sum" dataDxfId="35" totalsRowDxfId="34"/>
    <tableColumn id="4" xr3:uid="{E8BB02B0-7F73-4C04-B077-AB40C90822E7}" name="PERCENTAGE CONFORMITY" totalsRowFunction="custom" dataDxfId="33" totalsRowDxfId="32">
      <calculatedColumnFormula>+D14/C14</calculatedColumnFormula>
      <totalsRowFormula>IMDIV(D21,C21)*1</totalsRowFormula>
    </tableColumn>
  </tableColumns>
  <tableStyleInfo name="CertiKit table styl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3B9C4C-6CE5-49FB-8D14-E8599B0F5C92}" name="Table2" displayName="Table2" ref="B6:E14" totalsRowCount="1" headerRowDxfId="31" totalsRowDxfId="30">
  <autoFilter ref="B6:E13" xr:uid="{668FF3E2-5B2F-464F-A28D-DB8527D67DE9}"/>
  <tableColumns count="4">
    <tableColumn id="1" xr3:uid="{15AE8FD0-8BA1-49BE-9A4C-B2A4DF10A97C}" name="AREA OF STANDARD" totalsRowLabel="Total" dataDxfId="29" totalsRowDxfId="28"/>
    <tableColumn id="2" xr3:uid="{E7CC2918-DFC1-4DF1-A8FD-0FC47D15E695}" name="REQS IN SECTION" totalsRowFunction="sum" dataDxfId="27" totalsRowDxfId="26"/>
    <tableColumn id="3" xr3:uid="{B1D1D1CF-10AD-4C35-B971-644F031988F8}" name="NO OF REQS MET" totalsRowFunction="sum" dataDxfId="25" totalsRowDxfId="24"/>
    <tableColumn id="4" xr3:uid="{9D9520DC-EB21-47C5-A7D7-A3ECF2EBB29B}" name="PERCENTAGE CONFORMITY" totalsRowFunction="custom" dataDxfId="23" totalsRowDxfId="22">
      <calculatedColumnFormula>+D7/C7</calculatedColumnFormula>
      <totalsRowFormula>IMDIV(D14,C14)*1</totalsRow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colours (new)">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90B0-98A7-49D5-AD8D-6D63D4FC13CE}">
  <dimension ref="A2:B28"/>
  <sheetViews>
    <sheetView showGridLines="0" tabSelected="1" zoomScaleNormal="100" workbookViewId="0"/>
  </sheetViews>
  <sheetFormatPr defaultColWidth="9.28515625" defaultRowHeight="15" x14ac:dyDescent="0.25"/>
  <cols>
    <col min="1" max="1" width="2.7109375" style="2" customWidth="1"/>
    <col min="2" max="2" width="93.28515625" style="2" customWidth="1"/>
    <col min="3" max="16384" width="9.28515625" style="2"/>
  </cols>
  <sheetData>
    <row r="2" spans="1:2" x14ac:dyDescent="0.25">
      <c r="B2" s="3"/>
    </row>
    <row r="3" spans="1:2" x14ac:dyDescent="0.25">
      <c r="B3" s="3"/>
    </row>
    <row r="4" spans="1:2" x14ac:dyDescent="0.25">
      <c r="B4" s="3"/>
    </row>
    <row r="5" spans="1:2" x14ac:dyDescent="0.25">
      <c r="B5" s="3"/>
    </row>
    <row r="6" spans="1:2" x14ac:dyDescent="0.25">
      <c r="B6" s="3"/>
    </row>
    <row r="7" spans="1:2" x14ac:dyDescent="0.25">
      <c r="B7" s="3"/>
    </row>
    <row r="8" spans="1:2" ht="38.25" x14ac:dyDescent="0.25">
      <c r="B8" s="1" t="s">
        <v>0</v>
      </c>
    </row>
    <row r="10" spans="1:2" ht="51" x14ac:dyDescent="0.25">
      <c r="B10" s="1" t="s">
        <v>15</v>
      </c>
    </row>
    <row r="12" spans="1:2" ht="51" x14ac:dyDescent="0.25">
      <c r="B12" s="1" t="s">
        <v>179</v>
      </c>
    </row>
    <row r="14" spans="1:2" ht="36" x14ac:dyDescent="0.25">
      <c r="A14" s="27"/>
      <c r="B14" s="1" t="s">
        <v>19</v>
      </c>
    </row>
    <row r="15" spans="1:2" x14ac:dyDescent="0.25">
      <c r="A15" s="27"/>
      <c r="B15" s="5"/>
    </row>
    <row r="16" spans="1:2" ht="171" x14ac:dyDescent="0.25">
      <c r="B16" s="1" t="s">
        <v>20</v>
      </c>
    </row>
    <row r="18" spans="2:2" ht="51" x14ac:dyDescent="0.25">
      <c r="B18" s="1" t="s">
        <v>21</v>
      </c>
    </row>
    <row r="20" spans="2:2" ht="36" x14ac:dyDescent="0.25">
      <c r="B20" s="1" t="s">
        <v>22</v>
      </c>
    </row>
    <row r="22" spans="2:2" ht="66" x14ac:dyDescent="0.25">
      <c r="B22" s="1" t="s">
        <v>1</v>
      </c>
    </row>
    <row r="24" spans="2:2" ht="96" x14ac:dyDescent="0.25">
      <c r="B24" s="1" t="s">
        <v>2</v>
      </c>
    </row>
    <row r="26" spans="2:2" ht="246" x14ac:dyDescent="0.25">
      <c r="B26" s="1" t="s">
        <v>3</v>
      </c>
    </row>
    <row r="27" spans="2:2" ht="15.75" thickBot="1" x14ac:dyDescent="0.3">
      <c r="B27" s="28"/>
    </row>
    <row r="28" spans="2:2" ht="15.75" thickTop="1" x14ac:dyDescent="0.25"/>
  </sheetData>
  <pageMargins left="0.70866141732283472" right="0.70866141732283472" top="0.74803149606299213" bottom="0.74803149606299213" header="0.31496062992125984" footer="0.31496062992125984"/>
  <pageSetup paperSize="9" orientation="portrait"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D5EE7-97AF-4393-A360-8445EAC27DE5}">
  <dimension ref="B2:C16"/>
  <sheetViews>
    <sheetView showGridLines="0" zoomScaleNormal="100" workbookViewId="0"/>
  </sheetViews>
  <sheetFormatPr defaultColWidth="9.28515625" defaultRowHeight="15" x14ac:dyDescent="0.25"/>
  <cols>
    <col min="1" max="1" width="2.7109375" style="2" customWidth="1"/>
    <col min="2" max="2" width="22" style="2" customWidth="1"/>
    <col min="3" max="3" width="63.28515625" style="2" customWidth="1"/>
    <col min="4" max="16384" width="9.28515625" style="2"/>
  </cols>
  <sheetData>
    <row r="2" spans="2:3" x14ac:dyDescent="0.25">
      <c r="B2" s="3"/>
    </row>
    <row r="3" spans="2:3" x14ac:dyDescent="0.25">
      <c r="B3" s="3"/>
    </row>
    <row r="4" spans="2:3" x14ac:dyDescent="0.25">
      <c r="B4" s="3"/>
    </row>
    <row r="5" spans="2:3" x14ac:dyDescent="0.25">
      <c r="B5" s="3"/>
    </row>
    <row r="6" spans="2:3" x14ac:dyDescent="0.25">
      <c r="B6" s="3"/>
    </row>
    <row r="8" spans="2:3" ht="21" x14ac:dyDescent="0.25">
      <c r="B8" s="6" t="s">
        <v>16</v>
      </c>
      <c r="C8" s="29"/>
    </row>
    <row r="9" spans="2:3" x14ac:dyDescent="0.25">
      <c r="B9" s="29"/>
      <c r="C9" s="29"/>
    </row>
    <row r="10" spans="2:3" ht="30" x14ac:dyDescent="0.25">
      <c r="B10" s="7" t="s">
        <v>4</v>
      </c>
      <c r="C10" s="30"/>
    </row>
    <row r="11" spans="2:3" ht="30" x14ac:dyDescent="0.25">
      <c r="B11" s="7" t="s">
        <v>23</v>
      </c>
      <c r="C11" s="30"/>
    </row>
    <row r="12" spans="2:3" ht="30" x14ac:dyDescent="0.25">
      <c r="B12" s="7" t="s">
        <v>5</v>
      </c>
      <c r="C12" s="30"/>
    </row>
    <row r="13" spans="2:3" ht="30" x14ac:dyDescent="0.25">
      <c r="B13" s="7" t="s">
        <v>6</v>
      </c>
      <c r="C13" s="30"/>
    </row>
    <row r="14" spans="2:3" ht="30" x14ac:dyDescent="0.25">
      <c r="B14" s="7" t="s">
        <v>7</v>
      </c>
      <c r="C14" s="30"/>
    </row>
    <row r="15" spans="2:3" ht="30" x14ac:dyDescent="0.25">
      <c r="B15" s="7" t="s">
        <v>8</v>
      </c>
      <c r="C15" s="30"/>
    </row>
    <row r="16" spans="2:3" ht="30" x14ac:dyDescent="0.25">
      <c r="B16" s="7" t="s">
        <v>9</v>
      </c>
      <c r="C16" s="30"/>
    </row>
  </sheetData>
  <pageMargins left="0.70866141732283472" right="0.70866141732283472" top="0.74803149606299213" bottom="0.74803149606299213" header="0.31496062992125984" footer="0.31496062992125984"/>
  <pageSetup paperSize="9" scale="90" orientation="portrait" horizontalDpi="1200" verticalDpi="1200" r:id="rId1"/>
  <headerFooter>
    <oddFooter>&amp;L&amp;D&amp;CPage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860F-FF99-4077-B30E-57E574BD013C}">
  <sheetPr>
    <pageSetUpPr fitToPage="1"/>
  </sheetPr>
  <dimension ref="B2:G108"/>
  <sheetViews>
    <sheetView showGridLines="0" zoomScaleNormal="100" workbookViewId="0"/>
  </sheetViews>
  <sheetFormatPr defaultColWidth="9.28515625" defaultRowHeight="15" x14ac:dyDescent="0.25"/>
  <cols>
    <col min="1" max="1" width="2.7109375" style="32" customWidth="1"/>
    <col min="2" max="2" width="58.28515625" style="32" customWidth="1"/>
    <col min="3" max="3" width="37.5703125" style="32" customWidth="1"/>
    <col min="4" max="4" width="41" style="32" customWidth="1"/>
    <col min="5" max="5" width="11.28515625" style="33" customWidth="1"/>
    <col min="6" max="6" width="29.28515625" style="32" customWidth="1"/>
    <col min="7" max="7" width="23.28515625" style="32" customWidth="1"/>
    <col min="8" max="16384" width="9.28515625" style="32"/>
  </cols>
  <sheetData>
    <row r="2" spans="2:7" x14ac:dyDescent="0.25">
      <c r="B2" s="31"/>
    </row>
    <row r="3" spans="2:7" x14ac:dyDescent="0.25">
      <c r="B3" s="31"/>
    </row>
    <row r="4" spans="2:7" x14ac:dyDescent="0.25">
      <c r="B4" s="31"/>
    </row>
    <row r="5" spans="2:7" ht="15.75" x14ac:dyDescent="0.25">
      <c r="B5" s="31"/>
      <c r="F5" s="11"/>
    </row>
    <row r="6" spans="2:7" ht="15.75" x14ac:dyDescent="0.25">
      <c r="B6" s="31"/>
      <c r="E6" s="34" t="s">
        <v>24</v>
      </c>
    </row>
    <row r="7" spans="2:7" x14ac:dyDescent="0.25">
      <c r="B7" s="31"/>
      <c r="E7" s="35" t="s">
        <v>25</v>
      </c>
    </row>
    <row r="9" spans="2:7" ht="21" customHeight="1" x14ac:dyDescent="0.25">
      <c r="B9" s="14" t="s">
        <v>26</v>
      </c>
      <c r="C9" s="14" t="s">
        <v>27</v>
      </c>
      <c r="D9" s="14" t="s">
        <v>28</v>
      </c>
      <c r="E9" s="36" t="s">
        <v>29</v>
      </c>
      <c r="F9" s="14" t="s">
        <v>30</v>
      </c>
      <c r="G9" s="14" t="s">
        <v>10</v>
      </c>
    </row>
    <row r="11" spans="2:7" ht="21" x14ac:dyDescent="0.25">
      <c r="B11" s="37" t="s">
        <v>31</v>
      </c>
    </row>
    <row r="12" spans="2:7" ht="30" x14ac:dyDescent="0.25">
      <c r="B12" s="32" t="s">
        <v>32</v>
      </c>
      <c r="D12" s="32" t="s">
        <v>33</v>
      </c>
      <c r="E12" s="38" t="s">
        <v>11</v>
      </c>
    </row>
    <row r="13" spans="2:7" ht="75" x14ac:dyDescent="0.25">
      <c r="D13" s="32" t="s">
        <v>34</v>
      </c>
      <c r="E13" s="38" t="s">
        <v>11</v>
      </c>
    </row>
    <row r="14" spans="2:7" ht="45" x14ac:dyDescent="0.25">
      <c r="D14" s="32" t="s">
        <v>35</v>
      </c>
      <c r="E14" s="38" t="s">
        <v>11</v>
      </c>
    </row>
    <row r="15" spans="2:7" ht="30" x14ac:dyDescent="0.25">
      <c r="B15" s="32" t="s">
        <v>36</v>
      </c>
      <c r="C15" s="32" t="s">
        <v>37</v>
      </c>
      <c r="D15" s="32" t="s">
        <v>38</v>
      </c>
      <c r="E15" s="38" t="s">
        <v>11</v>
      </c>
    </row>
    <row r="16" spans="2:7" ht="45" x14ac:dyDescent="0.25">
      <c r="C16" s="32" t="s">
        <v>39</v>
      </c>
      <c r="D16" s="32" t="s">
        <v>40</v>
      </c>
      <c r="E16" s="38" t="s">
        <v>11</v>
      </c>
    </row>
    <row r="17" spans="2:7" ht="30" x14ac:dyDescent="0.25">
      <c r="D17" s="32" t="s">
        <v>41</v>
      </c>
      <c r="E17" s="38" t="s">
        <v>11</v>
      </c>
    </row>
    <row r="18" spans="2:7" ht="30" x14ac:dyDescent="0.25">
      <c r="B18" s="32" t="s">
        <v>42</v>
      </c>
      <c r="C18" s="32" t="s">
        <v>43</v>
      </c>
      <c r="D18" s="32" t="s">
        <v>44</v>
      </c>
      <c r="E18" s="38" t="s">
        <v>11</v>
      </c>
    </row>
    <row r="19" spans="2:7" ht="30" x14ac:dyDescent="0.25">
      <c r="C19" s="32" t="s">
        <v>45</v>
      </c>
      <c r="D19" s="32" t="s">
        <v>46</v>
      </c>
      <c r="E19" s="38" t="s">
        <v>11</v>
      </c>
    </row>
    <row r="20" spans="2:7" ht="30" x14ac:dyDescent="0.25">
      <c r="B20" s="32" t="s">
        <v>47</v>
      </c>
      <c r="D20" s="32" t="s">
        <v>48</v>
      </c>
      <c r="E20" s="38" t="s">
        <v>11</v>
      </c>
    </row>
    <row r="22" spans="2:7" x14ac:dyDescent="0.25">
      <c r="B22" s="39"/>
      <c r="C22" s="39"/>
      <c r="D22" s="12" t="s">
        <v>49</v>
      </c>
      <c r="E22" s="13">
        <f>+COUNTIF(E12:E20,"Yes")</f>
        <v>9</v>
      </c>
      <c r="F22" s="39"/>
      <c r="G22" s="39"/>
    </row>
    <row r="23" spans="2:7" x14ac:dyDescent="0.25">
      <c r="E23" s="38"/>
    </row>
    <row r="24" spans="2:7" ht="21" x14ac:dyDescent="0.25">
      <c r="B24" s="37" t="s">
        <v>50</v>
      </c>
      <c r="E24" s="38"/>
    </row>
    <row r="25" spans="2:7" ht="30" x14ac:dyDescent="0.25">
      <c r="B25" s="32" t="s">
        <v>51</v>
      </c>
      <c r="D25" s="32" t="s">
        <v>52</v>
      </c>
      <c r="E25" s="38" t="s">
        <v>11</v>
      </c>
    </row>
    <row r="26" spans="2:7" ht="30" x14ac:dyDescent="0.25">
      <c r="D26" s="32" t="s">
        <v>53</v>
      </c>
      <c r="E26" s="38" t="s">
        <v>11</v>
      </c>
    </row>
    <row r="27" spans="2:7" ht="60" x14ac:dyDescent="0.25">
      <c r="D27" s="32" t="s">
        <v>54</v>
      </c>
      <c r="E27" s="38" t="s">
        <v>11</v>
      </c>
    </row>
    <row r="28" spans="2:7" ht="45" x14ac:dyDescent="0.25">
      <c r="D28" s="32" t="s">
        <v>55</v>
      </c>
      <c r="E28" s="38" t="s">
        <v>11</v>
      </c>
    </row>
    <row r="29" spans="2:7" ht="30" x14ac:dyDescent="0.25">
      <c r="B29" s="32" t="s">
        <v>56</v>
      </c>
      <c r="C29" s="32" t="s">
        <v>57</v>
      </c>
      <c r="D29" s="32" t="s">
        <v>58</v>
      </c>
      <c r="E29" s="38" t="s">
        <v>11</v>
      </c>
    </row>
    <row r="30" spans="2:7" x14ac:dyDescent="0.25">
      <c r="D30" s="32" t="s">
        <v>59</v>
      </c>
      <c r="E30" s="38" t="s">
        <v>11</v>
      </c>
    </row>
    <row r="31" spans="2:7" ht="45" x14ac:dyDescent="0.25">
      <c r="D31" s="32" t="s">
        <v>60</v>
      </c>
      <c r="E31" s="38" t="s">
        <v>11</v>
      </c>
    </row>
    <row r="32" spans="2:7" ht="30" x14ac:dyDescent="0.25">
      <c r="C32" s="32" t="s">
        <v>61</v>
      </c>
      <c r="D32" s="32" t="s">
        <v>62</v>
      </c>
      <c r="E32" s="38" t="s">
        <v>11</v>
      </c>
    </row>
    <row r="33" spans="2:7" ht="45" x14ac:dyDescent="0.25">
      <c r="B33" s="32" t="s">
        <v>63</v>
      </c>
      <c r="D33" s="32" t="s">
        <v>64</v>
      </c>
      <c r="E33" s="38" t="s">
        <v>11</v>
      </c>
    </row>
    <row r="35" spans="2:7" x14ac:dyDescent="0.25">
      <c r="B35" s="39"/>
      <c r="C35" s="39"/>
      <c r="D35" s="12" t="s">
        <v>49</v>
      </c>
      <c r="E35" s="13">
        <f>+COUNTIF(E25:E33,"Yes")</f>
        <v>9</v>
      </c>
      <c r="F35" s="39"/>
      <c r="G35" s="39"/>
    </row>
    <row r="37" spans="2:7" ht="21" x14ac:dyDescent="0.25">
      <c r="B37" s="37" t="s">
        <v>65</v>
      </c>
    </row>
    <row r="38" spans="2:7" ht="45" x14ac:dyDescent="0.25">
      <c r="B38" s="32" t="s">
        <v>66</v>
      </c>
      <c r="C38" s="32" t="s">
        <v>67</v>
      </c>
      <c r="D38" s="32" t="s">
        <v>68</v>
      </c>
      <c r="E38" s="38" t="s">
        <v>11</v>
      </c>
    </row>
    <row r="39" spans="2:7" ht="30" x14ac:dyDescent="0.25">
      <c r="D39" s="32" t="s">
        <v>69</v>
      </c>
      <c r="E39" s="38" t="s">
        <v>11</v>
      </c>
    </row>
    <row r="40" spans="2:7" ht="30" x14ac:dyDescent="0.25">
      <c r="C40" s="32" t="s">
        <v>70</v>
      </c>
      <c r="D40" s="32" t="s">
        <v>71</v>
      </c>
      <c r="E40" s="38" t="s">
        <v>11</v>
      </c>
    </row>
    <row r="41" spans="2:7" ht="45" x14ac:dyDescent="0.25">
      <c r="B41" s="32" t="s">
        <v>72</v>
      </c>
      <c r="C41" s="32" t="s">
        <v>73</v>
      </c>
      <c r="D41" s="32" t="s">
        <v>74</v>
      </c>
      <c r="E41" s="38" t="s">
        <v>11</v>
      </c>
    </row>
    <row r="42" spans="2:7" ht="30" x14ac:dyDescent="0.25">
      <c r="C42" s="32" t="s">
        <v>75</v>
      </c>
      <c r="D42" s="32" t="s">
        <v>76</v>
      </c>
      <c r="E42" s="38" t="s">
        <v>11</v>
      </c>
    </row>
    <row r="43" spans="2:7" ht="30" x14ac:dyDescent="0.25">
      <c r="D43" s="32" t="s">
        <v>77</v>
      </c>
      <c r="E43" s="38" t="s">
        <v>11</v>
      </c>
    </row>
    <row r="44" spans="2:7" ht="30" x14ac:dyDescent="0.25">
      <c r="B44" s="32" t="s">
        <v>78</v>
      </c>
      <c r="D44" s="32" t="s">
        <v>79</v>
      </c>
      <c r="E44" s="38" t="s">
        <v>11</v>
      </c>
    </row>
    <row r="46" spans="2:7" x14ac:dyDescent="0.25">
      <c r="B46" s="39"/>
      <c r="C46" s="39"/>
      <c r="D46" s="12" t="s">
        <v>49</v>
      </c>
      <c r="E46" s="13">
        <f>+COUNTIF(E38:E44,"Yes")</f>
        <v>7</v>
      </c>
      <c r="F46" s="39"/>
      <c r="G46" s="39"/>
    </row>
    <row r="48" spans="2:7" ht="21" x14ac:dyDescent="0.25">
      <c r="B48" s="37" t="s">
        <v>80</v>
      </c>
    </row>
    <row r="49" spans="2:7" ht="30" x14ac:dyDescent="0.25">
      <c r="B49" s="32" t="s">
        <v>81</v>
      </c>
      <c r="D49" s="32" t="s">
        <v>82</v>
      </c>
      <c r="E49" s="38" t="s">
        <v>11</v>
      </c>
    </row>
    <row r="50" spans="2:7" ht="30" x14ac:dyDescent="0.25">
      <c r="B50" s="32" t="s">
        <v>83</v>
      </c>
      <c r="D50" s="32" t="s">
        <v>84</v>
      </c>
      <c r="E50" s="38" t="s">
        <v>11</v>
      </c>
    </row>
    <row r="51" spans="2:7" ht="30" x14ac:dyDescent="0.25">
      <c r="D51" s="32" t="s">
        <v>85</v>
      </c>
      <c r="E51" s="38" t="s">
        <v>11</v>
      </c>
    </row>
    <row r="52" spans="2:7" ht="45" x14ac:dyDescent="0.25">
      <c r="B52" s="32" t="s">
        <v>86</v>
      </c>
      <c r="D52" s="32" t="s">
        <v>87</v>
      </c>
      <c r="E52" s="38" t="s">
        <v>11</v>
      </c>
    </row>
    <row r="53" spans="2:7" ht="30" x14ac:dyDescent="0.25">
      <c r="B53" s="32" t="s">
        <v>88</v>
      </c>
      <c r="D53" s="32" t="s">
        <v>89</v>
      </c>
      <c r="E53" s="38" t="s">
        <v>11</v>
      </c>
    </row>
    <row r="54" spans="2:7" ht="30" x14ac:dyDescent="0.25">
      <c r="D54" s="32" t="s">
        <v>90</v>
      </c>
      <c r="E54" s="38" t="s">
        <v>11</v>
      </c>
    </row>
    <row r="55" spans="2:7" ht="30" x14ac:dyDescent="0.25">
      <c r="B55" s="32" t="s">
        <v>91</v>
      </c>
      <c r="C55" s="32" t="s">
        <v>92</v>
      </c>
      <c r="D55" s="32" t="s">
        <v>93</v>
      </c>
      <c r="E55" s="38" t="s">
        <v>11</v>
      </c>
    </row>
    <row r="56" spans="2:7" ht="45" x14ac:dyDescent="0.25">
      <c r="C56" s="32" t="s">
        <v>94</v>
      </c>
      <c r="D56" s="32" t="s">
        <v>95</v>
      </c>
      <c r="E56" s="38" t="s">
        <v>11</v>
      </c>
    </row>
    <row r="57" spans="2:7" ht="45" x14ac:dyDescent="0.25">
      <c r="C57" s="32" t="s">
        <v>96</v>
      </c>
      <c r="D57" s="32" t="s">
        <v>97</v>
      </c>
      <c r="E57" s="38" t="s">
        <v>11</v>
      </c>
    </row>
    <row r="58" spans="2:7" ht="30" x14ac:dyDescent="0.25">
      <c r="D58" s="32" t="s">
        <v>98</v>
      </c>
      <c r="E58" s="38" t="s">
        <v>11</v>
      </c>
    </row>
    <row r="60" spans="2:7" x14ac:dyDescent="0.25">
      <c r="B60" s="39"/>
      <c r="C60" s="39"/>
      <c r="D60" s="12" t="s">
        <v>49</v>
      </c>
      <c r="E60" s="13">
        <f>+COUNTIF(E49:E58,"Yes")</f>
        <v>10</v>
      </c>
      <c r="F60" s="39"/>
      <c r="G60" s="39"/>
    </row>
    <row r="62" spans="2:7" ht="21" x14ac:dyDescent="0.25">
      <c r="B62" s="37" t="s">
        <v>99</v>
      </c>
    </row>
    <row r="63" spans="2:7" ht="45" x14ac:dyDescent="0.25">
      <c r="B63" s="32" t="s">
        <v>100</v>
      </c>
      <c r="D63" s="32" t="s">
        <v>101</v>
      </c>
      <c r="E63" s="38" t="s">
        <v>11</v>
      </c>
    </row>
    <row r="64" spans="2:7" ht="45" x14ac:dyDescent="0.25">
      <c r="D64" s="32" t="s">
        <v>102</v>
      </c>
      <c r="E64" s="38" t="s">
        <v>11</v>
      </c>
    </row>
    <row r="65" spans="2:5" ht="30" x14ac:dyDescent="0.25">
      <c r="D65" s="32" t="s">
        <v>103</v>
      </c>
      <c r="E65" s="38" t="s">
        <v>11</v>
      </c>
    </row>
    <row r="66" spans="2:5" ht="45" x14ac:dyDescent="0.25">
      <c r="B66" s="32" t="s">
        <v>104</v>
      </c>
      <c r="C66" s="32" t="s">
        <v>105</v>
      </c>
      <c r="D66" s="32" t="s">
        <v>106</v>
      </c>
      <c r="E66" s="38" t="s">
        <v>11</v>
      </c>
    </row>
    <row r="67" spans="2:5" ht="45" x14ac:dyDescent="0.25">
      <c r="C67" s="32" t="s">
        <v>107</v>
      </c>
      <c r="D67" s="32" t="s">
        <v>108</v>
      </c>
      <c r="E67" s="38" t="s">
        <v>11</v>
      </c>
    </row>
    <row r="68" spans="2:5" ht="45" x14ac:dyDescent="0.25">
      <c r="C68" s="32" t="s">
        <v>109</v>
      </c>
      <c r="D68" s="32" t="s">
        <v>110</v>
      </c>
      <c r="E68" s="38" t="s">
        <v>11</v>
      </c>
    </row>
    <row r="69" spans="2:5" ht="30" x14ac:dyDescent="0.25">
      <c r="B69" s="32" t="s">
        <v>111</v>
      </c>
      <c r="C69" s="32" t="s">
        <v>112</v>
      </c>
      <c r="D69" s="32" t="s">
        <v>113</v>
      </c>
      <c r="E69" s="38" t="s">
        <v>11</v>
      </c>
    </row>
    <row r="70" spans="2:5" ht="45" x14ac:dyDescent="0.25">
      <c r="C70" s="32" t="s">
        <v>114</v>
      </c>
      <c r="D70" s="32" t="s">
        <v>115</v>
      </c>
      <c r="E70" s="38" t="s">
        <v>11</v>
      </c>
    </row>
    <row r="71" spans="2:5" ht="45" x14ac:dyDescent="0.25">
      <c r="C71" s="32" t="s">
        <v>116</v>
      </c>
      <c r="D71" s="32" t="s">
        <v>117</v>
      </c>
      <c r="E71" s="38" t="s">
        <v>11</v>
      </c>
    </row>
    <row r="72" spans="2:5" ht="30" x14ac:dyDescent="0.25">
      <c r="C72" s="32" t="s">
        <v>118</v>
      </c>
      <c r="D72" s="32" t="s">
        <v>119</v>
      </c>
      <c r="E72" s="38" t="s">
        <v>11</v>
      </c>
    </row>
    <row r="73" spans="2:5" ht="45" x14ac:dyDescent="0.25">
      <c r="C73" s="32" t="s">
        <v>120</v>
      </c>
      <c r="D73" s="32" t="s">
        <v>121</v>
      </c>
      <c r="E73" s="38" t="s">
        <v>11</v>
      </c>
    </row>
    <row r="74" spans="2:5" ht="45" x14ac:dyDescent="0.25">
      <c r="B74" s="32" t="s">
        <v>122</v>
      </c>
      <c r="C74" s="32" t="s">
        <v>123</v>
      </c>
      <c r="D74" s="32" t="s">
        <v>124</v>
      </c>
      <c r="E74" s="38" t="s">
        <v>11</v>
      </c>
    </row>
    <row r="75" spans="2:5" ht="30" x14ac:dyDescent="0.25">
      <c r="D75" s="32" t="s">
        <v>125</v>
      </c>
      <c r="E75" s="38" t="s">
        <v>11</v>
      </c>
    </row>
    <row r="76" spans="2:5" ht="30" x14ac:dyDescent="0.25">
      <c r="C76" s="32" t="s">
        <v>126</v>
      </c>
      <c r="D76" s="32" t="s">
        <v>127</v>
      </c>
      <c r="E76" s="38" t="s">
        <v>11</v>
      </c>
    </row>
    <row r="77" spans="2:5" ht="45" x14ac:dyDescent="0.25">
      <c r="D77" s="32" t="s">
        <v>128</v>
      </c>
      <c r="E77" s="38" t="s">
        <v>11</v>
      </c>
    </row>
    <row r="78" spans="2:5" ht="45" x14ac:dyDescent="0.25">
      <c r="C78" s="32" t="s">
        <v>129</v>
      </c>
      <c r="D78" s="32" t="s">
        <v>130</v>
      </c>
      <c r="E78" s="38" t="s">
        <v>11</v>
      </c>
    </row>
    <row r="79" spans="2:5" ht="30" x14ac:dyDescent="0.25">
      <c r="D79" s="32" t="s">
        <v>131</v>
      </c>
      <c r="E79" s="38" t="s">
        <v>11</v>
      </c>
    </row>
    <row r="80" spans="2:5" x14ac:dyDescent="0.25">
      <c r="D80" s="32" t="s">
        <v>132</v>
      </c>
      <c r="E80" s="38" t="s">
        <v>11</v>
      </c>
    </row>
    <row r="81" spans="2:7" ht="60" x14ac:dyDescent="0.25">
      <c r="C81" s="32" t="s">
        <v>133</v>
      </c>
      <c r="D81" s="32" t="s">
        <v>178</v>
      </c>
      <c r="E81" s="38" t="s">
        <v>11</v>
      </c>
    </row>
    <row r="82" spans="2:7" ht="45" x14ac:dyDescent="0.25">
      <c r="D82" s="32" t="s">
        <v>134</v>
      </c>
      <c r="E82" s="38" t="s">
        <v>11</v>
      </c>
    </row>
    <row r="83" spans="2:7" ht="30" x14ac:dyDescent="0.25">
      <c r="C83" s="32" t="s">
        <v>135</v>
      </c>
      <c r="D83" s="32" t="s">
        <v>136</v>
      </c>
      <c r="E83" s="38" t="s">
        <v>11</v>
      </c>
    </row>
    <row r="84" spans="2:7" ht="30" x14ac:dyDescent="0.25">
      <c r="B84" s="32" t="s">
        <v>137</v>
      </c>
      <c r="D84" s="32" t="s">
        <v>138</v>
      </c>
      <c r="E84" s="38" t="s">
        <v>11</v>
      </c>
    </row>
    <row r="85" spans="2:7" ht="30" x14ac:dyDescent="0.25">
      <c r="D85" s="32" t="s">
        <v>139</v>
      </c>
      <c r="E85" s="38" t="s">
        <v>11</v>
      </c>
    </row>
    <row r="86" spans="2:7" ht="45" x14ac:dyDescent="0.25">
      <c r="B86" s="32" t="s">
        <v>140</v>
      </c>
      <c r="D86" s="32" t="s">
        <v>141</v>
      </c>
      <c r="E86" s="38" t="s">
        <v>11</v>
      </c>
    </row>
    <row r="87" spans="2:7" ht="30" x14ac:dyDescent="0.25">
      <c r="D87" s="32" t="s">
        <v>142</v>
      </c>
      <c r="E87" s="38" t="s">
        <v>11</v>
      </c>
    </row>
    <row r="88" spans="2:7" x14ac:dyDescent="0.25">
      <c r="E88" s="38"/>
    </row>
    <row r="89" spans="2:7" x14ac:dyDescent="0.25">
      <c r="B89" s="39"/>
      <c r="C89" s="39"/>
      <c r="D89" s="12" t="s">
        <v>49</v>
      </c>
      <c r="E89" s="13">
        <f>+COUNTIF(E63:E87,"Yes")</f>
        <v>25</v>
      </c>
      <c r="F89" s="39"/>
      <c r="G89" s="39"/>
    </row>
    <row r="91" spans="2:7" ht="21" x14ac:dyDescent="0.25">
      <c r="B91" s="37" t="s">
        <v>143</v>
      </c>
    </row>
    <row r="92" spans="2:7" ht="45" x14ac:dyDescent="0.25">
      <c r="B92" s="32" t="s">
        <v>144</v>
      </c>
      <c r="D92" s="32" t="s">
        <v>145</v>
      </c>
      <c r="E92" s="38" t="s">
        <v>11</v>
      </c>
    </row>
    <row r="93" spans="2:7" ht="45.75" customHeight="1" x14ac:dyDescent="0.25">
      <c r="D93" s="32" t="s">
        <v>146</v>
      </c>
      <c r="E93" s="38" t="s">
        <v>11</v>
      </c>
    </row>
    <row r="94" spans="2:7" ht="30" x14ac:dyDescent="0.25">
      <c r="D94" s="32" t="s">
        <v>147</v>
      </c>
      <c r="E94" s="38" t="s">
        <v>11</v>
      </c>
    </row>
    <row r="95" spans="2:7" ht="45" x14ac:dyDescent="0.25">
      <c r="B95" s="32" t="s">
        <v>148</v>
      </c>
      <c r="C95" s="32" t="s">
        <v>149</v>
      </c>
      <c r="D95" s="32" t="s">
        <v>150</v>
      </c>
      <c r="E95" s="38" t="s">
        <v>11</v>
      </c>
    </row>
    <row r="96" spans="2:7" ht="30" x14ac:dyDescent="0.25">
      <c r="C96" s="32" t="s">
        <v>151</v>
      </c>
      <c r="D96" s="32" t="s">
        <v>152</v>
      </c>
      <c r="E96" s="38" t="s">
        <v>11</v>
      </c>
    </row>
    <row r="97" spans="2:7" ht="30" x14ac:dyDescent="0.25">
      <c r="B97" s="32" t="s">
        <v>153</v>
      </c>
      <c r="C97" s="32" t="s">
        <v>154</v>
      </c>
      <c r="D97" s="32" t="s">
        <v>155</v>
      </c>
      <c r="E97" s="38" t="s">
        <v>11</v>
      </c>
    </row>
    <row r="98" spans="2:7" ht="45" x14ac:dyDescent="0.25">
      <c r="C98" s="32" t="s">
        <v>156</v>
      </c>
      <c r="D98" s="32" t="s">
        <v>157</v>
      </c>
      <c r="E98" s="38" t="s">
        <v>11</v>
      </c>
    </row>
    <row r="99" spans="2:7" ht="45" x14ac:dyDescent="0.25">
      <c r="C99" s="32" t="s">
        <v>158</v>
      </c>
      <c r="D99" s="32" t="s">
        <v>159</v>
      </c>
      <c r="E99" s="38" t="s">
        <v>11</v>
      </c>
    </row>
    <row r="101" spans="2:7" x14ac:dyDescent="0.25">
      <c r="B101" s="39"/>
      <c r="C101" s="39"/>
      <c r="D101" s="12" t="s">
        <v>49</v>
      </c>
      <c r="E101" s="13">
        <f>+COUNTIF(E92:E99,"Yes")</f>
        <v>8</v>
      </c>
      <c r="F101" s="39"/>
      <c r="G101" s="39"/>
    </row>
    <row r="103" spans="2:7" ht="21" x14ac:dyDescent="0.25">
      <c r="B103" s="37" t="s">
        <v>160</v>
      </c>
    </row>
    <row r="104" spans="2:7" ht="30" x14ac:dyDescent="0.25">
      <c r="B104" s="32" t="s">
        <v>161</v>
      </c>
      <c r="D104" s="32" t="s">
        <v>162</v>
      </c>
      <c r="E104" s="38" t="s">
        <v>11</v>
      </c>
    </row>
    <row r="105" spans="2:7" ht="45" x14ac:dyDescent="0.25">
      <c r="D105" s="32" t="s">
        <v>163</v>
      </c>
      <c r="E105" s="38" t="s">
        <v>11</v>
      </c>
    </row>
    <row r="106" spans="2:7" x14ac:dyDescent="0.25">
      <c r="B106" s="32" t="s">
        <v>164</v>
      </c>
      <c r="D106" s="32" t="s">
        <v>165</v>
      </c>
      <c r="E106" s="38" t="s">
        <v>11</v>
      </c>
    </row>
    <row r="108" spans="2:7" x14ac:dyDescent="0.25">
      <c r="B108" s="39"/>
      <c r="C108" s="39"/>
      <c r="D108" s="12" t="s">
        <v>49</v>
      </c>
      <c r="E108" s="13">
        <f>+COUNTIF(E104:E106,"Yes")</f>
        <v>3</v>
      </c>
      <c r="F108" s="39"/>
      <c r="G108" s="39"/>
    </row>
  </sheetData>
  <dataValidations count="1">
    <dataValidation type="list" allowBlank="1" showInputMessage="1" showErrorMessage="1" sqref="E23:E33 E38:E44 E49:E58 E63:E88 E104:E106 E92:E99 E12:E20" xr:uid="{1E113B75-1B67-45A9-9FF2-EBEDAB54D164}">
      <formula1>"Yes,No"</formula1>
    </dataValidation>
  </dataValidations>
  <pageMargins left="0.70866141732283472" right="0.70866141732283472" top="0.74803149606299213" bottom="0.74803149606299213" header="0.31496062992125984" footer="0.31496062992125984"/>
  <pageSetup paperSize="9" scale="65" fitToHeight="0" orientation="landscape" horizontalDpi="1200" verticalDpi="1200" r:id="rId1"/>
  <headerFooter>
    <oddFooter>&amp;L&amp;D&amp;CPage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4ED5-C69F-4871-9B97-CD51A5F00A8D}">
  <sheetPr>
    <pageSetUpPr fitToPage="1"/>
  </sheetPr>
  <dimension ref="A2:T36"/>
  <sheetViews>
    <sheetView showGridLines="0" zoomScaleNormal="100" workbookViewId="0"/>
  </sheetViews>
  <sheetFormatPr defaultColWidth="9.28515625" defaultRowHeight="15" x14ac:dyDescent="0.25"/>
  <cols>
    <col min="1" max="1" width="2.7109375" style="2" customWidth="1"/>
    <col min="2" max="2" width="74.7109375" style="2" bestFit="1" customWidth="1"/>
    <col min="3" max="4" width="20.7109375" style="2" customWidth="1"/>
    <col min="5" max="5" width="30.7109375" style="2" customWidth="1"/>
    <col min="6" max="6" width="10.7109375" style="2" customWidth="1"/>
    <col min="7" max="16384" width="9.28515625" style="2"/>
  </cols>
  <sheetData>
    <row r="2" spans="2:20" x14ac:dyDescent="0.25">
      <c r="B2" s="3"/>
    </row>
    <row r="3" spans="2:20" x14ac:dyDescent="0.25">
      <c r="B3" s="3"/>
    </row>
    <row r="4" spans="2:20" x14ac:dyDescent="0.25">
      <c r="B4" s="3"/>
    </row>
    <row r="5" spans="2:20" x14ac:dyDescent="0.25">
      <c r="B5" s="3"/>
    </row>
    <row r="6" spans="2:20" x14ac:dyDescent="0.25">
      <c r="B6" s="3"/>
    </row>
    <row r="7" spans="2:20" x14ac:dyDescent="0.25">
      <c r="B7" s="3"/>
    </row>
    <row r="8" spans="2:20" s="47" customFormat="1" ht="21" x14ac:dyDescent="0.35">
      <c r="B8" s="46" t="s">
        <v>180</v>
      </c>
    </row>
    <row r="9" spans="2:20" ht="15.75" x14ac:dyDescent="0.25">
      <c r="B9" s="48" t="s">
        <v>18</v>
      </c>
    </row>
    <row r="10" spans="2:20" x14ac:dyDescent="0.25">
      <c r="B10" s="3"/>
    </row>
    <row r="11" spans="2:20" s="49" customFormat="1" ht="18.75" x14ac:dyDescent="0.25">
      <c r="B11" s="50" t="s">
        <v>12</v>
      </c>
    </row>
    <row r="12" spans="2:20" x14ac:dyDescent="0.25">
      <c r="B12" s="1"/>
    </row>
    <row r="13" spans="2:20" ht="20.100000000000001" customHeight="1" x14ac:dyDescent="0.25">
      <c r="B13" s="8" t="s">
        <v>166</v>
      </c>
      <c r="C13" s="8" t="s">
        <v>13</v>
      </c>
      <c r="D13" s="8" t="s">
        <v>167</v>
      </c>
      <c r="E13" s="8" t="s">
        <v>168</v>
      </c>
      <c r="F13" s="45"/>
      <c r="G13" s="21" t="s">
        <v>175</v>
      </c>
      <c r="H13" s="20"/>
      <c r="I13" s="20"/>
      <c r="J13" s="20"/>
      <c r="K13" s="20"/>
      <c r="L13" s="20"/>
      <c r="M13" s="20"/>
      <c r="N13" s="20"/>
      <c r="O13" s="20"/>
      <c r="P13" s="20"/>
      <c r="Q13" s="20"/>
      <c r="R13" s="20"/>
      <c r="S13" s="20"/>
      <c r="T13" s="20"/>
    </row>
    <row r="14" spans="2:20" x14ac:dyDescent="0.25">
      <c r="B14" s="1" t="s">
        <v>31</v>
      </c>
      <c r="C14" s="9">
        <v>9</v>
      </c>
      <c r="D14" s="9">
        <f>'ISO22301 Gap Assessment'!E22</f>
        <v>9</v>
      </c>
      <c r="E14" s="10">
        <f>+D14/C14</f>
        <v>1</v>
      </c>
      <c r="F14" s="15"/>
    </row>
    <row r="15" spans="2:20" x14ac:dyDescent="0.25">
      <c r="B15" s="2" t="s">
        <v>50</v>
      </c>
      <c r="C15" s="9">
        <v>9</v>
      </c>
      <c r="D15" s="9">
        <f>'ISO22301 Gap Assessment'!E35</f>
        <v>9</v>
      </c>
      <c r="E15" s="10">
        <f t="shared" ref="E15:E20" si="0">+D15/C15</f>
        <v>1</v>
      </c>
      <c r="F15" s="44"/>
    </row>
    <row r="16" spans="2:20" x14ac:dyDescent="0.25">
      <c r="B16" s="1" t="s">
        <v>65</v>
      </c>
      <c r="C16" s="9">
        <v>7</v>
      </c>
      <c r="D16" s="9">
        <f>'ISO22301 Gap Assessment'!E46</f>
        <v>7</v>
      </c>
      <c r="E16" s="10">
        <f t="shared" si="0"/>
        <v>1</v>
      </c>
      <c r="F16" s="44"/>
    </row>
    <row r="17" spans="1:6" x14ac:dyDescent="0.25">
      <c r="A17" s="4"/>
      <c r="B17" s="2" t="s">
        <v>80</v>
      </c>
      <c r="C17" s="9">
        <v>10</v>
      </c>
      <c r="D17" s="9">
        <f>'ISO22301 Gap Assessment'!E60</f>
        <v>10</v>
      </c>
      <c r="E17" s="10">
        <f t="shared" si="0"/>
        <v>1</v>
      </c>
      <c r="F17" s="44"/>
    </row>
    <row r="18" spans="1:6" x14ac:dyDescent="0.25">
      <c r="A18" s="4"/>
      <c r="B18" s="1" t="s">
        <v>99</v>
      </c>
      <c r="C18" s="9">
        <v>25</v>
      </c>
      <c r="D18" s="9">
        <f>'ISO22301 Gap Assessment'!E89</f>
        <v>25</v>
      </c>
      <c r="E18" s="10">
        <f t="shared" si="0"/>
        <v>1</v>
      </c>
      <c r="F18" s="44"/>
    </row>
    <row r="19" spans="1:6" x14ac:dyDescent="0.25">
      <c r="B19" s="2" t="s">
        <v>143</v>
      </c>
      <c r="C19" s="9">
        <v>8</v>
      </c>
      <c r="D19" s="9">
        <f>'ISO22301 Gap Assessment'!E101</f>
        <v>8</v>
      </c>
      <c r="E19" s="10">
        <f t="shared" si="0"/>
        <v>1</v>
      </c>
      <c r="F19" s="44"/>
    </row>
    <row r="20" spans="1:6" x14ac:dyDescent="0.25">
      <c r="B20" s="1" t="s">
        <v>160</v>
      </c>
      <c r="C20" s="9">
        <v>3</v>
      </c>
      <c r="D20" s="9">
        <f>'ISO22301 Gap Assessment'!E108</f>
        <v>3</v>
      </c>
      <c r="E20" s="10">
        <f t="shared" si="0"/>
        <v>1</v>
      </c>
      <c r="F20" s="44"/>
    </row>
    <row r="21" spans="1:6" x14ac:dyDescent="0.25">
      <c r="B21" s="40" t="s">
        <v>17</v>
      </c>
      <c r="C21" s="19">
        <f>SUBTOTAL(109,Table25[REQS IN SECTION])</f>
        <v>71</v>
      </c>
      <c r="D21" s="19">
        <f>SUBTOTAL(109,Table25[NO OF REQS MET])</f>
        <v>71</v>
      </c>
      <c r="E21" s="41">
        <f>IMDIV(D21,C21)*1</f>
        <v>1</v>
      </c>
      <c r="F21" s="44"/>
    </row>
    <row r="22" spans="1:6" x14ac:dyDescent="0.25">
      <c r="C22" s="9"/>
      <c r="D22" s="9"/>
      <c r="E22" s="9"/>
      <c r="F22" s="10"/>
    </row>
    <row r="23" spans="1:6" x14ac:dyDescent="0.25">
      <c r="C23" s="9"/>
      <c r="D23" s="9"/>
      <c r="E23" s="9"/>
      <c r="F23" s="10"/>
    </row>
    <row r="24" spans="1:6" ht="20.100000000000001" customHeight="1" x14ac:dyDescent="0.25">
      <c r="B24" s="22" t="s">
        <v>176</v>
      </c>
      <c r="C24" s="23"/>
      <c r="D24" s="23"/>
      <c r="E24" s="23"/>
      <c r="F24" s="44"/>
    </row>
    <row r="25" spans="1:6" x14ac:dyDescent="0.25">
      <c r="C25" s="9"/>
      <c r="D25" s="9"/>
      <c r="E25" s="9"/>
      <c r="F25" s="10"/>
    </row>
    <row r="36" spans="7:20" ht="20.100000000000001" customHeight="1" x14ac:dyDescent="0.25">
      <c r="G36" s="22" t="s">
        <v>177</v>
      </c>
      <c r="H36" s="24"/>
      <c r="I36" s="24"/>
      <c r="J36" s="24"/>
      <c r="K36" s="24"/>
      <c r="L36" s="24"/>
      <c r="M36" s="24"/>
      <c r="N36" s="24"/>
      <c r="O36" s="24"/>
      <c r="P36" s="24"/>
      <c r="Q36" s="24"/>
      <c r="R36" s="24"/>
      <c r="S36" s="24"/>
      <c r="T36" s="24"/>
    </row>
  </sheetData>
  <pageMargins left="0.23622047244094491" right="0.23622047244094491" top="0.39370078740157483" bottom="0.39370078740157483" header="0.19685039370078741" footer="0.19685039370078741"/>
  <pageSetup paperSize="9" scale="47" orientation="landscape" horizontalDpi="360" verticalDpi="360" r:id="rId1"/>
  <headerFooter>
    <oddFooter>&amp;L&amp;D&amp;CPage &amp;P of &amp;N</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0870D-9A12-4E0B-BA49-DA40F9C62EE0}">
  <sheetPr>
    <pageSetUpPr fitToPage="1"/>
  </sheetPr>
  <dimension ref="A1:E14"/>
  <sheetViews>
    <sheetView showGridLines="0" zoomScaleNormal="100" workbookViewId="0">
      <selection activeCell="D7" sqref="D7"/>
    </sheetView>
  </sheetViews>
  <sheetFormatPr defaultColWidth="9.28515625" defaultRowHeight="15" x14ac:dyDescent="0.25"/>
  <cols>
    <col min="1" max="1" width="2.7109375" style="2" customWidth="1"/>
    <col min="2" max="2" width="71.28515625" style="2" customWidth="1"/>
    <col min="3" max="4" width="18.28515625" style="2" customWidth="1"/>
    <col min="5" max="5" width="27.28515625" style="2" customWidth="1"/>
    <col min="6" max="16384" width="9.28515625" style="2"/>
  </cols>
  <sheetData>
    <row r="1" spans="1:5" x14ac:dyDescent="0.25">
      <c r="B1" s="3"/>
    </row>
    <row r="2" spans="1:5" x14ac:dyDescent="0.25">
      <c r="B2" s="3"/>
    </row>
    <row r="3" spans="1:5" x14ac:dyDescent="0.25">
      <c r="B3" s="3"/>
    </row>
    <row r="4" spans="1:5" ht="21" x14ac:dyDescent="0.25">
      <c r="B4" s="6" t="s">
        <v>12</v>
      </c>
    </row>
    <row r="5" spans="1:5" x14ac:dyDescent="0.25">
      <c r="B5" s="1"/>
    </row>
    <row r="6" spans="1:5" x14ac:dyDescent="0.25">
      <c r="B6" s="8" t="s">
        <v>166</v>
      </c>
      <c r="C6" s="8" t="s">
        <v>13</v>
      </c>
      <c r="D6" s="8" t="s">
        <v>167</v>
      </c>
      <c r="E6" s="8" t="s">
        <v>168</v>
      </c>
    </row>
    <row r="7" spans="1:5" x14ac:dyDescent="0.25">
      <c r="B7" s="1" t="s">
        <v>31</v>
      </c>
      <c r="C7" s="9">
        <v>9</v>
      </c>
      <c r="D7" s="9">
        <f>'ISO22301 Gap Assessment'!E22</f>
        <v>9</v>
      </c>
      <c r="E7" s="10">
        <f>+D7/C7</f>
        <v>1</v>
      </c>
    </row>
    <row r="8" spans="1:5" x14ac:dyDescent="0.25">
      <c r="B8" s="2" t="s">
        <v>50</v>
      </c>
      <c r="C8" s="9">
        <v>9</v>
      </c>
      <c r="D8" s="9">
        <f>'ISO22301 Gap Assessment'!E35</f>
        <v>9</v>
      </c>
      <c r="E8" s="10">
        <f t="shared" ref="E8:E13" si="0">+D8/C8</f>
        <v>1</v>
      </c>
    </row>
    <row r="9" spans="1:5" x14ac:dyDescent="0.25">
      <c r="A9" s="27"/>
      <c r="B9" s="1" t="s">
        <v>65</v>
      </c>
      <c r="C9" s="9">
        <v>7</v>
      </c>
      <c r="D9" s="9">
        <f>'ISO22301 Gap Assessment'!E46</f>
        <v>7</v>
      </c>
      <c r="E9" s="10">
        <f t="shared" si="0"/>
        <v>1</v>
      </c>
    </row>
    <row r="10" spans="1:5" x14ac:dyDescent="0.25">
      <c r="A10" s="27"/>
      <c r="B10" s="2" t="s">
        <v>80</v>
      </c>
      <c r="C10" s="9">
        <v>10</v>
      </c>
      <c r="D10" s="9">
        <f>'ISO22301 Gap Assessment'!E60</f>
        <v>10</v>
      </c>
      <c r="E10" s="10">
        <f t="shared" si="0"/>
        <v>1</v>
      </c>
    </row>
    <row r="11" spans="1:5" x14ac:dyDescent="0.25">
      <c r="B11" s="1" t="s">
        <v>99</v>
      </c>
      <c r="C11" s="9">
        <v>25</v>
      </c>
      <c r="D11" s="9">
        <f>'ISO22301 Gap Assessment'!E89</f>
        <v>25</v>
      </c>
      <c r="E11" s="10">
        <f t="shared" si="0"/>
        <v>1</v>
      </c>
    </row>
    <row r="12" spans="1:5" x14ac:dyDescent="0.25">
      <c r="B12" s="2" t="s">
        <v>143</v>
      </c>
      <c r="C12" s="9">
        <v>8</v>
      </c>
      <c r="D12" s="9">
        <f>'ISO22301 Gap Assessment'!E101</f>
        <v>8</v>
      </c>
      <c r="E12" s="10">
        <f t="shared" si="0"/>
        <v>1</v>
      </c>
    </row>
    <row r="13" spans="1:5" x14ac:dyDescent="0.25">
      <c r="B13" s="1" t="s">
        <v>160</v>
      </c>
      <c r="C13" s="9">
        <v>3</v>
      </c>
      <c r="D13" s="9">
        <f>'ISO22301 Gap Assessment'!E108</f>
        <v>3</v>
      </c>
      <c r="E13" s="10">
        <f t="shared" si="0"/>
        <v>1</v>
      </c>
    </row>
    <row r="14" spans="1:5" x14ac:dyDescent="0.25">
      <c r="B14" s="40" t="s">
        <v>17</v>
      </c>
      <c r="C14" s="19">
        <f>SUBTOTAL(109,Table2[REQS IN SECTION])</f>
        <v>71</v>
      </c>
      <c r="D14" s="19">
        <f>SUBTOTAL(109,Table2[NO OF REQS MET])</f>
        <v>71</v>
      </c>
      <c r="E14" s="41">
        <f>IMDIV(D14,C14)*1</f>
        <v>1</v>
      </c>
    </row>
  </sheetData>
  <pageMargins left="0.70866141732283472" right="0.70866141732283472" top="0.74803149606299213" bottom="0.74803149606299213" header="0.31496062992125984" footer="0.31496062992125984"/>
  <pageSetup paperSize="9" scale="80" fitToHeight="0" orientation="portrait" horizontalDpi="360" verticalDpi="360" r:id="rId1"/>
  <headerFooter>
    <oddFooter>&amp;L&amp;D&amp;CPage &amp;P of &amp;N</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29A7-A374-4115-A285-AF27671CC612}">
  <sheetPr>
    <pageSetUpPr fitToPage="1"/>
  </sheetPr>
  <dimension ref="B4:D14"/>
  <sheetViews>
    <sheetView showGridLines="0" workbookViewId="0">
      <selection activeCell="D7" sqref="D7"/>
    </sheetView>
  </sheetViews>
  <sheetFormatPr defaultRowHeight="15" x14ac:dyDescent="0.25"/>
  <cols>
    <col min="1" max="1" width="2.7109375" customWidth="1"/>
    <col min="2" max="2" width="27.140625" style="35" bestFit="1" customWidth="1"/>
    <col min="3" max="4" width="16.5703125" bestFit="1" customWidth="1"/>
    <col min="5" max="5" width="26.28515625" bestFit="1" customWidth="1"/>
    <col min="6" max="6" width="33.42578125" bestFit="1" customWidth="1"/>
  </cols>
  <sheetData>
    <row r="4" spans="2:4" ht="18.75" x14ac:dyDescent="0.25">
      <c r="B4" s="42" t="s">
        <v>172</v>
      </c>
    </row>
    <row r="6" spans="2:4" x14ac:dyDescent="0.25">
      <c r="B6" s="43" t="s">
        <v>166</v>
      </c>
      <c r="C6" s="18" t="s">
        <v>169</v>
      </c>
      <c r="D6" s="18" t="s">
        <v>170</v>
      </c>
    </row>
    <row r="7" spans="2:4" x14ac:dyDescent="0.25">
      <c r="B7" s="35" t="s">
        <v>160</v>
      </c>
      <c r="C7" s="16">
        <v>3</v>
      </c>
      <c r="D7" s="16">
        <v>3</v>
      </c>
    </row>
    <row r="8" spans="2:4" x14ac:dyDescent="0.25">
      <c r="B8" s="35" t="s">
        <v>143</v>
      </c>
      <c r="C8" s="16">
        <v>8</v>
      </c>
      <c r="D8" s="16">
        <v>8</v>
      </c>
    </row>
    <row r="9" spans="2:4" x14ac:dyDescent="0.25">
      <c r="B9" s="35" t="s">
        <v>99</v>
      </c>
      <c r="C9" s="16">
        <v>25</v>
      </c>
      <c r="D9" s="16">
        <v>25</v>
      </c>
    </row>
    <row r="10" spans="2:4" x14ac:dyDescent="0.25">
      <c r="B10" s="35" t="s">
        <v>80</v>
      </c>
      <c r="C10" s="16">
        <v>10</v>
      </c>
      <c r="D10" s="16">
        <v>10</v>
      </c>
    </row>
    <row r="11" spans="2:4" x14ac:dyDescent="0.25">
      <c r="B11" s="35" t="s">
        <v>65</v>
      </c>
      <c r="C11" s="16">
        <v>7</v>
      </c>
      <c r="D11" s="16">
        <v>7</v>
      </c>
    </row>
    <row r="12" spans="2:4" x14ac:dyDescent="0.25">
      <c r="B12" s="35" t="s">
        <v>50</v>
      </c>
      <c r="C12" s="16">
        <v>9</v>
      </c>
      <c r="D12" s="16">
        <v>9</v>
      </c>
    </row>
    <row r="13" spans="2:4" x14ac:dyDescent="0.25">
      <c r="B13" s="35" t="s">
        <v>31</v>
      </c>
      <c r="C13" s="16">
        <v>9</v>
      </c>
      <c r="D13" s="16">
        <v>9</v>
      </c>
    </row>
    <row r="14" spans="2:4" x14ac:dyDescent="0.25">
      <c r="B14"/>
    </row>
  </sheetData>
  <pageMargins left="0.7" right="0.7" top="0.75" bottom="0.75" header="0.3" footer="0.3"/>
  <pageSetup paperSize="9" orientation="landscape" horizontalDpi="360" verticalDpi="36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80FCC-3F9F-49D2-AE88-93EB361ADAE2}">
  <sheetPr>
    <pageSetUpPr fitToPage="1"/>
  </sheetPr>
  <dimension ref="B4:F23"/>
  <sheetViews>
    <sheetView showGridLines="0" workbookViewId="0">
      <selection activeCell="E27" sqref="E27"/>
    </sheetView>
  </sheetViews>
  <sheetFormatPr defaultColWidth="9.28515625" defaultRowHeight="15" x14ac:dyDescent="0.25"/>
  <cols>
    <col min="1" max="1" width="2.7109375" style="2" customWidth="1"/>
    <col min="2" max="2" width="27.140625" style="2" bestFit="1" customWidth="1"/>
    <col min="3" max="3" width="26.7109375" style="2" bestFit="1" customWidth="1"/>
    <col min="4" max="5" width="32.42578125" style="2" bestFit="1" customWidth="1"/>
    <col min="6" max="6" width="33.42578125" style="2" bestFit="1" customWidth="1"/>
    <col min="7" max="16384" width="9.28515625" style="2"/>
  </cols>
  <sheetData>
    <row r="4" spans="2:6" ht="18.75" x14ac:dyDescent="0.25">
      <c r="B4" s="25" t="s">
        <v>173</v>
      </c>
    </row>
    <row r="6" spans="2:6" x14ac:dyDescent="0.25">
      <c r="B6" s="18" t="s">
        <v>166</v>
      </c>
      <c r="C6" s="18" t="s">
        <v>14</v>
      </c>
      <c r="D6"/>
      <c r="E6"/>
      <c r="F6"/>
    </row>
    <row r="7" spans="2:6" x14ac:dyDescent="0.25">
      <c r="B7" t="s">
        <v>31</v>
      </c>
      <c r="C7" s="17">
        <v>1</v>
      </c>
      <c r="D7"/>
      <c r="E7"/>
    </row>
    <row r="8" spans="2:6" x14ac:dyDescent="0.25">
      <c r="B8" t="s">
        <v>50</v>
      </c>
      <c r="C8" s="17">
        <v>1</v>
      </c>
      <c r="D8"/>
      <c r="E8"/>
    </row>
    <row r="9" spans="2:6" x14ac:dyDescent="0.25">
      <c r="B9" t="s">
        <v>65</v>
      </c>
      <c r="C9" s="17">
        <v>1</v>
      </c>
      <c r="D9"/>
      <c r="E9"/>
    </row>
    <row r="10" spans="2:6" x14ac:dyDescent="0.25">
      <c r="B10" t="s">
        <v>80</v>
      </c>
      <c r="C10" s="17">
        <v>1</v>
      </c>
      <c r="D10"/>
      <c r="E10"/>
    </row>
    <row r="11" spans="2:6" x14ac:dyDescent="0.25">
      <c r="B11" t="s">
        <v>99</v>
      </c>
      <c r="C11" s="17">
        <v>1</v>
      </c>
      <c r="D11"/>
      <c r="E11"/>
    </row>
    <row r="12" spans="2:6" x14ac:dyDescent="0.25">
      <c r="B12" t="s">
        <v>143</v>
      </c>
      <c r="C12" s="17">
        <v>1</v>
      </c>
      <c r="D12"/>
      <c r="E12"/>
    </row>
    <row r="13" spans="2:6" x14ac:dyDescent="0.25">
      <c r="B13" t="s">
        <v>160</v>
      </c>
      <c r="C13" s="17">
        <v>1</v>
      </c>
      <c r="D13"/>
      <c r="E13"/>
    </row>
    <row r="14" spans="2:6" x14ac:dyDescent="0.25">
      <c r="B14"/>
      <c r="C14"/>
      <c r="D14"/>
      <c r="E14"/>
    </row>
    <row r="15" spans="2:6" x14ac:dyDescent="0.25">
      <c r="B15"/>
      <c r="C15"/>
      <c r="D15"/>
    </row>
    <row r="16" spans="2:6" x14ac:dyDescent="0.25">
      <c r="B16"/>
      <c r="C16"/>
      <c r="D16"/>
    </row>
    <row r="17" spans="2:4" x14ac:dyDescent="0.25">
      <c r="B17"/>
      <c r="C17"/>
      <c r="D17"/>
    </row>
    <row r="18" spans="2:4" x14ac:dyDescent="0.25">
      <c r="B18"/>
      <c r="C18"/>
      <c r="D18"/>
    </row>
    <row r="19" spans="2:4" x14ac:dyDescent="0.25">
      <c r="B19"/>
      <c r="C19"/>
      <c r="D19"/>
    </row>
    <row r="20" spans="2:4" x14ac:dyDescent="0.25">
      <c r="B20"/>
      <c r="C20"/>
      <c r="D20"/>
    </row>
    <row r="21" spans="2:4" x14ac:dyDescent="0.25">
      <c r="B21"/>
      <c r="C21"/>
      <c r="D21"/>
    </row>
    <row r="22" spans="2:4" x14ac:dyDescent="0.25">
      <c r="B22"/>
      <c r="C22"/>
      <c r="D22"/>
    </row>
    <row r="23" spans="2:4" x14ac:dyDescent="0.25">
      <c r="B23"/>
      <c r="C23"/>
      <c r="D23"/>
    </row>
  </sheetData>
  <pageMargins left="0.70866141732283472" right="0.70866141732283472" top="0.74803149606299213" bottom="0.74803149606299213" header="0.31496062992125984" footer="0.31496062992125984"/>
  <pageSetup paperSize="9" scale="69" fitToHeight="0" orientation="portrait" horizontalDpi="360" verticalDpi="360" r:id="rId2"/>
  <headerFooter>
    <oddHeader>Page &amp;P of &amp;N</oddHeader>
    <oddFooter>&amp;L&amp;D&amp;CPage &amp;P of &amp;N&amp;R[Insert classification]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41A3E-8937-41AA-A5BE-3435A0FE1F3C}">
  <dimension ref="B4:C13"/>
  <sheetViews>
    <sheetView showGridLines="0" workbookViewId="0">
      <selection activeCell="H34" sqref="H34"/>
    </sheetView>
  </sheetViews>
  <sheetFormatPr defaultRowHeight="15" x14ac:dyDescent="0.25"/>
  <cols>
    <col min="1" max="1" width="2.7109375" customWidth="1"/>
    <col min="2" max="2" width="27.140625" bestFit="1" customWidth="1"/>
    <col min="3" max="3" width="26.140625" bestFit="1" customWidth="1"/>
    <col min="4" max="6" width="33.42578125" bestFit="1" customWidth="1"/>
  </cols>
  <sheetData>
    <row r="4" spans="2:3" ht="18.75" x14ac:dyDescent="0.25">
      <c r="B4" s="26" t="s">
        <v>174</v>
      </c>
    </row>
    <row r="6" spans="2:3" x14ac:dyDescent="0.25">
      <c r="B6" s="18" t="s">
        <v>166</v>
      </c>
      <c r="C6" s="18" t="s">
        <v>171</v>
      </c>
    </row>
    <row r="7" spans="2:3" x14ac:dyDescent="0.25">
      <c r="B7" t="s">
        <v>31</v>
      </c>
      <c r="C7" s="17">
        <v>1</v>
      </c>
    </row>
    <row r="8" spans="2:3" x14ac:dyDescent="0.25">
      <c r="B8" t="s">
        <v>50</v>
      </c>
      <c r="C8" s="17">
        <v>1</v>
      </c>
    </row>
    <row r="9" spans="2:3" x14ac:dyDescent="0.25">
      <c r="B9" t="s">
        <v>65</v>
      </c>
      <c r="C9" s="17">
        <v>1</v>
      </c>
    </row>
    <row r="10" spans="2:3" x14ac:dyDescent="0.25">
      <c r="B10" t="s">
        <v>80</v>
      </c>
      <c r="C10" s="17">
        <v>1</v>
      </c>
    </row>
    <row r="11" spans="2:3" x14ac:dyDescent="0.25">
      <c r="B11" t="s">
        <v>99</v>
      </c>
      <c r="C11" s="17">
        <v>1</v>
      </c>
    </row>
    <row r="12" spans="2:3" x14ac:dyDescent="0.25">
      <c r="B12" t="s">
        <v>143</v>
      </c>
      <c r="C12" s="17">
        <v>1</v>
      </c>
    </row>
    <row r="13" spans="2:3" x14ac:dyDescent="0.25">
      <c r="B13" t="s">
        <v>160</v>
      </c>
      <c r="C13" s="17">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78CA14-430D-4A5A-9C0A-B9DD4DB29663}">
  <ds:schemaRefs>
    <ds:schemaRef ds:uri="http://schemas.microsoft.com/DataMashup"/>
  </ds:schemaRefs>
</ds:datastoreItem>
</file>

<file path=customXml/itemProps2.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3.xml><?xml version="1.0" encoding="utf-8"?>
<ds:datastoreItem xmlns:ds="http://schemas.openxmlformats.org/officeDocument/2006/customXml" ds:itemID="{C08B4250-B95D-49BB-B3C5-3FC868E45619}">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519c89c0-4739-45b7-90b4-c645f8135810"/>
    <ds:schemaRef ds:uri="906258ce-5a0c-4f3f-a95b-99bb0331ce14"/>
    <ds:schemaRef ds:uri="http://www.w3.org/XML/1998/namespace"/>
    <ds:schemaRef ds:uri="http://purl.org/dc/dcmitype/"/>
  </ds:schemaRefs>
</ds:datastoreItem>
</file>

<file path=customXml/itemProps4.xml><?xml version="1.0" encoding="utf-8"?>
<ds:datastoreItem xmlns:ds="http://schemas.openxmlformats.org/officeDocument/2006/customXml" ds:itemID="{5C595E38-D79B-45B1-9DBF-A777B07A259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Guidance</vt:lpstr>
      <vt:lpstr>Assessment Details</vt:lpstr>
      <vt:lpstr>ISO22301 Gap Assessment</vt:lpstr>
      <vt:lpstr>Dashboard</vt:lpstr>
      <vt:lpstr>Conformity Table</vt:lpstr>
      <vt:lpstr>Conformity Chart Pivot</vt:lpstr>
      <vt:lpstr>% Conformity Chart Pivot</vt:lpstr>
      <vt:lpstr>% Conformity Radar Pivot</vt:lpstr>
      <vt:lpstr>Guidance!Print_Area</vt:lpstr>
      <vt:lpstr>'ISO22301 Gap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Mark Clifton</cp:lastModifiedBy>
  <cp:lastPrinted>2021-10-01T11:36:07Z</cp:lastPrinted>
  <dcterms:created xsi:type="dcterms:W3CDTF">2015-06-05T18:17:20Z</dcterms:created>
  <dcterms:modified xsi:type="dcterms:W3CDTF">2021-10-05T10:02:40Z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y fmtid="{D5CDD505-2E9C-101B-9397-08002B2CF9AE}" pid="3" name="Order">
    <vt:r8>2664400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ies>
</file>