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pivotTables/pivotTable1.xml" ContentType="application/vnd.openxmlformats-officedocument.spreadsheetml.pivotTable+xml"/>
  <Override PartName="/xl/drawings/drawing4.xml" ContentType="application/vnd.openxmlformats-officedocument.drawing+xml"/>
  <Override PartName="/xl/ctrlProps/ctrlProp1.xml" ContentType="application/vnd.ms-excel.controlproperties+xml"/>
  <Override PartName="/xl/drawings/drawing5.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6.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hidePivotFieldList="1"/>
  <mc:AlternateContent xmlns:mc="http://schemas.openxmlformats.org/markup-compatibility/2006">
    <mc:Choice Requires="x15">
      <x15ac:absPath xmlns:x15ac="http://schemas.microsoft.com/office/spreadsheetml/2010/11/ac" url="https://publicit3.sharepoint.com/sites/ToolkitDevelopment/Shared Documents/ISO22301 v6/CERTIKIT ISO-22301-2019 Toolkit V6/00. Implementation Resources/"/>
    </mc:Choice>
  </mc:AlternateContent>
  <xr:revisionPtr revIDLastSave="13" documentId="13_ncr:1_{3BBD8201-B7E3-4BDC-909C-3D43FB84A7A6}" xr6:coauthVersionLast="47" xr6:coauthVersionMax="47" xr10:uidLastSave="{C9FBCB82-4F72-462A-8A54-332801EBB241}"/>
  <bookViews>
    <workbookView xWindow="-120" yWindow="-120" windowWidth="29040" windowHeight="15840" tabRatio="704" xr2:uid="{00000000-000D-0000-FFFF-FFFF00000000}"/>
  </bookViews>
  <sheets>
    <sheet name="Guidance" sheetId="22" r:id="rId1"/>
    <sheet name="Project Plan" sheetId="8" r:id="rId2"/>
    <sheet name="Project Budget" sheetId="13" r:id="rId3"/>
    <sheet name="Project Gantt Chart" sheetId="12" r:id="rId4"/>
    <sheet name="Project Dashboard" sheetId="17" r:id="rId5"/>
    <sheet name="Tasks &amp; Progress Pivots" sheetId="15" state="hidden" r:id="rId6"/>
    <sheet name="Budget Pivots" sheetId="20" state="hidden" r:id="rId7"/>
    <sheet name="Scroll Bar" sheetId="21" state="hidden" r:id="rId8"/>
  </sheets>
  <definedNames>
    <definedName name="_xlnm.Print_Area" localSheetId="0">Guidance!$B$2:$B$24</definedName>
    <definedName name="_xlnm.Print_Area" localSheetId="2">'Project Budget'!$A$1:$E$21</definedName>
    <definedName name="_xlnm.Print_Area" localSheetId="1">'Project Plan'!$A$1:$J$34</definedName>
    <definedName name="_xlnm.Print_Area" localSheetId="5">'Tasks &amp; Progress Pivots'!$D$4:$M$19</definedName>
    <definedName name="_xlnm.Print_Titles" localSheetId="1">'Project Plan'!$10:$10</definedName>
    <definedName name="_xlnm.Print_Titles" localSheetId="5">'Tasks &amp; Progress Pivots'!#REF!</definedName>
  </definedNames>
  <calcPr calcId="191029"/>
  <pivotCaches>
    <pivotCache cacheId="0" r:id="rId9"/>
    <pivotCache cacheId="1" r:id="rId10"/>
    <pivotCache cacheId="2" r:id="rId11"/>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J12" i="8" l="1"/>
  <c r="J13" i="8"/>
  <c r="J14" i="8"/>
  <c r="J15" i="8"/>
  <c r="J16" i="8"/>
  <c r="J17" i="8"/>
  <c r="J18" i="8"/>
  <c r="J19" i="8"/>
  <c r="J20" i="8"/>
  <c r="J21" i="8"/>
  <c r="J22" i="8"/>
  <c r="J23" i="8"/>
  <c r="J24" i="8"/>
  <c r="J25" i="8"/>
  <c r="J26" i="8"/>
  <c r="J27" i="8"/>
  <c r="J28" i="8"/>
  <c r="J29" i="8"/>
  <c r="J30" i="8"/>
  <c r="J31" i="8"/>
  <c r="J32" i="8"/>
  <c r="J33" i="8"/>
  <c r="J34" i="8"/>
  <c r="H11" i="8" l="1"/>
  <c r="J11" i="8"/>
  <c r="F8" i="15" l="1"/>
  <c r="F7" i="15"/>
  <c r="D11" i="17" l="1"/>
  <c r="E19" i="13" l="1"/>
  <c r="E18" i="13"/>
  <c r="E15" i="13"/>
  <c r="E13" i="13"/>
  <c r="E16" i="13"/>
  <c r="E12" i="13"/>
  <c r="D22" i="13"/>
  <c r="C22" i="13"/>
  <c r="E11" i="13"/>
  <c r="E14" i="13"/>
  <c r="E17" i="13"/>
  <c r="E20" i="13"/>
  <c r="E21" i="13"/>
  <c r="M7" i="15"/>
  <c r="E22" i="13" l="1"/>
  <c r="J14" i="12"/>
  <c r="B9" i="12"/>
  <c r="K14" i="12" l="1"/>
  <c r="L14" i="12" s="1"/>
  <c r="M14" i="12" s="1"/>
  <c r="N14" i="12" s="1"/>
  <c r="O14" i="12" s="1"/>
  <c r="P14" i="12" s="1"/>
  <c r="Q14" i="12" s="1"/>
  <c r="R14" i="12" s="1"/>
  <c r="S14" i="12" s="1"/>
  <c r="T14" i="12" s="1"/>
  <c r="U14" i="12" s="1"/>
  <c r="V14" i="12" s="1"/>
  <c r="W14" i="12" s="1"/>
  <c r="X14" i="12" s="1"/>
  <c r="Y14" i="12" s="1"/>
  <c r="Z14" i="12" s="1"/>
  <c r="AA14" i="12" s="1"/>
  <c r="AB14" i="12" s="1"/>
  <c r="AC14" i="12" s="1"/>
  <c r="AD14" i="12" s="1"/>
  <c r="AE14" i="12" s="1"/>
  <c r="AF14" i="12" s="1"/>
  <c r="AG14" i="12" s="1"/>
  <c r="AH14" i="12" s="1"/>
  <c r="AI14" i="12" s="1"/>
  <c r="H12" i="8" l="1"/>
  <c r="H13" i="8"/>
  <c r="H14" i="8"/>
  <c r="H15" i="8"/>
  <c r="H16" i="8"/>
  <c r="H17" i="8"/>
  <c r="H18" i="8"/>
  <c r="H19" i="8"/>
  <c r="H20" i="8"/>
  <c r="H21" i="8"/>
  <c r="H22" i="8"/>
  <c r="H23" i="8"/>
  <c r="H24" i="8"/>
  <c r="H25" i="8"/>
  <c r="H26" i="8"/>
  <c r="H27" i="8"/>
  <c r="H28" i="8"/>
  <c r="H29" i="8"/>
  <c r="H30" i="8"/>
  <c r="H31" i="8"/>
  <c r="H32" i="8"/>
  <c r="H33" i="8"/>
  <c r="H34" i="8"/>
  <c r="F9" i="15" l="1"/>
  <c r="M8" i="15"/>
  <c r="F10" i="15"/>
  <c r="F11" i="15" l="1"/>
</calcChain>
</file>

<file path=xl/sharedStrings.xml><?xml version="1.0" encoding="utf-8"?>
<sst xmlns="http://schemas.openxmlformats.org/spreadsheetml/2006/main" count="247" uniqueCount="124">
  <si>
    <t>TASK</t>
  </si>
  <si>
    <t>WORK DAYS</t>
  </si>
  <si>
    <t>RESOURCE</t>
  </si>
  <si>
    <t>PROGRESS</t>
  </si>
  <si>
    <t>START DATE</t>
  </si>
  <si>
    <t>END DATE</t>
  </si>
  <si>
    <t xml:space="preserve"> REF</t>
  </si>
  <si>
    <t>Perform gap assessment</t>
  </si>
  <si>
    <t>Awareness training</t>
  </si>
  <si>
    <t>Not Started</t>
  </si>
  <si>
    <t>COMPLETED DAYS</t>
  </si>
  <si>
    <t>Software tools</t>
  </si>
  <si>
    <t>Internal auditing</t>
  </si>
  <si>
    <t>Certification auditing</t>
  </si>
  <si>
    <t>In Progress</t>
  </si>
  <si>
    <t>Completed</t>
  </si>
  <si>
    <t>Remaining</t>
  </si>
  <si>
    <t>Total Tasks</t>
  </si>
  <si>
    <t>Grand Total</t>
  </si>
  <si>
    <t>Values</t>
  </si>
  <si>
    <t>%</t>
  </si>
  <si>
    <t xml:space="preserve">Days Completed </t>
  </si>
  <si>
    <t>Days Remaining</t>
  </si>
  <si>
    <t xml:space="preserve">Budget </t>
  </si>
  <si>
    <t>Scroll Bar</t>
  </si>
  <si>
    <t>WORK 
DAYS</t>
  </si>
  <si>
    <t>Project Timeline</t>
  </si>
  <si>
    <t>Not started</t>
  </si>
  <si>
    <t>In progress</t>
  </si>
  <si>
    <t>Total</t>
  </si>
  <si>
    <t>External Consultancy</t>
  </si>
  <si>
    <t>Internal resources</t>
  </si>
  <si>
    <t>Training</t>
  </si>
  <si>
    <t>Professional memberships</t>
  </si>
  <si>
    <t>Travel and subsistence</t>
  </si>
  <si>
    <t>Communication</t>
  </si>
  <si>
    <t>Hardware</t>
  </si>
  <si>
    <t>Offices and furniture</t>
  </si>
  <si>
    <t>Weekends (Sat - Sun)</t>
  </si>
  <si>
    <t>Task Progress</t>
  </si>
  <si>
    <t>Project Days</t>
  </si>
  <si>
    <t>Sum of Task Progress</t>
  </si>
  <si>
    <t>Task Status</t>
  </si>
  <si>
    <t>Total Work Days</t>
  </si>
  <si>
    <t>Completed Work Days</t>
  </si>
  <si>
    <t xml:space="preserve">Spent to date </t>
  </si>
  <si>
    <t xml:space="preserve">Budget remaining </t>
  </si>
  <si>
    <t>Date display slider</t>
  </si>
  <si>
    <t>To refresh chart data, click on “Refresh All” on the Data ribbon.</t>
  </si>
  <si>
    <t>ITEM</t>
  </si>
  <si>
    <t>BUDGET</t>
  </si>
  <si>
    <t>SPENT TO DATE</t>
  </si>
  <si>
    <t>BUDGET REMAINING</t>
  </si>
  <si>
    <t>Project timeline:</t>
  </si>
  <si>
    <t>Project tasks and progress</t>
  </si>
  <si>
    <t>Project budget overview</t>
  </si>
  <si>
    <t>NOTE: Budget items will depend on the specifics of your project.</t>
  </si>
  <si>
    <t>Project Dashboard</t>
  </si>
  <si>
    <t>Count of  REF</t>
  </si>
  <si>
    <t>Project initiation</t>
  </si>
  <si>
    <t>Document context of the organization</t>
  </si>
  <si>
    <t>Define roles, responsibilities and authorities</t>
  </si>
  <si>
    <t>Competence and training needs assessment</t>
  </si>
  <si>
    <t>Define approach to monitoring, measurement, analysis and evaluation</t>
  </si>
  <si>
    <t>Establish continual improvement process</t>
  </si>
  <si>
    <t>Perform management review</t>
  </si>
  <si>
    <t>Certification stage one</t>
  </si>
  <si>
    <t>Certification stage two</t>
  </si>
  <si>
    <t>Post Project Review</t>
  </si>
  <si>
    <t>MAIN ISO22301 REF</t>
  </si>
  <si>
    <t>All</t>
  </si>
  <si>
    <t>Project Mgr</t>
  </si>
  <si>
    <t>Define proposed scope of BCMS</t>
  </si>
  <si>
    <t>4.3 Determining the scope of the business continuity management system</t>
  </si>
  <si>
    <t>Top Mgt,BC Manager</t>
  </si>
  <si>
    <t>BC Manager,Business Reps</t>
  </si>
  <si>
    <t>Obtain Top Management commitment</t>
  </si>
  <si>
    <t>5.1 Leadership and commitment</t>
  </si>
  <si>
    <t>BC Manager,Project Mgr,Top Mgt</t>
  </si>
  <si>
    <t>Establish BCMS document control</t>
  </si>
  <si>
    <t>7.5 Documented information</t>
  </si>
  <si>
    <t>BC Manager,Project Mgr</t>
  </si>
  <si>
    <t>Define business continuity policy</t>
  </si>
  <si>
    <t>5.2 Policy</t>
  </si>
  <si>
    <t>BC Manager,Top Mgt</t>
  </si>
  <si>
    <t>4. Context of the organization</t>
  </si>
  <si>
    <t>Agree business continuity objectives</t>
  </si>
  <si>
    <t>6.2 Business continuity objectives and planning to achieve them</t>
  </si>
  <si>
    <t>5.3 Roles, responsibilities and authorities</t>
  </si>
  <si>
    <t>7.2 Competence</t>
  </si>
  <si>
    <t>Conduct business impact analysis</t>
  </si>
  <si>
    <t>8.2 Business impact analysis and risk assessment</t>
  </si>
  <si>
    <t>BC Manager,Business Reps,CIO</t>
  </si>
  <si>
    <t>Perform risk assessment</t>
  </si>
  <si>
    <t>BC Manager,Top Mgt,CIO</t>
  </si>
  <si>
    <t>Determine business continuity strategies and solutions</t>
  </si>
  <si>
    <t>8.3 Business continuity strategies and solutions</t>
  </si>
  <si>
    <t>Establish business continuity plans</t>
  </si>
  <si>
    <t>8.4 Business continuity plans and procedures</t>
  </si>
  <si>
    <t>Plan business continuity exercising and testing</t>
  </si>
  <si>
    <t>8.5 Exercise programme</t>
  </si>
  <si>
    <t>BC Manager,CIO,Top Mgt</t>
  </si>
  <si>
    <t>Document communications procedures</t>
  </si>
  <si>
    <t>9.1 Monitoring, measurement, analysis and evaluation</t>
  </si>
  <si>
    <t>7.3 Awareness</t>
  </si>
  <si>
    <t>10. Improvement</t>
  </si>
  <si>
    <t>Internal audit</t>
  </si>
  <si>
    <t>9.2 Internal audit</t>
  </si>
  <si>
    <t>BC Manager,Business Reps,CIO,Internal Audit Team</t>
  </si>
  <si>
    <t>9.3 Management review</t>
  </si>
  <si>
    <t>BC Manager,Top Mgt,External Auditor</t>
  </si>
  <si>
    <t>BC Manager,Business Reps,External Auditor,Top Mgt</t>
  </si>
  <si>
    <t>Project Mgr,BC Manager,Top Mgt</t>
  </si>
  <si>
    <t xml:space="preserve">NOTE: All tasks and resources are approximations and will depend on the specifics of your project. </t>
  </si>
  <si>
    <r>
      <rPr>
        <b/>
        <sz val="18"/>
        <color theme="2" tint="-0.499984740745262"/>
        <rFont val="Calibri"/>
        <family val="2"/>
        <scheme val="minor"/>
      </rPr>
      <t>Implementation Guidance</t>
    </r>
    <r>
      <rPr>
        <sz val="11"/>
        <color rgb="FF444444"/>
        <rFont val="Calibri"/>
        <family val="2"/>
        <scheme val="minor"/>
      </rPr>
      <t xml:space="preserve">
</t>
    </r>
    <r>
      <rPr>
        <sz val="11"/>
        <color theme="1"/>
        <rFont val="Calibri"/>
        <family val="2"/>
        <scheme val="minor"/>
      </rPr>
      <t xml:space="preserve">This Excel sheet must be removed from the final version of the document. </t>
    </r>
  </si>
  <si>
    <r>
      <rPr>
        <b/>
        <sz val="16"/>
        <color theme="2" tint="-0.499984740745262"/>
        <rFont val="Calibri"/>
        <family val="2"/>
        <scheme val="minor"/>
      </rPr>
      <t>Design</t>
    </r>
    <r>
      <rPr>
        <sz val="11"/>
        <color rgb="FF444444"/>
        <rFont val="Calibri"/>
        <family val="2"/>
        <scheme val="minor"/>
      </rPr>
      <t xml:space="preserve">
</t>
    </r>
    <r>
      <rPr>
        <sz val="11"/>
        <color theme="1"/>
        <rFont val="Calibri"/>
        <family val="2"/>
        <scheme val="minor"/>
      </rPr>
      <t>This spreadsheet has been designed using CertiKit's colour scheme. To choose a different table colour scheme, click in the table, select the Table Design menu tab and choose a  different style. The same applies to the drop-down menu "slicers" at the top of the screen. Click in one slicer, then hold down the Shift key and click on the rest, one by one. This will select them all. Then click on the Slicer menu tab and choose a different style. You can also create your own table and slicer styles using your own colour scheme to reflect your organization's branding.</t>
    </r>
  </si>
  <si>
    <r>
      <rPr>
        <b/>
        <sz val="16"/>
        <color theme="2" tint="-0.499984740745262"/>
        <rFont val="Calibri"/>
        <family val="2"/>
        <scheme val="minor"/>
      </rPr>
      <t>Purpose of this document</t>
    </r>
    <r>
      <rPr>
        <sz val="11"/>
        <color rgb="FF444444"/>
        <rFont val="Calibri"/>
        <family val="2"/>
        <scheme val="minor"/>
      </rPr>
      <t xml:space="preserve">
</t>
    </r>
    <r>
      <rPr>
        <sz val="11"/>
        <color theme="1"/>
        <rFont val="Calibri"/>
        <family val="2"/>
        <scheme val="minor"/>
      </rPr>
      <t>This document should be used to plan the project to implement an ISO22301-conformant business continuity management system.</t>
    </r>
  </si>
  <si>
    <r>
      <rPr>
        <b/>
        <sz val="16"/>
        <color theme="2" tint="-0.499984740745262"/>
        <rFont val="Calibri"/>
        <family val="2"/>
        <scheme val="minor"/>
      </rPr>
      <t>Areas of the standard addressed</t>
    </r>
    <r>
      <rPr>
        <sz val="11"/>
        <color rgb="FF444444"/>
        <rFont val="Calibri"/>
        <family val="2"/>
        <scheme val="minor"/>
      </rPr>
      <t xml:space="preserve">
</t>
    </r>
    <r>
      <rPr>
        <sz val="11"/>
        <color theme="1"/>
        <rFont val="Calibri"/>
        <family val="2"/>
        <scheme val="minor"/>
      </rPr>
      <t>All areas of the ISO22301 standard are covered.</t>
    </r>
  </si>
  <si>
    <r>
      <rPr>
        <b/>
        <sz val="16"/>
        <color theme="2" tint="-0.499984740745262"/>
        <rFont val="Calibri"/>
        <family val="2"/>
        <scheme val="minor"/>
      </rPr>
      <t>General guidance</t>
    </r>
    <r>
      <rPr>
        <sz val="11"/>
        <color rgb="FF444444"/>
        <rFont val="Calibri"/>
        <family val="2"/>
        <scheme val="minor"/>
      </rPr>
      <t xml:space="preserve">
</t>
    </r>
    <r>
      <rPr>
        <sz val="11"/>
        <color theme="1"/>
        <rFont val="Calibri"/>
        <family val="2"/>
        <scheme val="minor"/>
      </rPr>
      <t xml:space="preserve">This is an Excel version of a project plan that is also supplied in Microsoft Project format within the toolkit. It is intended for those users that do not have access to Microsoft Project. If you do have Project then we suggest you use that instead of this spreadsheet as it provides better project management functionality. 
The plan includes the main tasks involved in such a project, from initiation through to successful certification.  You will need to decide on the likely duration of each of the tasks and update the resources that we have allocated to suit your own organization. It is difficult to reflect task dependencies within a spreadsheet but putting the tasks in approximate order of implementation will help to track progress. </t>
    </r>
    <r>
      <rPr>
        <sz val="11"/>
        <color rgb="FF444444"/>
        <rFont val="Calibri"/>
        <family val="2"/>
        <scheme val="minor"/>
      </rPr>
      <t xml:space="preserve">
The Project Gantt chart is a pivot-table that displays the information from the Project plan in a more graphical form. </t>
    </r>
    <r>
      <rPr>
        <b/>
        <sz val="11"/>
        <color rgb="FF444444"/>
        <rFont val="Calibri"/>
        <family val="2"/>
        <scheme val="minor"/>
      </rPr>
      <t>Please note that you will need to click on the Refresh All button on the Data ribbon after each update.</t>
    </r>
  </si>
  <si>
    <r>
      <rPr>
        <b/>
        <sz val="16"/>
        <color theme="2" tint="-0.499984740745262"/>
        <rFont val="Calibri"/>
        <family val="2"/>
        <scheme val="minor"/>
      </rPr>
      <t>Copyright notice</t>
    </r>
    <r>
      <rPr>
        <sz val="11"/>
        <color rgb="FF444444"/>
        <rFont val="Calibri"/>
        <family val="2"/>
        <scheme val="minor"/>
      </rPr>
      <t xml:space="preserve">
</t>
    </r>
    <r>
      <rPr>
        <sz val="11"/>
        <color theme="1"/>
        <rFont val="Calibri"/>
        <family val="2"/>
        <scheme val="minor"/>
      </rPr>
      <t>Except for any specifically identified third-party works included, this document has been authored by CertiKit, and is ©CertiKit except as stated below. CertiKit is a company registered in England and Wales with company number 6432088.</t>
    </r>
  </si>
  <si>
    <r>
      <rPr>
        <b/>
        <sz val="16"/>
        <color theme="2" tint="-0.499984740745262"/>
        <rFont val="Calibri"/>
        <family val="2"/>
        <scheme val="minor"/>
      </rPr>
      <t>Licence terms</t>
    </r>
    <r>
      <rPr>
        <sz val="11"/>
        <color rgb="FF444444"/>
        <rFont val="Calibri"/>
        <family val="2"/>
        <scheme val="minor"/>
      </rPr>
      <t xml:space="preserve">
</t>
    </r>
    <r>
      <rPr>
        <sz val="11"/>
        <color theme="1"/>
        <rFont val="Calibri"/>
        <family val="2"/>
        <scheme val="minor"/>
      </rPr>
      <t>This document is licensed on and subject to the standard licence terms of CertiKit, available on request, or by download from our website.  All other rights are reserved.  Unless you have purchased this product you only have an evaluation licence.  If this product was purchased, a full licence is granted to the person identified as the licensee in the relevant purchase order.  The standard licence terms include special terms relating to any third party copyright included in this document.</t>
    </r>
  </si>
  <si>
    <r>
      <rPr>
        <b/>
        <sz val="16"/>
        <color theme="2" tint="-0.499984740745262"/>
        <rFont val="Calibri"/>
        <family val="2"/>
        <scheme val="minor"/>
      </rPr>
      <t>Disclaimer</t>
    </r>
    <r>
      <rPr>
        <sz val="11"/>
        <color rgb="FF444444"/>
        <rFont val="Calibri"/>
        <family val="2"/>
        <scheme val="minor"/>
      </rPr>
      <t xml:space="preserve">
</t>
    </r>
    <r>
      <rPr>
        <sz val="11"/>
        <color theme="1"/>
        <rFont val="Calibri"/>
        <family val="2"/>
        <scheme val="minor"/>
      </rPr>
      <t>Please Note: Your use of and reliance on this document template is at your sole risk. Document templates are intended to be used as a starting point only from which you will create your own document and to which you will apply all reasonable quality checks before use.
Therefore please note that it is your responsibility to ensure that the content of any document you create that is based on our templates is correct and appropriate for your needs and complies with relevant laws in your country. You should take all reasonable and proper legal and other professional advice before using this document. 
CertiKit makes no claims, promises, or guarantees about the accuracy, completeness, or adequacy of our document templates, assumes no duty of care to any person with respect its document templates or their contents, and expressly excludes and disclaims liability for any cost, expense, loss or damage suffered or incurred in reliance on our document templates, or in expectation of our document templates meeting your needs, including (without limitation) as a result of misstatements, errors and omissions in their contents.</t>
    </r>
  </si>
  <si>
    <r>
      <rPr>
        <b/>
        <sz val="16"/>
        <color theme="2" tint="-0.499984740745262"/>
        <rFont val="Calibri"/>
        <family val="2"/>
        <scheme val="minor"/>
      </rPr>
      <t>Toolkit version number</t>
    </r>
    <r>
      <rPr>
        <sz val="11"/>
        <color rgb="FF444444"/>
        <rFont val="Calibri"/>
        <family val="2"/>
        <scheme val="minor"/>
      </rPr>
      <t xml:space="preserve">
</t>
    </r>
    <r>
      <rPr>
        <sz val="11"/>
        <color theme="1"/>
        <rFont val="Calibri"/>
        <family val="2"/>
        <scheme val="minor"/>
      </rPr>
      <t>ISO22301 Toolkit Version 6</t>
    </r>
  </si>
  <si>
    <t>(blank)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</si>
</sst>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3" formatCode="_-* #,##0.00_-;\-* #,##0.00_-;_-* &quot;-&quot;??_-;_-@_-"/>
    <numFmt numFmtId="164" formatCode="&quot;£&quot;#,##0.00"/>
    <numFmt numFmtId="165" formatCode="_-* #,##0_-;\-* #,##0_-;_-* &quot;-&quot;??_-;_-@_-"/>
    <numFmt numFmtId="166" formatCode="&quot;£&quot;#,##0"/>
  </numFmts>
  <fonts count="23" x14ac:knownFonts="1">
    <font>
      <sz val="11"/>
      <color theme="1"/>
      <name val="Calibri"/>
      <family val="2"/>
      <scheme val="minor"/>
    </font>
    <font>
      <b/>
      <sz val="15"/>
      <color theme="3"/>
      <name val="Calibri"/>
      <family val="2"/>
      <scheme val="minor"/>
    </font>
    <font>
      <b/>
      <sz val="13"/>
      <color theme="3"/>
      <name val="Calibri"/>
      <family val="2"/>
      <scheme val="minor"/>
    </font>
    <font>
      <b/>
      <sz val="11"/>
      <color theme="0"/>
      <name val="Calibri"/>
      <family val="2"/>
      <scheme val="minor"/>
    </font>
    <font>
      <b/>
      <sz val="18"/>
      <color theme="1"/>
      <name val="Calibri"/>
      <family val="2"/>
      <scheme val="minor"/>
    </font>
    <font>
      <sz val="11"/>
      <color rgb="FF444444"/>
      <name val="Calibri"/>
      <family val="2"/>
      <scheme val="minor"/>
    </font>
    <font>
      <b/>
      <sz val="11"/>
      <color theme="1"/>
      <name val="Calibri"/>
      <family val="2"/>
      <scheme val="minor"/>
    </font>
    <font>
      <sz val="8"/>
      <name val="Calibri"/>
      <family val="2"/>
      <scheme val="minor"/>
    </font>
    <font>
      <sz val="11"/>
      <color theme="1"/>
      <name val="Calibri"/>
      <family val="2"/>
      <scheme val="minor"/>
    </font>
    <font>
      <sz val="11"/>
      <color theme="0"/>
      <name val="Calibri"/>
      <family val="2"/>
      <scheme val="minor"/>
    </font>
    <font>
      <sz val="18"/>
      <color theme="0"/>
      <name val="Calibri"/>
      <family val="2"/>
      <scheme val="minor"/>
    </font>
    <font>
      <b/>
      <sz val="14"/>
      <color theme="1"/>
      <name val="Calibri"/>
      <family val="2"/>
      <scheme val="minor"/>
    </font>
    <font>
      <sz val="18"/>
      <color theme="1"/>
      <name val="Calibri"/>
      <family val="2"/>
      <scheme val="minor"/>
    </font>
    <font>
      <sz val="11"/>
      <color theme="2" tint="-0.499984740745262"/>
      <name val="Calibri"/>
      <family val="2"/>
      <scheme val="minor"/>
    </font>
    <font>
      <b/>
      <sz val="14"/>
      <color theme="0"/>
      <name val="Calibri"/>
      <family val="2"/>
      <scheme val="minor"/>
    </font>
    <font>
      <b/>
      <sz val="12"/>
      <color theme="1"/>
      <name val="Calibri"/>
      <family val="2"/>
      <scheme val="minor"/>
    </font>
    <font>
      <sz val="12"/>
      <color rgb="FF444444"/>
      <name val="Calibri"/>
      <family val="2"/>
      <scheme val="minor"/>
    </font>
    <font>
      <b/>
      <sz val="16"/>
      <color theme="1"/>
      <name val="Calibri"/>
      <family val="2"/>
      <scheme val="minor"/>
    </font>
    <font>
      <b/>
      <sz val="18"/>
      <color theme="2" tint="-0.499984740745262"/>
      <name val="Calibri"/>
      <family val="2"/>
      <scheme val="minor"/>
    </font>
    <font>
      <b/>
      <sz val="16"/>
      <color theme="2" tint="-0.499984740745262"/>
      <name val="Calibri"/>
      <family val="2"/>
      <scheme val="minor"/>
    </font>
    <font>
      <i/>
      <sz val="11"/>
      <color rgb="FF444444"/>
      <name val="Calibri"/>
      <family val="2"/>
      <scheme val="minor"/>
    </font>
    <font>
      <b/>
      <sz val="11"/>
      <color rgb="FF444444"/>
      <name val="Calibri"/>
      <family val="2"/>
      <scheme val="minor"/>
    </font>
    <font>
      <sz val="12"/>
      <color theme="1"/>
      <name val="Calibri"/>
      <family val="2"/>
      <scheme val="minor"/>
    </font>
  </fonts>
  <fills count="8">
    <fill>
      <patternFill patternType="none"/>
    </fill>
    <fill>
      <patternFill patternType="gray125"/>
    </fill>
    <fill>
      <patternFill patternType="solid">
        <fgColor theme="2" tint="-0.499984740745262"/>
        <bgColor indexed="64"/>
      </patternFill>
    </fill>
    <fill>
      <patternFill patternType="solid">
        <fgColor theme="2" tint="-0.749992370372631"/>
        <bgColor indexed="64"/>
      </patternFill>
    </fill>
    <fill>
      <patternFill patternType="solid">
        <fgColor theme="2" tint="-0.249977111117893"/>
        <bgColor indexed="64"/>
      </patternFill>
    </fill>
    <fill>
      <patternFill patternType="solid">
        <fgColor theme="1" tint="0.79998168889431442"/>
        <bgColor indexed="64"/>
      </patternFill>
    </fill>
    <fill>
      <patternFill patternType="lightUp">
        <bgColor theme="2" tint="-9.9948118533890809E-2"/>
      </patternFill>
    </fill>
    <fill>
      <patternFill patternType="solid">
        <fgColor rgb="FF009BA4"/>
        <bgColor indexed="64"/>
      </patternFill>
    </fill>
  </fills>
  <borders count="3">
    <border>
      <left/>
      <right/>
      <top/>
      <bottom/>
      <diagonal/>
    </border>
    <border>
      <left/>
      <right/>
      <top/>
      <bottom style="thick">
        <color theme="4"/>
      </bottom>
      <diagonal/>
    </border>
    <border>
      <left/>
      <right/>
      <top/>
      <bottom style="thick">
        <color theme="4" tint="0.499984740745262"/>
      </bottom>
      <diagonal/>
    </border>
  </borders>
  <cellStyleXfs count="5">
    <xf numFmtId="0" fontId="0" fillId="0" borderId="0"/>
    <xf numFmtId="0" fontId="1" fillId="0" borderId="1" applyNumberFormat="0" applyFill="0" applyAlignment="0" applyProtection="0"/>
    <xf numFmtId="0" fontId="2" fillId="0" borderId="2" applyNumberFormat="0" applyFill="0" applyAlignment="0" applyProtection="0"/>
    <xf numFmtId="9" fontId="8" fillId="0" borderId="0" applyFont="0" applyFill="0" applyBorder="0" applyAlignment="0" applyProtection="0"/>
    <xf numFmtId="43" fontId="8" fillId="0" borderId="0" applyFont="0" applyFill="0" applyBorder="0" applyAlignment="0" applyProtection="0"/>
  </cellStyleXfs>
  <cellXfs count="101">
    <xf numFmtId="0" fontId="0" fillId="0" borderId="0" xfId="0"/>
    <xf numFmtId="0" fontId="4" fillId="0" borderId="0" xfId="0" applyFont="1" applyAlignment="1">
      <alignment horizontal="left" vertical="top"/>
    </xf>
    <xf numFmtId="0" fontId="0" fillId="0" borderId="0" xfId="0" applyFont="1" applyAlignment="1">
      <alignment horizontal="left" vertical="top"/>
    </xf>
    <xf numFmtId="0" fontId="6" fillId="0" borderId="0" xfId="0" applyFont="1" applyAlignment="1">
      <alignment horizontal="left" vertical="top"/>
    </xf>
    <xf numFmtId="0" fontId="0" fillId="0" borderId="0" xfId="0" applyFont="1" applyFill="1" applyAlignment="1">
      <alignment horizontal="left" vertical="top"/>
    </xf>
    <xf numFmtId="0" fontId="0" fillId="0" borderId="0" xfId="0" applyAlignment="1">
      <alignment vertical="top"/>
    </xf>
    <xf numFmtId="0" fontId="0" fillId="0" borderId="0" xfId="0" applyAlignment="1">
      <alignment horizontal="left" vertical="top"/>
    </xf>
    <xf numFmtId="0" fontId="5" fillId="0" borderId="0" xfId="0" applyFont="1" applyAlignment="1">
      <alignment horizontal="left" vertical="top"/>
    </xf>
    <xf numFmtId="164" fontId="0" fillId="0" borderId="0" xfId="0" applyNumberFormat="1" applyFont="1" applyAlignment="1">
      <alignment horizontal="left" vertical="top"/>
    </xf>
    <xf numFmtId="0" fontId="9" fillId="2" borderId="0" xfId="0" applyFont="1" applyFill="1"/>
    <xf numFmtId="0" fontId="0" fillId="0" borderId="0" xfId="0" applyNumberFormat="1"/>
    <xf numFmtId="0" fontId="0" fillId="0" borderId="0" xfId="0" applyAlignment="1">
      <alignment horizontal="left"/>
    </xf>
    <xf numFmtId="0" fontId="0" fillId="0" borderId="0" xfId="0" applyFont="1" applyAlignment="1" applyProtection="1">
      <alignment horizontal="left" vertical="top"/>
      <protection locked="0"/>
    </xf>
    <xf numFmtId="0" fontId="4" fillId="0" borderId="0" xfId="0" applyFont="1" applyAlignment="1" applyProtection="1">
      <alignment horizontal="left" vertical="top"/>
      <protection locked="0"/>
    </xf>
    <xf numFmtId="0" fontId="5" fillId="0" borderId="0" xfId="0" applyFont="1" applyAlignment="1" applyProtection="1">
      <alignment vertical="top"/>
      <protection locked="0"/>
    </xf>
    <xf numFmtId="0" fontId="6" fillId="0" borderId="0" xfId="0" applyFont="1" applyAlignment="1" applyProtection="1">
      <alignment horizontal="left" vertical="top"/>
      <protection locked="0"/>
    </xf>
    <xf numFmtId="0" fontId="0" fillId="0" borderId="0" xfId="0" applyAlignment="1" applyProtection="1">
      <alignment horizontal="left" vertical="center"/>
      <protection locked="0"/>
    </xf>
    <xf numFmtId="0" fontId="0" fillId="0" borderId="0" xfId="0" applyAlignment="1" applyProtection="1">
      <alignment horizontal="left" vertical="center" wrapText="1"/>
      <protection locked="0"/>
    </xf>
    <xf numFmtId="0" fontId="0" fillId="0" borderId="0" xfId="0" applyAlignment="1" applyProtection="1">
      <alignment horizontal="left" vertical="top"/>
      <protection locked="0"/>
    </xf>
    <xf numFmtId="0" fontId="0" fillId="0" borderId="0" xfId="0" applyAlignment="1" applyProtection="1">
      <alignment horizontal="center" vertical="center"/>
      <protection locked="0"/>
    </xf>
    <xf numFmtId="0" fontId="0" fillId="0" borderId="0" xfId="0" applyAlignment="1" applyProtection="1">
      <alignment vertical="top"/>
      <protection locked="0"/>
    </xf>
    <xf numFmtId="14" fontId="0" fillId="0" borderId="0" xfId="0" applyNumberFormat="1" applyAlignment="1" applyProtection="1">
      <alignment horizontal="left" vertical="top" wrapText="1"/>
      <protection locked="0"/>
    </xf>
    <xf numFmtId="0" fontId="5" fillId="0" borderId="0" xfId="0" applyFont="1" applyAlignment="1" applyProtection="1">
      <alignment horizontal="left" vertical="top"/>
      <protection locked="0"/>
    </xf>
    <xf numFmtId="0" fontId="0" fillId="0" borderId="0" xfId="0" applyProtection="1">
      <protection locked="0"/>
    </xf>
    <xf numFmtId="0" fontId="0" fillId="0" borderId="0" xfId="0" applyAlignment="1" applyProtection="1">
      <alignment vertical="center"/>
      <protection locked="0"/>
    </xf>
    <xf numFmtId="0" fontId="5" fillId="0" borderId="0" xfId="0" applyFont="1" applyProtection="1">
      <protection locked="0"/>
    </xf>
    <xf numFmtId="0" fontId="0" fillId="0" borderId="0" xfId="0" applyFont="1" applyFill="1" applyAlignment="1" applyProtection="1">
      <alignment horizontal="left" vertical="top"/>
      <protection locked="0"/>
    </xf>
    <xf numFmtId="14" fontId="0" fillId="0" borderId="0" xfId="0" applyNumberFormat="1" applyAlignment="1" applyProtection="1">
      <alignment horizontal="left" vertical="top" wrapText="1"/>
    </xf>
    <xf numFmtId="14" fontId="0" fillId="0" borderId="0" xfId="0" applyNumberFormat="1" applyFont="1" applyFill="1" applyAlignment="1" applyProtection="1">
      <alignment horizontal="left" vertical="top" wrapText="1"/>
    </xf>
    <xf numFmtId="1" fontId="0" fillId="0" borderId="0" xfId="0" applyNumberFormat="1" applyAlignment="1" applyProtection="1">
      <alignment horizontal="left" vertical="top" wrapText="1"/>
      <protection locked="0"/>
    </xf>
    <xf numFmtId="9" fontId="0" fillId="0" borderId="0" xfId="3" applyFont="1" applyFill="1" applyAlignment="1">
      <alignment horizontal="left" vertical="top"/>
    </xf>
    <xf numFmtId="0" fontId="3" fillId="2" borderId="0" xfId="0" applyFont="1" applyFill="1"/>
    <xf numFmtId="9" fontId="3" fillId="2" borderId="0" xfId="0" applyNumberFormat="1" applyFont="1" applyFill="1" applyAlignment="1">
      <alignment horizontal="center" vertical="top"/>
    </xf>
    <xf numFmtId="0" fontId="3" fillId="2" borderId="0" xfId="0" applyFont="1" applyFill="1" applyAlignment="1">
      <alignment horizontal="left" vertical="top"/>
    </xf>
    <xf numFmtId="0" fontId="0" fillId="0" borderId="0" xfId="0" applyFill="1"/>
    <xf numFmtId="0" fontId="5" fillId="0" borderId="0" xfId="0" applyFont="1" applyFill="1" applyAlignment="1">
      <alignment vertical="top"/>
    </xf>
    <xf numFmtId="0" fontId="9" fillId="0" borderId="0" xfId="0" applyFont="1" applyFill="1" applyAlignment="1">
      <alignment vertical="top"/>
    </xf>
    <xf numFmtId="0" fontId="9" fillId="0" borderId="0" xfId="0" applyFont="1" applyFill="1" applyAlignment="1">
      <alignment vertical="top" wrapText="1"/>
    </xf>
    <xf numFmtId="0" fontId="9" fillId="0" borderId="0" xfId="0" applyFont="1" applyFill="1"/>
    <xf numFmtId="0" fontId="10" fillId="0" borderId="0" xfId="0" applyFont="1" applyFill="1" applyAlignment="1">
      <alignment vertical="top"/>
    </xf>
    <xf numFmtId="0" fontId="9" fillId="2" borderId="0" xfId="0" applyFont="1" applyFill="1" applyAlignment="1">
      <alignment vertical="top"/>
    </xf>
    <xf numFmtId="0" fontId="9" fillId="2" borderId="0" xfId="0" applyFont="1" applyFill="1" applyAlignment="1">
      <alignment vertical="top" wrapText="1"/>
    </xf>
    <xf numFmtId="0" fontId="12" fillId="0" borderId="0" xfId="0" applyFont="1" applyFill="1" applyAlignment="1">
      <alignment vertical="top"/>
    </xf>
    <xf numFmtId="0" fontId="0" fillId="0" borderId="0" xfId="0" applyFont="1" applyFill="1" applyAlignment="1">
      <alignment vertical="top"/>
    </xf>
    <xf numFmtId="0" fontId="0" fillId="0" borderId="0" xfId="0" applyFont="1" applyFill="1" applyAlignment="1">
      <alignment vertical="top" wrapText="1"/>
    </xf>
    <xf numFmtId="0" fontId="0" fillId="5" borderId="0" xfId="0" applyFont="1" applyFill="1" applyAlignment="1">
      <alignment vertical="top"/>
    </xf>
    <xf numFmtId="0" fontId="9" fillId="7" borderId="0" xfId="0" applyFont="1" applyFill="1"/>
    <xf numFmtId="0" fontId="3" fillId="7" borderId="0" xfId="0" applyFont="1" applyFill="1"/>
    <xf numFmtId="0" fontId="0" fillId="0" borderId="0" xfId="0" applyNumberFormat="1" applyFill="1"/>
    <xf numFmtId="0" fontId="0" fillId="2" borderId="0" xfId="0" applyFill="1"/>
    <xf numFmtId="0" fontId="3" fillId="0" borderId="0" xfId="0" applyFont="1" applyFill="1"/>
    <xf numFmtId="0" fontId="0" fillId="0" borderId="0" xfId="0" applyFont="1" applyAlignment="1">
      <alignment horizontal="right" vertical="top"/>
    </xf>
    <xf numFmtId="9" fontId="0" fillId="0" borderId="0" xfId="3" applyFont="1" applyFill="1"/>
    <xf numFmtId="3" fontId="0" fillId="0" borderId="0" xfId="0" applyNumberFormat="1"/>
    <xf numFmtId="165" fontId="0" fillId="0" borderId="0" xfId="4" applyNumberFormat="1" applyFont="1" applyAlignment="1">
      <alignment horizontal="left" vertical="top"/>
    </xf>
    <xf numFmtId="3" fontId="9" fillId="2" borderId="0" xfId="0" applyNumberFormat="1" applyFont="1" applyFill="1"/>
    <xf numFmtId="0" fontId="0" fillId="2" borderId="0" xfId="0" applyFont="1" applyFill="1" applyAlignment="1" applyProtection="1">
      <alignment horizontal="left" vertical="top"/>
      <protection locked="0"/>
    </xf>
    <xf numFmtId="0" fontId="14" fillId="0" borderId="0" xfId="0" applyFont="1" applyFill="1" applyAlignment="1">
      <alignment vertical="top"/>
    </xf>
    <xf numFmtId="0" fontId="9" fillId="0" borderId="0" xfId="0" applyFont="1" applyFill="1" applyAlignment="1" applyProtection="1">
      <alignment horizontal="left" vertical="top"/>
      <protection locked="0"/>
    </xf>
    <xf numFmtId="0" fontId="0" fillId="0" borderId="0" xfId="0" applyFill="1" applyAlignment="1" applyProtection="1">
      <alignment vertical="top"/>
      <protection locked="0"/>
    </xf>
    <xf numFmtId="0" fontId="5" fillId="2" borderId="0" xfId="0" applyFont="1" applyFill="1" applyAlignment="1">
      <alignment vertical="top"/>
    </xf>
    <xf numFmtId="0" fontId="14" fillId="2" borderId="0" xfId="0" applyFont="1" applyFill="1" applyAlignment="1"/>
    <xf numFmtId="0" fontId="0" fillId="2" borderId="0" xfId="0" applyFill="1" applyAlignment="1" applyProtection="1">
      <alignment vertical="top"/>
      <protection locked="0"/>
    </xf>
    <xf numFmtId="0" fontId="6" fillId="2" borderId="0" xfId="0" applyFont="1" applyFill="1" applyAlignment="1">
      <alignment horizontal="left" vertical="top"/>
    </xf>
    <xf numFmtId="0" fontId="14" fillId="2" borderId="0" xfId="0" applyFont="1" applyFill="1" applyAlignment="1">
      <alignment vertical="top"/>
    </xf>
    <xf numFmtId="0" fontId="14" fillId="2" borderId="0" xfId="0" applyFont="1" applyFill="1" applyAlignment="1" applyProtection="1">
      <alignment vertical="top"/>
    </xf>
    <xf numFmtId="0" fontId="0" fillId="0" borderId="0" xfId="0" applyFont="1" applyAlignment="1" applyProtection="1">
      <alignment horizontal="center" vertical="top"/>
      <protection locked="0"/>
    </xf>
    <xf numFmtId="0" fontId="0" fillId="0" borderId="0" xfId="0" applyAlignment="1" applyProtection="1">
      <alignment horizontal="center" vertical="center" wrapText="1"/>
      <protection locked="0"/>
    </xf>
    <xf numFmtId="0" fontId="15" fillId="0" borderId="0" xfId="0" applyFont="1" applyAlignment="1">
      <alignment horizontal="left" vertical="top"/>
    </xf>
    <xf numFmtId="0" fontId="16" fillId="0" borderId="0" xfId="0" applyFont="1" applyAlignment="1">
      <alignment horizontal="right" vertical="center"/>
    </xf>
    <xf numFmtId="0" fontId="17" fillId="0" borderId="0" xfId="0" applyFont="1" applyAlignment="1" applyProtection="1">
      <alignment horizontal="left" vertical="top"/>
      <protection locked="0"/>
    </xf>
    <xf numFmtId="0" fontId="0" fillId="0" borderId="0" xfId="0" applyFont="1" applyFill="1" applyAlignment="1">
      <alignment horizontal="right" vertical="top"/>
    </xf>
    <xf numFmtId="0" fontId="15" fillId="0" borderId="0" xfId="0" applyFont="1" applyAlignment="1">
      <alignment vertical="top"/>
    </xf>
    <xf numFmtId="0" fontId="0" fillId="0" borderId="0" xfId="0" applyAlignment="1">
      <alignment vertical="top" wrapText="1"/>
    </xf>
    <xf numFmtId="0" fontId="0" fillId="0" borderId="0" xfId="0" applyAlignment="1">
      <alignment horizontal="left" vertical="top" wrapText="1"/>
    </xf>
    <xf numFmtId="0" fontId="0" fillId="0" borderId="0" xfId="0" applyFill="1" applyAlignment="1">
      <alignment vertical="top"/>
    </xf>
    <xf numFmtId="0" fontId="0" fillId="0" borderId="0" xfId="0" applyFill="1" applyAlignment="1">
      <alignment vertical="top" wrapText="1"/>
    </xf>
    <xf numFmtId="9" fontId="0" fillId="0" borderId="0" xfId="0" applyNumberFormat="1" applyFill="1" applyAlignment="1">
      <alignment vertical="top"/>
    </xf>
    <xf numFmtId="0" fontId="13" fillId="2" borderId="0" xfId="0" applyFont="1" applyFill="1" applyAlignment="1">
      <alignment vertical="top"/>
    </xf>
    <xf numFmtId="0" fontId="4" fillId="0" borderId="0" xfId="0" applyFont="1" applyFill="1" applyAlignment="1">
      <alignment vertical="top"/>
    </xf>
    <xf numFmtId="0" fontId="0" fillId="4" borderId="0" xfId="0" applyFont="1" applyFill="1" applyAlignment="1">
      <alignment vertical="top"/>
    </xf>
    <xf numFmtId="0" fontId="0" fillId="3" borderId="0" xfId="0" applyFont="1" applyFill="1" applyAlignment="1">
      <alignment vertical="top"/>
    </xf>
    <xf numFmtId="0" fontId="0" fillId="6" borderId="0" xfId="0" applyFont="1" applyFill="1" applyAlignment="1">
      <alignment vertical="top"/>
    </xf>
    <xf numFmtId="16" fontId="0" fillId="0" borderId="0" xfId="0" applyNumberFormat="1" applyFill="1" applyAlignment="1">
      <alignment vertical="top"/>
    </xf>
    <xf numFmtId="0" fontId="11" fillId="0" borderId="0" xfId="0" applyFont="1"/>
    <xf numFmtId="0" fontId="11" fillId="0" borderId="0" xfId="0" applyFont="1" applyAlignment="1">
      <alignment horizontal="left" vertical="top"/>
    </xf>
    <xf numFmtId="49" fontId="0" fillId="0" borderId="0" xfId="0" applyNumberFormat="1" applyAlignment="1" applyProtection="1">
      <alignment vertical="top"/>
      <protection locked="0"/>
    </xf>
    <xf numFmtId="49" fontId="0" fillId="0" borderId="0" xfId="0" applyNumberFormat="1" applyAlignment="1" applyProtection="1">
      <alignment horizontal="left" vertical="top" wrapText="1"/>
      <protection locked="0"/>
    </xf>
    <xf numFmtId="49" fontId="5" fillId="0" borderId="0" xfId="0" applyNumberFormat="1" applyFont="1" applyAlignment="1" applyProtection="1">
      <alignment vertical="top" wrapText="1"/>
      <protection locked="0"/>
    </xf>
    <xf numFmtId="49" fontId="5" fillId="0" borderId="0" xfId="0" applyNumberFormat="1" applyFont="1" applyAlignment="1" applyProtection="1">
      <alignment horizontal="left" vertical="top" wrapText="1"/>
      <protection locked="0"/>
    </xf>
    <xf numFmtId="49" fontId="0" fillId="0" borderId="0" xfId="0" applyNumberFormat="1" applyAlignment="1" applyProtection="1">
      <alignment vertical="top" wrapText="1"/>
      <protection locked="0"/>
    </xf>
    <xf numFmtId="9" fontId="0" fillId="0" borderId="0" xfId="0" applyNumberFormat="1" applyAlignment="1" applyProtection="1">
      <alignment horizontal="center" vertical="top" wrapText="1"/>
    </xf>
    <xf numFmtId="0" fontId="5" fillId="0" borderId="0" xfId="0" applyFont="1" applyAlignment="1">
      <alignment vertical="top"/>
    </xf>
    <xf numFmtId="0" fontId="5" fillId="0" borderId="0" xfId="0" applyFont="1" applyAlignment="1">
      <alignment horizontal="right" vertical="top"/>
    </xf>
    <xf numFmtId="0" fontId="5" fillId="0" borderId="0" xfId="0" applyFont="1" applyAlignment="1">
      <alignment vertical="top" wrapText="1"/>
    </xf>
    <xf numFmtId="0" fontId="20" fillId="0" borderId="0" xfId="0" applyFont="1" applyAlignment="1">
      <alignment vertical="top"/>
    </xf>
    <xf numFmtId="165" fontId="3" fillId="2" borderId="0" xfId="0" applyNumberFormat="1" applyFont="1" applyFill="1" applyAlignment="1">
      <alignment horizontal="left" vertical="top"/>
    </xf>
    <xf numFmtId="0" fontId="22" fillId="0" borderId="0" xfId="0" applyFont="1" applyAlignment="1">
      <alignment horizontal="left" vertical="top"/>
    </xf>
    <xf numFmtId="0" fontId="17" fillId="0" borderId="0" xfId="0" applyFont="1" applyFill="1" applyAlignment="1">
      <alignment vertical="top" wrapText="1"/>
    </xf>
    <xf numFmtId="0" fontId="11" fillId="0" borderId="0" xfId="0" applyFont="1" applyFill="1" applyAlignment="1">
      <alignment vertical="top" wrapText="1"/>
    </xf>
    <xf numFmtId="0" fontId="15" fillId="0" borderId="0" xfId="0" applyFont="1" applyFill="1" applyAlignment="1">
      <alignment vertical="top" wrapText="1"/>
    </xf>
  </cellXfs>
  <cellStyles count="5">
    <cellStyle name="Comma" xfId="4" builtinId="3"/>
    <cellStyle name="Heading 1" xfId="1" builtinId="16" customBuiltin="1"/>
    <cellStyle name="Heading 2" xfId="2" builtinId="17" customBuiltin="1"/>
    <cellStyle name="Normal" xfId="0" builtinId="0"/>
    <cellStyle name="Percent" xfId="3" builtinId="5"/>
  </cellStyles>
  <dxfs count="761">
    <dxf>
      <font>
        <color theme="0"/>
      </font>
    </dxf>
    <dxf>
      <font>
        <color theme="0"/>
      </font>
    </dxf>
    <dxf>
      <fill>
        <patternFill patternType="solid">
          <bgColor theme="2" tint="-0.499984740745262"/>
        </patternFill>
      </fill>
    </dxf>
    <dxf>
      <fill>
        <patternFill patternType="solid">
          <bgColor theme="2" tint="-0.499984740745262"/>
        </patternFill>
      </fill>
    </dxf>
    <dxf>
      <font>
        <color theme="0"/>
      </font>
    </dxf>
    <dxf>
      <fill>
        <patternFill patternType="solid">
          <bgColor theme="2" tint="-0.499984740745262"/>
        </patternFill>
      </fill>
    </dxf>
    <dxf>
      <numFmt numFmtId="3" formatCode="#,##0"/>
    </dxf>
    <dxf>
      <numFmt numFmtId="3" formatCode="#,##0"/>
    </dxf>
    <dxf>
      <fill>
        <patternFill patternType="solid">
          <bgColor theme="2" tint="-0.499984740745262"/>
        </patternFill>
      </fill>
    </dxf>
    <dxf>
      <fill>
        <patternFill patternType="solid">
          <bgColor theme="2" tint="-0.499984740745262"/>
        </patternFill>
      </fill>
    </dxf>
    <dxf>
      <font>
        <color theme="0"/>
      </font>
    </dxf>
    <dxf>
      <font>
        <color theme="0"/>
      </font>
    </dxf>
    <dxf>
      <fill>
        <patternFill patternType="solid">
          <bgColor theme="2" tint="-0.499984740745262"/>
        </patternFill>
      </fill>
    </dxf>
    <dxf>
      <font>
        <color theme="0"/>
      </font>
    </dxf>
    <dxf>
      <fill>
        <patternFill>
          <bgColor rgb="FF009BA4"/>
        </patternFill>
      </fill>
    </dxf>
    <dxf>
      <font>
        <color theme="0"/>
      </font>
    </dxf>
    <dxf>
      <fill>
        <patternFill patternType="solid">
          <bgColor theme="2" tint="-9.9978637043366805E-2"/>
        </patternFill>
      </fill>
    </dxf>
    <dxf>
      <fill>
        <patternFill>
          <bgColor theme="2" tint="-0.499984740745262"/>
        </patternFill>
      </fill>
    </dxf>
    <dxf>
      <fill>
        <patternFill>
          <bgColor theme="2" tint="-0.499984740745262"/>
        </patternFill>
      </fill>
    </dxf>
    <dxf>
      <font>
        <color theme="0"/>
      </font>
    </dxf>
    <dxf>
      <font>
        <color theme="0"/>
      </font>
    </dxf>
    <dxf>
      <fill>
        <patternFill patternType="solid">
          <bgColor theme="2" tint="-0.249977111117893"/>
        </patternFill>
      </fill>
    </dxf>
    <dxf>
      <fill>
        <patternFill patternType="solid">
          <bgColor theme="2" tint="-0.249977111117893"/>
        </patternFill>
      </fill>
    </dxf>
    <dxf>
      <font>
        <b/>
        <color theme="0"/>
      </font>
      <fill>
        <patternFill patternType="solid">
          <fgColor indexed="64"/>
          <bgColor rgb="FF009BA4"/>
        </patternFill>
      </fill>
      <alignment horizontal="general" vertical="bottom" textRotation="0" wrapText="0" indent="0" justifyLastLine="0" shrinkToFit="0" readingOrder="0"/>
    </dxf>
    <dxf>
      <font>
        <b/>
        <color theme="0"/>
      </font>
      <fill>
        <patternFill patternType="solid">
          <fgColor indexed="64"/>
          <bgColor rgb="FF009BA4"/>
        </patternFill>
      </fill>
      <alignment horizontal="general" vertical="bottom" textRotation="0" wrapText="0" indent="0" justifyLastLine="0" shrinkToFit="0" readingOrder="0"/>
    </dxf>
    <dxf>
      <font>
        <b/>
        <color theme="0"/>
      </font>
      <fill>
        <patternFill patternType="solid">
          <fgColor indexed="64"/>
          <bgColor rgb="FF009BA4"/>
        </patternFill>
      </fill>
    </dxf>
    <dxf>
      <font>
        <b/>
        <color theme="0"/>
      </font>
      <fill>
        <patternFill patternType="solid">
          <fgColor indexed="64"/>
          <bgColor rgb="FF009BA4"/>
        </patternFill>
      </fill>
    </dxf>
    <dxf>
      <alignment wrapText="0"/>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font>
        <color theme="2" tint="-0.499984740745262"/>
      </font>
    </dxf>
    <dxf>
      <fill>
        <patternFill patternType="solid">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patternType="solid">
          <bgColor theme="2" tint="-0.749992370372631"/>
        </patternFill>
      </fill>
    </dxf>
    <dxf>
      <fill>
        <patternFill patternType="solid">
          <bgColor theme="2" tint="-0.749992370372631"/>
        </patternFill>
      </fill>
    </dxf>
    <dxf>
      <fill>
        <patternFill patternType="solid">
          <bgColor theme="2" tint="-0.749992370372631"/>
        </patternFill>
      </fill>
    </dxf>
    <dxf>
      <fill>
        <patternFill patternType="solid">
          <bgColor theme="2" tint="-0.749992370372631"/>
        </patternFill>
      </fill>
    </dxf>
    <dxf>
      <fill>
        <patternFill patternType="solid">
          <bgColor theme="2" tint="-0.749992370372631"/>
        </patternFill>
      </fill>
    </dxf>
    <dxf>
      <fill>
        <patternFill patternType="solid">
          <bgColor theme="2" tint="-0.749992370372631"/>
        </patternFill>
      </fill>
    </dxf>
    <dxf>
      <fill>
        <patternFill patternType="solid">
          <bgColor theme="2" tint="-0.749992370372631"/>
        </patternFill>
      </fill>
    </dxf>
    <dxf>
      <fill>
        <patternFill patternType="solid">
          <bgColor theme="2" tint="-0.749992370372631"/>
        </patternFill>
      </fill>
    </dxf>
    <dxf>
      <font>
        <color theme="0"/>
      </font>
    </dxf>
    <dxf>
      <font>
        <color theme="0"/>
      </font>
    </dxf>
    <dxf>
      <font>
        <color theme="0"/>
      </font>
    </dxf>
    <dxf>
      <font>
        <color theme="0"/>
      </font>
    </dxf>
    <dxf>
      <font>
        <color theme="0"/>
      </font>
    </dxf>
    <dxf>
      <font>
        <color theme="0"/>
      </font>
    </dxf>
    <dxf>
      <font>
        <color theme="0"/>
      </font>
    </dxf>
    <dxf>
      <font>
        <color theme="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ont>
        <color rgb="FFFFFFFF"/>
      </font>
    </dxf>
    <dxf>
      <font>
        <color rgb="FFFFFFFF"/>
      </font>
    </dxf>
    <dxf>
      <font>
        <color rgb="FFFFFFFF"/>
      </font>
    </dxf>
    <dxf>
      <font>
        <color rgb="FFFFFFFF"/>
      </font>
    </dxf>
    <dxf>
      <font>
        <color rgb="FFFFFFFF"/>
      </font>
    </dxf>
    <dxf>
      <font>
        <color rgb="FFFFFFFF"/>
      </font>
    </dxf>
    <dxf>
      <font>
        <color rgb="FFFFFFFF"/>
      </font>
    </dxf>
    <dxf>
      <font>
        <color rgb="FFFFFFFF"/>
      </font>
    </dxf>
    <dxf>
      <font>
        <color rgb="FFFFFFFF"/>
      </font>
    </dxf>
    <dxf>
      <fill>
        <patternFill patternType="solid">
          <bgColor theme="2" tint="-0.749992370372631"/>
        </patternFill>
      </fill>
    </dxf>
    <dxf>
      <fill>
        <patternFill patternType="solid">
          <bgColor theme="2" tint="-0.749992370372631"/>
        </patternFill>
      </fill>
    </dxf>
    <dxf>
      <fill>
        <patternFill patternType="solid">
          <bgColor theme="2" tint="-0.749992370372631"/>
        </patternFill>
      </fill>
    </dxf>
    <dxf>
      <fill>
        <patternFill patternType="solid">
          <bgColor theme="2" tint="-0.749992370372631"/>
        </patternFill>
      </fill>
    </dxf>
    <dxf>
      <fill>
        <patternFill patternType="solid">
          <bgColor theme="2" tint="-0.749992370372631"/>
        </patternFill>
      </fill>
    </dxf>
    <dxf>
      <fill>
        <patternFill patternType="solid">
          <bgColor theme="2" tint="-0.749992370372631"/>
        </patternFill>
      </fill>
    </dxf>
    <dxf>
      <fill>
        <patternFill patternType="solid">
          <bgColor theme="2" tint="-0.749992370372631"/>
        </patternFill>
      </fill>
    </dxf>
    <dxf>
      <fill>
        <patternFill patternType="solid">
          <bgColor theme="2" tint="-0.749992370372631"/>
        </patternFill>
      </fill>
    </dxf>
    <dxf>
      <fill>
        <patternFill patternType="solid">
          <bgColor theme="2" tint="-0.749992370372631"/>
        </patternFill>
      </fill>
    </dxf>
    <dxf>
      <font>
        <color auto="1"/>
      </font>
    </dxf>
    <dxf>
      <font>
        <color auto="1"/>
      </font>
    </dxf>
    <dxf>
      <font>
        <color auto="1"/>
      </font>
    </dxf>
    <dxf>
      <font>
        <color auto="1"/>
      </font>
    </dxf>
    <dxf>
      <font>
        <color auto="1"/>
      </font>
    </dxf>
    <dxf>
      <font>
        <color auto="1"/>
      </font>
    </dxf>
    <dxf>
      <font>
        <color auto="1"/>
      </font>
    </dxf>
    <dxf>
      <font>
        <color auto="1"/>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theme="1"/>
      </font>
    </dxf>
    <dxf>
      <alignment vertical="top"/>
    </dxf>
    <dxf>
      <alignment vertical="top"/>
    </dxf>
    <dxf>
      <alignment vertical="top"/>
    </dxf>
    <dxf>
      <alignment vertical="top"/>
    </dxf>
    <dxf>
      <alignment vertical="top"/>
    </dxf>
    <dxf>
      <alignment vertical="top"/>
    </dxf>
    <dxf>
      <alignment vertical="top"/>
    </dxf>
    <dxf>
      <alignment vertical="top"/>
    </dxf>
    <dxf>
      <font>
        <color theme="1"/>
      </font>
    </dxf>
    <dxf>
      <font>
        <color theme="1"/>
      </font>
    </dxf>
    <dxf>
      <font>
        <color theme="1"/>
      </font>
    </dxf>
    <dxf>
      <font>
        <color theme="1"/>
      </font>
    </dxf>
    <dxf>
      <font>
        <color theme="1"/>
      </font>
    </dxf>
    <dxf>
      <font>
        <color theme="1"/>
      </font>
    </dxf>
    <dxf>
      <font>
        <color theme="1"/>
      </font>
    </dxf>
    <dxf>
      <font>
        <color theme="1"/>
      </font>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ont>
        <color theme="0"/>
      </font>
    </dxf>
    <dxf>
      <fill>
        <patternFill patternType="solid">
          <bgColor theme="2" tint="-0.499984740745262"/>
        </patternFill>
      </fill>
    </dxf>
    <dxf>
      <alignment wrapText="1"/>
    </dxf>
    <dxf>
      <alignment wrapText="1"/>
    </dxf>
    <dxf>
      <alignment vertical="center"/>
    </dxf>
    <dxf>
      <alignment vertical="center"/>
    </dxf>
    <dxf>
      <alignment vertical="center"/>
    </dxf>
    <dxf>
      <alignment vertical="center"/>
    </dxf>
    <dxf>
      <alignment vertical="center"/>
    </dxf>
    <dxf>
      <alignment vertical="center"/>
    </dxf>
    <dxf>
      <alignment vertical="center"/>
    </dxf>
    <dxf>
      <alignment vertical="center"/>
    </dxf>
    <dxf>
      <font>
        <color theme="0"/>
      </font>
    </dxf>
    <dxf>
      <font>
        <color theme="0"/>
      </font>
    </dxf>
    <dxf>
      <font>
        <color theme="0"/>
      </font>
    </dxf>
    <dxf>
      <font>
        <color theme="0"/>
      </font>
    </dxf>
    <dxf>
      <font>
        <color theme="0"/>
      </font>
    </dxf>
    <dxf>
      <font>
        <color theme="0"/>
      </font>
    </dxf>
    <dxf>
      <font>
        <color theme="0"/>
      </font>
    </dxf>
    <dxf>
      <font>
        <color theme="0"/>
      </font>
    </dxf>
    <dxf>
      <fill>
        <patternFill patternType="solid">
          <bgColor theme="2" tint="-0.499984740745262"/>
        </patternFill>
      </fill>
    </dxf>
    <dxf>
      <fill>
        <patternFill patternType="solid">
          <bgColor theme="2" tint="-0.499984740745262"/>
        </patternFill>
      </fill>
    </dxf>
    <dxf>
      <fill>
        <patternFill patternType="solid">
          <bgColor theme="2" tint="-0.499984740745262"/>
        </patternFill>
      </fill>
    </dxf>
    <dxf>
      <fill>
        <patternFill patternType="solid">
          <bgColor theme="2" tint="-0.499984740745262"/>
        </patternFill>
      </fill>
    </dxf>
    <dxf>
      <fill>
        <patternFill patternType="solid">
          <bgColor theme="2" tint="-0.499984740745262"/>
        </patternFill>
      </fill>
    </dxf>
    <dxf>
      <fill>
        <patternFill patternType="solid">
          <bgColor theme="2" tint="-0.499984740745262"/>
        </patternFill>
      </fill>
    </dxf>
    <dxf>
      <fill>
        <patternFill patternType="solid">
          <bgColor theme="2" tint="-0.499984740745262"/>
        </patternFill>
      </fill>
    </dxf>
    <dxf>
      <fill>
        <patternFill patternType="solid">
          <bgColor theme="2" tint="-0.499984740745262"/>
        </patternFill>
      </fill>
    </dxf>
    <dxf>
      <fill>
        <patternFill>
          <bgColor theme="2" tint="-0.749961851863155"/>
        </patternFill>
      </fill>
      <border>
        <top style="thin">
          <color rgb="FFFFFFFF"/>
        </top>
        <bottom style="thin">
          <color rgb="FFFFFFFF"/>
        </bottom>
        <vertical/>
        <horizontal/>
      </border>
    </dxf>
    <dxf>
      <fill>
        <patternFill>
          <bgColor theme="2" tint="-0.24994659260841701"/>
        </patternFill>
      </fill>
      <border>
        <top style="thin">
          <color rgb="FFFFFFFF"/>
        </top>
        <bottom style="thin">
          <color rgb="FFFFFFFF"/>
        </bottom>
      </border>
    </dxf>
    <dxf>
      <fill>
        <patternFill>
          <bgColor theme="0" tint="-0.14996795556505021"/>
        </patternFill>
      </fill>
      <border>
        <top style="thin">
          <color theme="0"/>
        </top>
        <bottom style="thin">
          <color theme="0"/>
        </bottom>
        <vertical/>
        <horizontal/>
      </border>
    </dxf>
    <dxf>
      <fill>
        <patternFill patternType="lightUp">
          <bgColor theme="2" tint="-9.9948118533890809E-2"/>
        </patternFill>
      </fill>
    </dxf>
    <dxf>
      <fill>
        <patternFill>
          <bgColor theme="2" tint="-0.499984740745262"/>
        </patternFill>
      </fill>
    </dxf>
    <dxf>
      <font>
        <b/>
        <i val="0"/>
        <color theme="0"/>
      </font>
      <fill>
        <patternFill>
          <bgColor theme="2" tint="-0.499984740745262"/>
        </patternFill>
      </fill>
      <border>
        <left style="thin">
          <color theme="0"/>
        </left>
        <right style="thin">
          <color theme="0"/>
        </right>
        <top/>
        <bottom/>
        <vertical/>
        <horizontal/>
      </border>
    </dxf>
    <dxf>
      <font>
        <b/>
        <i val="0"/>
        <strike val="0"/>
        <condense val="0"/>
        <extend val="0"/>
        <outline val="0"/>
        <shadow val="0"/>
        <u val="none"/>
        <vertAlign val="baseline"/>
        <sz val="11"/>
        <color theme="0"/>
        <name val="Calibri"/>
        <family val="2"/>
        <scheme val="minor"/>
      </font>
      <numFmt numFmtId="165" formatCode="_-* #,##0_-;\-* #,##0_-;_-* &quot;-&quot;??_-;_-@_-"/>
      <fill>
        <patternFill patternType="solid">
          <fgColor indexed="64"/>
          <bgColor theme="2" tint="-0.499984740745262"/>
        </patternFill>
      </fill>
      <alignment horizontal="left" vertical="top"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 #,##0_-;_-* &quot;-&quot;??_-;_-@_-"/>
      <alignment horizontal="left" vertical="top" textRotation="0" wrapText="0" indent="0" justifyLastLine="0" shrinkToFit="0" readingOrder="0"/>
    </dxf>
    <dxf>
      <font>
        <b/>
        <i val="0"/>
        <strike val="0"/>
        <condense val="0"/>
        <extend val="0"/>
        <outline val="0"/>
        <shadow val="0"/>
        <u val="none"/>
        <vertAlign val="baseline"/>
        <sz val="11"/>
        <color theme="0"/>
        <name val="Calibri"/>
        <family val="2"/>
        <scheme val="minor"/>
      </font>
      <numFmt numFmtId="165" formatCode="_-* #,##0_-;\-* #,##0_-;_-* &quot;-&quot;??_-;_-@_-"/>
      <fill>
        <patternFill patternType="solid">
          <fgColor indexed="64"/>
          <bgColor theme="2" tint="-0.499984740745262"/>
        </patternFill>
      </fill>
      <alignment horizontal="left" vertical="top"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 #,##0_-;_-* &quot;-&quot;??_-;_-@_-"/>
      <alignment horizontal="left" vertical="top" textRotation="0" wrapText="0" indent="0" justifyLastLine="0" shrinkToFit="0" readingOrder="0"/>
    </dxf>
    <dxf>
      <font>
        <b/>
        <i val="0"/>
        <strike val="0"/>
        <condense val="0"/>
        <extend val="0"/>
        <outline val="0"/>
        <shadow val="0"/>
        <u val="none"/>
        <vertAlign val="baseline"/>
        <sz val="11"/>
        <color theme="0"/>
        <name val="Calibri"/>
        <family val="2"/>
        <scheme val="minor"/>
      </font>
      <numFmt numFmtId="165" formatCode="_-* #,##0_-;\-* #,##0_-;_-* &quot;-&quot;??_-;_-@_-"/>
      <fill>
        <patternFill patternType="solid">
          <fgColor indexed="64"/>
          <bgColor theme="2" tint="-0.499984740745262"/>
        </patternFill>
      </fill>
      <alignment horizontal="left" vertical="top" textRotation="0" wrapText="0" indent="0" justifyLastLine="0" shrinkToFit="0" readingOrder="0"/>
    </dxf>
    <dxf>
      <numFmt numFmtId="165" formatCode="_-* #,##0_-;\-* #,##0_-;_-* &quot;-&quot;??_-;_-@_-"/>
      <alignment horizontal="left" vertical="top"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2" tint="-0.499984740745262"/>
        </patternFill>
      </fill>
      <alignment horizontal="left" vertical="top"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top" textRotation="0" wrapText="0" indent="0" justifyLastLine="0" shrinkToFit="0" readingOrder="0"/>
    </dxf>
    <dxf>
      <font>
        <b/>
        <strike val="0"/>
        <outline val="0"/>
        <shadow val="0"/>
        <u val="none"/>
        <vertAlign val="baseline"/>
        <sz val="11"/>
        <color theme="0"/>
        <name val="Calibri"/>
        <family val="2"/>
        <scheme val="minor"/>
      </font>
      <fill>
        <patternFill patternType="solid">
          <fgColor indexed="64"/>
          <bgColor theme="2" tint="-0.499984740745262"/>
        </patternFill>
      </fill>
    </dxf>
    <dxf>
      <font>
        <b/>
        <i val="0"/>
        <strike val="0"/>
        <condense val="0"/>
        <extend val="0"/>
        <outline val="0"/>
        <shadow val="0"/>
        <u val="none"/>
        <vertAlign val="baseline"/>
        <sz val="11"/>
        <color theme="1"/>
        <name val="Calibri"/>
        <family val="2"/>
        <scheme val="minor"/>
      </font>
      <fill>
        <patternFill patternType="solid">
          <fgColor indexed="64"/>
          <bgColor theme="2" tint="-0.499984740745262"/>
        </patternFill>
      </fill>
      <alignment horizontal="left" vertical="top" textRotation="0" wrapText="0" indent="0" justifyLastLine="0" shrinkToFit="0" readingOrder="0"/>
    </dxf>
    <dxf>
      <font>
        <strike val="0"/>
        <outline val="0"/>
        <shadow val="0"/>
        <u val="none"/>
        <vertAlign val="baseline"/>
        <sz val="11"/>
        <color theme="1"/>
        <name val="Calibri"/>
        <family val="2"/>
        <scheme val="minor"/>
      </font>
      <numFmt numFmtId="14" formatCode="0.00%"/>
      <fill>
        <patternFill patternType="none">
          <fgColor indexed="64"/>
          <bgColor indexed="65"/>
        </patternFill>
      </fill>
      <alignment horizontal="center" vertical="top" textRotation="0" wrapText="1" indent="0" justifyLastLine="0" shrinkToFit="0" readingOrder="0"/>
      <protection locked="1" hidden="0"/>
    </dxf>
    <dxf>
      <font>
        <b val="0"/>
        <i val="0"/>
        <strike val="0"/>
        <condense val="0"/>
        <extend val="0"/>
        <outline val="0"/>
        <shadow val="0"/>
        <u val="none"/>
        <vertAlign val="baseline"/>
        <sz val="11"/>
        <color theme="1"/>
        <name val="Calibri"/>
        <family val="2"/>
        <scheme val="minor"/>
      </font>
      <numFmt numFmtId="1" formatCode="0"/>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numFmt numFmtId="19" formatCode="dd/mm/yyyy"/>
      <fill>
        <patternFill patternType="none">
          <fgColor indexed="64"/>
          <bgColor indexed="65"/>
        </patternFill>
      </fill>
      <alignment horizontal="left" vertical="top" textRotation="0" wrapText="1" indent="0" justifyLastLine="0" shrinkToFit="0" readingOrder="0"/>
      <protection locked="1" hidden="0"/>
    </dxf>
    <dxf>
      <font>
        <strike val="0"/>
        <outline val="0"/>
        <shadow val="0"/>
        <u val="none"/>
        <vertAlign val="baseline"/>
        <sz val="11"/>
        <color theme="1"/>
        <name val="Calibri"/>
        <family val="2"/>
        <scheme val="minor"/>
      </font>
      <numFmt numFmtId="1" formatCode="0"/>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numFmt numFmtId="19" formatCode="dd/mm/yyyy"/>
      <fill>
        <patternFill patternType="none">
          <fgColor indexed="64"/>
          <bgColor indexed="65"/>
        </patternFill>
      </fill>
      <alignment horizontal="left" vertical="top" textRotation="0" wrapText="1" indent="0" justifyLastLine="0" shrinkToFit="0" readingOrder="0"/>
      <protection locked="0" hidden="0"/>
    </dxf>
    <dxf>
      <font>
        <b val="0"/>
        <i val="0"/>
        <strike val="0"/>
        <condense val="0"/>
        <extend val="0"/>
        <outline val="0"/>
        <shadow val="0"/>
        <u val="none"/>
        <vertAlign val="baseline"/>
        <sz val="11"/>
        <color rgb="FF444444"/>
        <name val="Calibri"/>
        <family val="2"/>
        <scheme val="minor"/>
      </font>
      <numFmt numFmtId="30" formatCode="@"/>
      <fill>
        <patternFill patternType="none">
          <fgColor indexed="64"/>
          <bgColor indexed="65"/>
        </patternFill>
      </fill>
      <alignment horizontal="left" vertical="top" textRotation="0" wrapText="1" indent="0" justifyLastLine="0" shrinkToFit="0" readingOrder="0"/>
      <protection locked="0" hidden="0"/>
    </dxf>
    <dxf>
      <font>
        <color rgb="FF444444"/>
      </font>
      <numFmt numFmtId="30" formatCode="@"/>
      <alignment horizontal="general" vertical="top" textRotation="0" wrapText="1" indent="0" justifyLastLine="0" shrinkToFit="0" readingOrder="0"/>
      <protection locked="0" hidden="0"/>
    </dxf>
    <dxf>
      <font>
        <strike val="0"/>
        <outline val="0"/>
        <shadow val="0"/>
        <u val="none"/>
        <vertAlign val="baseline"/>
        <sz val="11"/>
        <color theme="1"/>
        <name val="Calibri"/>
        <family val="2"/>
        <scheme val="minor"/>
      </font>
      <numFmt numFmtId="30" formatCode="@"/>
      <fill>
        <patternFill patternType="none">
          <fgColor indexed="64"/>
          <bgColor indexed="65"/>
        </patternFill>
      </fill>
      <alignment horizontal="general" vertical="top" textRotation="0" wrapText="0" indent="0" justifyLastLine="0" shrinkToFit="0" readingOrder="0"/>
      <protection locked="0" hidden="0"/>
    </dxf>
    <dxf>
      <font>
        <b val="0"/>
        <i val="0"/>
        <strike val="0"/>
        <condense val="0"/>
        <extend val="0"/>
        <outline val="0"/>
        <shadow val="0"/>
        <u val="none"/>
        <vertAlign val="baseline"/>
        <sz val="11"/>
        <color theme="1"/>
        <name val="Calibri"/>
        <family val="2"/>
        <scheme val="minor"/>
      </font>
      <numFmt numFmtId="1" formatCode="0"/>
      <fill>
        <patternFill patternType="none">
          <fgColor indexed="64"/>
          <bgColor indexed="65"/>
        </patternFill>
      </fill>
      <alignment horizontal="left" vertical="top" textRotation="0" wrapText="0"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alignment horizontal="left" vertical="center" textRotation="0" wrapText="1" indent="0" justifyLastLine="0" shrinkToFit="0" readingOrder="0"/>
      <protection locked="0" hidden="0"/>
    </dxf>
    <dxf>
      <font>
        <color theme="1"/>
      </font>
      <border diagonalUp="0" diagonalDown="0">
        <left style="thin">
          <color theme="2" tint="-0.499984740745262"/>
        </left>
        <right style="thin">
          <color theme="2" tint="-0.499984740745262"/>
        </right>
        <top style="thin">
          <color theme="2" tint="-0.499984740745262"/>
        </top>
        <bottom style="thin">
          <color theme="2" tint="-0.499984740745262"/>
        </bottom>
        <vertical style="thin">
          <color theme="6" tint="0.39994506668294322"/>
        </vertical>
        <horizontal/>
      </border>
    </dxf>
    <dxf>
      <font>
        <color theme="1"/>
      </font>
      <fill>
        <patternFill>
          <bgColor theme="2"/>
        </patternFill>
      </fill>
      <border diagonalUp="0" diagonalDown="0">
        <left style="thin">
          <color theme="2" tint="-0.499984740745262"/>
        </left>
        <right style="thin">
          <color theme="2" tint="-0.499984740745262"/>
        </right>
        <top style="thin">
          <color theme="2" tint="-0.499984740745262"/>
        </top>
        <bottom style="thin">
          <color theme="2" tint="-0.499984740745262"/>
        </bottom>
        <vertical style="thin">
          <color theme="6" tint="0.39994506668294322"/>
        </vertical>
        <horizontal/>
      </border>
    </dxf>
    <dxf>
      <font>
        <b/>
        <i val="0"/>
        <color theme="0"/>
      </font>
      <fill>
        <patternFill>
          <bgColor theme="2" tint="-0.499984740745262"/>
        </patternFill>
      </fill>
    </dxf>
    <dxf>
      <font>
        <color theme="1"/>
      </font>
    </dxf>
    <dxf>
      <border diagonalUp="0" diagonalDown="0">
        <left style="thin">
          <color rgb="FF009BA4"/>
        </left>
        <right style="thin">
          <color rgb="FF009BA4"/>
        </right>
        <top style="thin">
          <color rgb="FF009BA4"/>
        </top>
        <bottom style="thin">
          <color rgb="FF009BA4"/>
        </bottom>
        <vertical/>
        <horizontal/>
      </border>
    </dxf>
    <dxf>
      <fill>
        <patternFill>
          <bgColor rgb="FFD0EAEB"/>
        </patternFill>
      </fill>
      <border diagonalUp="0" diagonalDown="0">
        <left style="thin">
          <color rgb="FF009BA4"/>
        </left>
        <right style="thin">
          <color rgb="FF009BA4"/>
        </right>
        <top style="thin">
          <color rgb="FF009BA4"/>
        </top>
        <bottom style="thin">
          <color rgb="FF009BA4"/>
        </bottom>
        <vertical/>
        <horizontal/>
      </border>
    </dxf>
    <dxf>
      <font>
        <b/>
        <i val="0"/>
        <color rgb="FFFFFFFF"/>
      </font>
      <fill>
        <patternFill>
          <bgColor rgb="FF009BA4"/>
        </patternFill>
      </fill>
    </dxf>
    <dxf>
      <font>
        <color rgb="FF444444"/>
      </font>
    </dxf>
    <dxf>
      <font>
        <b/>
        <i val="0"/>
        <color theme="0"/>
      </font>
      <fill>
        <patternFill>
          <bgColor rgb="FF009BA4"/>
        </patternFill>
      </fill>
      <border>
        <bottom style="thin">
          <color theme="4"/>
        </bottom>
        <vertical/>
        <horizontal/>
      </border>
    </dxf>
    <dxf>
      <font>
        <b val="0"/>
        <i val="0"/>
        <color rgb="FF444444"/>
      </font>
      <border>
        <left style="thin">
          <color rgb="FF009BA4"/>
        </left>
        <right style="thin">
          <color rgb="FF009BA4"/>
        </right>
        <top style="thin">
          <color rgb="FF009BA4"/>
        </top>
        <bottom style="thin">
          <color rgb="FF009BA4"/>
        </bottom>
        <vertical/>
        <horizontal/>
      </border>
    </dxf>
  </dxfs>
  <tableStyles count="3" defaultTableStyle="CertiKit table style" defaultPivotStyle="PivotStyleLight16">
    <tableStyle name="CertiKit Slicer" pivot="0" table="0" count="10" xr9:uid="{FCC2AF85-7669-42AB-BE0F-8A70404C0D05}">
      <tableStyleElement type="wholeTable" dxfId="760"/>
      <tableStyleElement type="headerRow" dxfId="759"/>
    </tableStyle>
    <tableStyle name="CertiKit table style" pivot="0" count="4" xr9:uid="{C9D01002-7EEB-4392-906F-2D3907ED044F}">
      <tableStyleElement type="wholeTable" dxfId="758"/>
      <tableStyleElement type="headerRow" dxfId="757"/>
      <tableStyleElement type="firstRowStripe" dxfId="756"/>
      <tableStyleElement type="secondRowStripe" dxfId="755"/>
    </tableStyle>
    <tableStyle name="CertiKit table style 2" pivot="0" count="4" xr9:uid="{A39D1672-7E12-469F-9AC6-37D3C94C8EF3}">
      <tableStyleElement type="wholeTable" dxfId="754"/>
      <tableStyleElement type="headerRow" dxfId="753"/>
      <tableStyleElement type="firstRowStripe" dxfId="752"/>
      <tableStyleElement type="secondRowStripe" dxfId="751"/>
    </tableStyle>
  </tableStyles>
  <colors>
    <mruColors>
      <color rgb="FFD0EAEB"/>
      <color rgb="FF009BA4"/>
      <color rgb="FFFFFFFF"/>
      <color rgb="FF444444"/>
      <color rgb="FFDBDC2C"/>
      <color rgb="FFCCC900"/>
    </mruColors>
  </colors>
  <extLst>
    <ext xmlns:x14="http://schemas.microsoft.com/office/spreadsheetml/2009/9/main" uri="{46F421CA-312F-682f-3DD2-61675219B42D}">
      <x14:dxfs count="8">
        <dxf>
          <font>
            <color rgb="FF444444"/>
          </font>
          <fill>
            <gradientFill degree="90">
              <stop position="0">
                <color rgb="FFCCC900"/>
              </stop>
              <stop position="1">
                <color rgb="FFFFFFFF"/>
              </stop>
            </gradientFill>
          </fill>
          <border>
            <left style="thin">
              <color rgb="FF999999"/>
            </left>
            <right style="thin">
              <color rgb="FF999999"/>
            </right>
            <top style="thin">
              <color rgb="FF999999"/>
            </top>
            <bottom style="thin">
              <color rgb="FF999999"/>
            </bottom>
            <vertical/>
            <horizontal/>
          </border>
        </dxf>
        <dxf>
          <font>
            <color rgb="FF444444"/>
          </font>
          <fill>
            <gradientFill degree="90">
              <stop position="0">
                <color rgb="FFCCC900"/>
              </stop>
              <stop position="1">
                <color rgb="FFFFFFFF"/>
              </stop>
            </gradientFill>
          </fill>
          <border>
            <left style="thin">
              <color rgb="FF999999"/>
            </left>
            <right style="thin">
              <color rgb="FF999999"/>
            </right>
            <top style="thin">
              <color rgb="FF999999"/>
            </top>
            <bottom style="thin">
              <color rgb="FF999999"/>
            </bottom>
            <vertical/>
            <horizontal/>
          </border>
        </dxf>
        <dxf>
          <font>
            <color rgb="FF444444"/>
          </font>
          <fill>
            <gradientFill degree="90">
              <stop position="0">
                <color rgb="FFCCC900"/>
              </stop>
              <stop position="1">
                <color theme="0"/>
              </stop>
            </gradientFill>
          </fill>
          <border>
            <left style="thin">
              <color rgb="FF999999"/>
            </left>
            <right style="thin">
              <color rgb="FF999999"/>
            </right>
            <top style="thin">
              <color rgb="FF999999"/>
            </top>
            <bottom style="thin">
              <color rgb="FF999999"/>
            </bottom>
            <vertical/>
            <horizontal/>
          </border>
        </dxf>
        <dxf>
          <font>
            <color rgb="FF444444"/>
          </font>
          <fill>
            <gradientFill degree="90">
              <stop position="0">
                <color rgb="FFCCC900"/>
              </stop>
              <stop position="1">
                <color rgb="FFFFFFFF"/>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D0EAEB"/>
              <bgColor rgb="FFD0EAEB"/>
            </patternFill>
          </fill>
          <border>
            <left style="thin">
              <color rgb="FFCCCCCC"/>
            </left>
            <right style="thin">
              <color rgb="FFCCCCCC"/>
            </right>
            <top style="thin">
              <color rgb="FFCCCCCC"/>
            </top>
            <bottom style="thin">
              <color rgb="FFCCCCCC"/>
            </bottom>
            <vertical/>
            <horizontal/>
          </border>
        </dxf>
        <dxf>
          <font>
            <color rgb="FF444444"/>
          </font>
          <fill>
            <patternFill patternType="solid">
              <fgColor rgb="FFD0EAEB"/>
              <bgColor rgb="FFD0EAEB"/>
            </patternFill>
          </fill>
          <border>
            <left style="thin">
              <color rgb="FF009BA4"/>
            </left>
            <right style="thin">
              <color rgb="FF009BA4"/>
            </right>
            <top style="thin">
              <color rgb="FF009BA4"/>
            </top>
            <bottom style="thin">
              <color rgb="FF009BA4"/>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444444"/>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CertiKit Slic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[BCMS-DOC-00-4 ISO22301 Project Plan.xlsx]Tasks &amp; Progress Pivots!NumberOfTasks</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solidFill>
                  <a:schemeClr val="tx1"/>
                </a:solidFill>
              </a:rPr>
              <a:t>Number of project tasks</a:t>
            </a:r>
          </a:p>
        </c:rich>
      </c:tx>
      <c:layout>
        <c:manualLayout>
          <c:xMode val="edge"/>
          <c:yMode val="edge"/>
          <c:x val="0.14698333333333333"/>
          <c:y val="5.587500000000000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bg2">
              <a:lumMod val="50000"/>
            </a:schemeClr>
          </a:solidFill>
          <a:ln w="19050">
            <a:solidFill>
              <a:schemeClr val="lt1"/>
            </a:solidFill>
          </a:ln>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28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bg2">
              <a:lumMod val="50000"/>
            </a:schemeClr>
          </a:solidFill>
          <a:ln w="19050">
            <a:solidFill>
              <a:schemeClr val="lt1"/>
            </a:solidFill>
          </a:ln>
          <a:effectLst/>
        </c:spPr>
        <c:dLbl>
          <c:idx val="0"/>
          <c:layout>
            <c:manualLayout>
              <c:x val="-8.8300220750552692E-3"/>
              <c:y val="-0.26161785289769146"/>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28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bg2">
              <a:lumMod val="50000"/>
            </a:schemeClr>
          </a:solidFill>
          <a:ln w="19050">
            <a:solidFill>
              <a:schemeClr val="lt1"/>
            </a:solidFill>
          </a:ln>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28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bg2">
              <a:lumMod val="50000"/>
            </a:schemeClr>
          </a:solidFill>
          <a:ln w="19050">
            <a:solidFill>
              <a:schemeClr val="lt1"/>
            </a:solidFill>
          </a:ln>
          <a:effectLst/>
        </c:spPr>
        <c:dLbl>
          <c:idx val="0"/>
          <c:layout>
            <c:manualLayout>
              <c:x val="-8.8300220750552692E-3"/>
              <c:y val="-0.26161785289769146"/>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28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bg2">
              <a:lumMod val="50000"/>
            </a:schemeClr>
          </a:solidFill>
          <a:ln w="19050">
            <a:solidFill>
              <a:schemeClr val="lt1"/>
            </a:solidFill>
          </a:ln>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bg2">
              <a:lumMod val="50000"/>
            </a:schemeClr>
          </a:solidFill>
          <a:ln w="19050">
            <a:solidFill>
              <a:schemeClr val="lt1"/>
            </a:solidFill>
          </a:ln>
          <a:effectLst/>
        </c:spPr>
        <c:dLbl>
          <c:idx val="0"/>
          <c:layout>
            <c:manualLayout>
              <c:x val="-2.9504629629630167E-3"/>
              <c:y val="-0.22634000000000001"/>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bg2">
              <a:lumMod val="5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bg2">
              <a:lumMod val="50000"/>
            </a:schemeClr>
          </a:solidFill>
          <a:ln w="19050">
            <a:solidFill>
              <a:schemeClr val="lt1"/>
            </a:solidFill>
          </a:ln>
          <a:effectLst/>
        </c:spPr>
      </c:pivotFmt>
    </c:pivotFmts>
    <c:plotArea>
      <c:layout/>
      <c:doughnutChart>
        <c:varyColors val="1"/>
        <c:ser>
          <c:idx val="0"/>
          <c:order val="0"/>
          <c:tx>
            <c:strRef>
              <c:f>'Tasks &amp; Progress Pivots'!$B$6</c:f>
              <c:strCache>
                <c:ptCount val="1"/>
                <c:pt idx="0">
                  <c:v>Total</c:v>
                </c:pt>
              </c:strCache>
            </c:strRef>
          </c:tx>
          <c:spPr>
            <a:solidFill>
              <a:schemeClr val="bg2">
                <a:lumMod val="50000"/>
              </a:schemeClr>
            </a:solidFill>
          </c:spPr>
          <c:dPt>
            <c:idx val="0"/>
            <c:bubble3D val="0"/>
            <c:spPr>
              <a:solidFill>
                <a:schemeClr val="bg2">
                  <a:lumMod val="50000"/>
                </a:schemeClr>
              </a:solidFill>
              <a:ln w="19050">
                <a:solidFill>
                  <a:schemeClr val="lt1"/>
                </a:solidFill>
              </a:ln>
              <a:effectLst/>
            </c:spPr>
            <c:extLst>
              <c:ext xmlns:c16="http://schemas.microsoft.com/office/drawing/2014/chart" uri="{C3380CC4-5D6E-409C-BE32-E72D297353CC}">
                <c16:uniqueId val="{00000001-CBF2-4F61-8937-B1C28AE13C0E}"/>
              </c:ext>
            </c:extLst>
          </c:dPt>
          <c:cat>
            <c:strRef>
              <c:f>'Tasks &amp; Progress Pivots'!$B$7</c:f>
              <c:strCache>
                <c:ptCount val="1"/>
                <c:pt idx="0">
                  <c:v>Total</c:v>
                </c:pt>
              </c:strCache>
            </c:strRef>
          </c:cat>
          <c:val>
            <c:numRef>
              <c:f>'Tasks &amp; Progress Pivots'!$B$7</c:f>
              <c:numCache>
                <c:formatCode>General</c:formatCode>
                <c:ptCount val="1"/>
                <c:pt idx="0">
                  <c:v>24</c:v>
                </c:pt>
              </c:numCache>
            </c:numRef>
          </c:val>
          <c:extLst>
            <c:ext xmlns:c16="http://schemas.microsoft.com/office/drawing/2014/chart" uri="{C3380CC4-5D6E-409C-BE32-E72D297353CC}">
              <c16:uniqueId val="{00000002-0B24-4A75-924D-7C20BDEE5935}"/>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[BCMS-DOC-00-4 ISO22301 Project Plan.xlsx]Tasks &amp; Progress Pivots!PivotTable7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1"/>
                </a:solidFill>
              </a:rPr>
              <a:t>Project work days</a:t>
            </a:r>
          </a:p>
        </c:rich>
      </c:tx>
      <c:layout>
        <c:manualLayout>
          <c:xMode val="edge"/>
          <c:yMode val="edge"/>
          <c:x val="0.32805999605289127"/>
          <c:y val="4.311728395061728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2">
              <a:lumMod val="50000"/>
            </a:schemeClr>
          </a:solidFill>
          <a:ln>
            <a:noFill/>
          </a:ln>
          <a:effectLst/>
          <a:sp3d/>
        </c:spPr>
      </c:pivotFmt>
      <c:pivotFmt>
        <c:idx val="2"/>
        <c:spPr>
          <a:solidFill>
            <a:schemeClr val="bg2">
              <a:lumMod val="25000"/>
            </a:schemeClr>
          </a:solidFill>
          <a:ln>
            <a:noFill/>
          </a:ln>
          <a:effectLst/>
          <a:sp3d/>
        </c:spPr>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bg2">
              <a:lumMod val="25000"/>
            </a:schemeClr>
          </a:solidFill>
          <a:ln>
            <a:noFill/>
          </a:ln>
          <a:effectLst/>
          <a:sp3d/>
        </c:spPr>
      </c:pivotFmt>
      <c:pivotFmt>
        <c:idx val="5"/>
        <c:spPr>
          <a:solidFill>
            <a:schemeClr val="bg2">
              <a:lumMod val="50000"/>
            </a:schemeClr>
          </a:solidFill>
          <a:ln>
            <a:noFill/>
          </a:ln>
          <a:effectLst/>
          <a:sp3d/>
        </c:spPr>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bg2">
              <a:lumMod val="25000"/>
            </a:schemeClr>
          </a:solidFill>
          <a:ln>
            <a:noFill/>
          </a:ln>
          <a:effectLst/>
          <a:sp3d/>
        </c:spPr>
      </c:pivotFmt>
      <c:pivotFmt>
        <c:idx val="8"/>
        <c:spPr>
          <a:solidFill>
            <a:schemeClr val="bg2">
              <a:lumMod val="50000"/>
            </a:schemeClr>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'Tasks &amp; Progress Pivots'!$J$6</c:f>
              <c:strCache>
                <c:ptCount val="1"/>
                <c:pt idx="0">
                  <c:v>Total</c:v>
                </c:pt>
              </c:strCache>
            </c:strRef>
          </c:tx>
          <c:spPr>
            <a:solidFill>
              <a:schemeClr val="accent1"/>
            </a:solidFill>
            <a:ln>
              <a:noFill/>
            </a:ln>
            <a:effectLst/>
            <a:sp3d/>
          </c:spPr>
          <c:invertIfNegative val="0"/>
          <c:dPt>
            <c:idx val="0"/>
            <c:invertIfNegative val="0"/>
            <c:bubble3D val="0"/>
            <c:spPr>
              <a:solidFill>
                <a:schemeClr val="bg2">
                  <a:lumMod val="25000"/>
                </a:schemeClr>
              </a:solidFill>
              <a:ln>
                <a:noFill/>
              </a:ln>
              <a:effectLst/>
              <a:sp3d/>
            </c:spPr>
            <c:extLst>
              <c:ext xmlns:c16="http://schemas.microsoft.com/office/drawing/2014/chart" uri="{C3380CC4-5D6E-409C-BE32-E72D297353CC}">
                <c16:uniqueId val="{00000001-7698-42E5-B18A-0494BACE1791}"/>
              </c:ext>
            </c:extLst>
          </c:dPt>
          <c:dPt>
            <c:idx val="1"/>
            <c:invertIfNegative val="0"/>
            <c:bubble3D val="0"/>
            <c:spPr>
              <a:solidFill>
                <a:schemeClr val="bg2">
                  <a:lumMod val="50000"/>
                </a:schemeClr>
              </a:solidFill>
              <a:ln>
                <a:noFill/>
              </a:ln>
              <a:effectLst/>
              <a:sp3d/>
            </c:spPr>
            <c:extLst>
              <c:ext xmlns:c16="http://schemas.microsoft.com/office/drawing/2014/chart" uri="{C3380CC4-5D6E-409C-BE32-E72D297353CC}">
                <c16:uniqueId val="{00000003-7698-42E5-B18A-0494BACE179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'Tasks &amp; Progress Pivots'!$I$7:$I$8</c:f>
              <c:strCache>
                <c:ptCount val="2"/>
                <c:pt idx="0">
                  <c:v>Completed Work Days</c:v>
                </c:pt>
                <c:pt idx="1">
                  <c:v>Total Work Days</c:v>
                </c:pt>
              </c:strCache>
            </c:strRef>
          </c:cat>
          <c:val>
            <c:numRef>
              <c:f>'Tasks &amp; Progress Pivots'!$J$7:$J$8</c:f>
              <c:numCache>
                <c:formatCode>General</c:formatCode>
                <c:ptCount val="2"/>
                <c:pt idx="0">
                  <c:v>0</c:v>
                </c:pt>
                <c:pt idx="1">
                  <c:v>0</c:v>
                </c:pt>
              </c:numCache>
            </c:numRef>
          </c:val>
          <c:extLst>
            <c:ext xmlns:c16="http://schemas.microsoft.com/office/drawing/2014/chart" uri="{C3380CC4-5D6E-409C-BE32-E72D297353CC}">
              <c16:uniqueId val="{00000004-7698-42E5-B18A-0494BACE1791}"/>
            </c:ext>
          </c:extLst>
        </c:ser>
        <c:dLbls>
          <c:showLegendKey val="0"/>
          <c:showVal val="1"/>
          <c:showCatName val="0"/>
          <c:showSerName val="0"/>
          <c:showPercent val="0"/>
          <c:showBubbleSize val="0"/>
        </c:dLbls>
        <c:gapWidth val="150"/>
        <c:shape val="box"/>
        <c:axId val="950693752"/>
        <c:axId val="950688832"/>
        <c:axId val="0"/>
      </c:bar3DChart>
      <c:catAx>
        <c:axId val="9506937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50688832"/>
        <c:crosses val="autoZero"/>
        <c:auto val="1"/>
        <c:lblAlgn val="ctr"/>
        <c:lblOffset val="100"/>
        <c:noMultiLvlLbl val="0"/>
      </c:catAx>
      <c:valAx>
        <c:axId val="950688832"/>
        <c:scaling>
          <c:orientation val="minMax"/>
          <c:max val="180"/>
          <c:min val="0"/>
        </c:scaling>
        <c:delete val="1"/>
        <c:axPos val="b"/>
        <c:numFmt formatCode="General" sourceLinked="1"/>
        <c:majorTickMark val="none"/>
        <c:minorTickMark val="none"/>
        <c:tickLblPos val="nextTo"/>
        <c:crossAx val="950693752"/>
        <c:crosses val="autoZero"/>
        <c:crossBetween val="between"/>
        <c:majorUnit val="20"/>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solidFill>
                  <a:schemeClr val="tx1"/>
                </a:solidFill>
              </a:rPr>
              <a:t>Project days</a:t>
            </a:r>
          </a:p>
        </c:rich>
      </c:tx>
      <c:layout>
        <c:manualLayout>
          <c:xMode val="edge"/>
          <c:yMode val="edge"/>
          <c:x val="0.38078868166567986"/>
          <c:y val="3.135802469135802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'Tasks &amp; Progress Pivots'!$M$6</c:f>
              <c:strCache>
                <c:ptCount val="1"/>
                <c:pt idx="0">
                  <c:v>%</c:v>
                </c:pt>
              </c:strCache>
            </c:strRef>
          </c:tx>
          <c:spPr>
            <a:solidFill>
              <a:schemeClr val="bg2">
                <a:lumMod val="90000"/>
              </a:schemeClr>
            </a:solidFill>
          </c:spPr>
          <c:dPt>
            <c:idx val="0"/>
            <c:bubble3D val="0"/>
            <c:spPr>
              <a:solidFill>
                <a:schemeClr val="bg2">
                  <a:lumMod val="2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593F-4EE2-97FE-1CAEF36832B8}"/>
              </c:ext>
            </c:extLst>
          </c:dPt>
          <c:dPt>
            <c:idx val="1"/>
            <c:bubble3D val="0"/>
            <c:spPr>
              <a:solidFill>
                <a:schemeClr val="bg2">
                  <a:lumMod val="9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593F-4EE2-97FE-1CAEF36832B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'Tasks &amp; Progress Pivots'!$L$7:$L$8</c:f>
              <c:strCache>
                <c:ptCount val="2"/>
                <c:pt idx="0">
                  <c:v>Days Completed </c:v>
                </c:pt>
                <c:pt idx="1">
                  <c:v>Days Remaining</c:v>
                </c:pt>
              </c:strCache>
            </c:strRef>
          </c:cat>
          <c:val>
            <c:numRef>
              <c:f>'Tasks &amp; Progress Pivots'!$M$7:$M$8</c:f>
              <c:numCache>
                <c:formatCode>0%</c:formatCode>
                <c:ptCount val="2"/>
                <c:pt idx="0">
                  <c:v>0</c:v>
                </c:pt>
                <c:pt idx="1">
                  <c:v>0</c:v>
                </c:pt>
              </c:numCache>
            </c:numRef>
          </c:val>
          <c:extLst>
            <c:ext xmlns:c16="http://schemas.microsoft.com/office/drawing/2014/chart" uri="{C3380CC4-5D6E-409C-BE32-E72D297353CC}">
              <c16:uniqueId val="{00000004-593F-4EE2-97FE-1CAEF36832B8}"/>
            </c:ext>
          </c:extLst>
        </c:ser>
        <c:dLbls>
          <c:dLblPos val="outEnd"/>
          <c:showLegendKey val="0"/>
          <c:showVal val="1"/>
          <c:showCatName val="0"/>
          <c:showSerName val="0"/>
          <c:showPercent val="0"/>
          <c:showBubbleSize val="0"/>
          <c:showLeaderLines val="1"/>
        </c:dLbls>
      </c:pie3DChart>
      <c:spPr>
        <a:noFill/>
        <a:ln>
          <a:noFill/>
        </a:ln>
        <a:effectLst/>
      </c:spPr>
    </c:plotArea>
    <c:legend>
      <c:legendPos val="t"/>
      <c:layout>
        <c:manualLayout>
          <c:xMode val="edge"/>
          <c:yMode val="edge"/>
          <c:x val="0.23742130451943949"/>
          <c:y val="0.15714290123456789"/>
          <c:w val="0.52515739096112102"/>
          <c:h val="6.6146296296296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[BCMS-DOC-00-4 ISO22301 Project Plan.xlsx]Tasks &amp; Progress Pivots!TaskStatus</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1"/>
                </a:solidFill>
              </a:rPr>
              <a:t>Task status</a:t>
            </a:r>
          </a:p>
        </c:rich>
      </c:tx>
      <c:layout>
        <c:manualLayout>
          <c:xMode val="edge"/>
          <c:yMode val="edge"/>
          <c:x val="0.38726761397276488"/>
          <c:y val="4.16666666666666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2">
              <a:lumMod val="75000"/>
            </a:schemeClr>
          </a:solidFill>
          <a:ln>
            <a:noFill/>
          </a:ln>
          <a:effectLst/>
        </c:spPr>
      </c:pivotFmt>
      <c:pivotFmt>
        <c:idx val="2"/>
        <c:spPr>
          <a:solidFill>
            <a:schemeClr val="tx1">
              <a:lumMod val="20000"/>
              <a:lumOff val="80000"/>
            </a:schemeClr>
          </a:solidFill>
          <a:ln>
            <a:noFill/>
          </a:ln>
          <a:effectLst/>
        </c:spPr>
      </c:pivotFmt>
      <c:pivotFmt>
        <c:idx val="3"/>
        <c:spPr>
          <a:solidFill>
            <a:schemeClr val="bg2">
              <a:lumMod val="25000"/>
            </a:schemeClr>
          </a:solidFill>
          <a:ln>
            <a:noFill/>
          </a:ln>
          <a:effectLst/>
        </c:spPr>
      </c:pivotFmt>
      <c:pivotFmt>
        <c:idx val="4"/>
        <c:spPr>
          <a:solidFill>
            <a:schemeClr val="bg2"/>
          </a:solidFill>
          <a:ln>
            <a:noFill/>
          </a:ln>
          <a:effectLst/>
        </c:spPr>
      </c:pivotFmt>
      <c:pivotFmt>
        <c:idx val="5"/>
        <c:spPr>
          <a:solidFill>
            <a:schemeClr val="bg2">
              <a:lumMod val="50000"/>
            </a:schemeClr>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bg2">
              <a:lumMod val="50000"/>
            </a:schemeClr>
          </a:solidFill>
          <a:ln>
            <a:noFill/>
          </a:ln>
          <a:effectLst/>
        </c:spPr>
      </c:pivotFmt>
      <c:pivotFmt>
        <c:idx val="8"/>
        <c:spPr>
          <a:solidFill>
            <a:schemeClr val="bg2">
              <a:lumMod val="25000"/>
            </a:schemeClr>
          </a:solidFill>
          <a:ln>
            <a:noFill/>
          </a:ln>
          <a:effectLst/>
        </c:spPr>
      </c:pivotFmt>
      <c:pivotFmt>
        <c:idx val="9"/>
        <c:spPr>
          <a:solidFill>
            <a:schemeClr val="bg2"/>
          </a:solidFill>
          <a:ln>
            <a:noFill/>
          </a:ln>
          <a:effectLst/>
        </c:spPr>
      </c:pivotFmt>
      <c:pivotFmt>
        <c:idx val="10"/>
        <c:spPr>
          <a:solidFill>
            <a:schemeClr val="tx1">
              <a:lumMod val="20000"/>
              <a:lumOff val="80000"/>
            </a:schemeClr>
          </a:solidFill>
          <a:ln>
            <a:noFill/>
          </a:ln>
          <a:effectLst/>
        </c:spPr>
      </c:pivotFmt>
      <c:pivotFmt>
        <c:idx val="11"/>
        <c:spPr>
          <a:solidFill>
            <a:schemeClr val="bg2">
              <a:lumMod val="75000"/>
            </a:schemeClr>
          </a:solidFill>
          <a:ln>
            <a:noFill/>
          </a:ln>
          <a:effectLst/>
        </c:spPr>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bg2">
              <a:lumMod val="50000"/>
            </a:schemeClr>
          </a:solidFill>
          <a:ln>
            <a:noFill/>
          </a:ln>
          <a:effectLst/>
        </c:spPr>
      </c:pivotFmt>
      <c:pivotFmt>
        <c:idx val="14"/>
        <c:spPr>
          <a:solidFill>
            <a:schemeClr val="bg2">
              <a:lumMod val="25000"/>
            </a:schemeClr>
          </a:solidFill>
          <a:ln>
            <a:noFill/>
          </a:ln>
          <a:effectLst/>
        </c:spPr>
      </c:pivotFmt>
      <c:pivotFmt>
        <c:idx val="15"/>
        <c:spPr>
          <a:solidFill>
            <a:schemeClr val="bg2"/>
          </a:solidFill>
          <a:ln>
            <a:noFill/>
          </a:ln>
          <a:effectLst/>
        </c:spPr>
      </c:pivotFmt>
      <c:pivotFmt>
        <c:idx val="16"/>
        <c:spPr>
          <a:solidFill>
            <a:schemeClr val="tx1">
              <a:lumMod val="20000"/>
              <a:lumOff val="80000"/>
            </a:schemeClr>
          </a:solidFill>
          <a:ln>
            <a:noFill/>
          </a:ln>
          <a:effectLst/>
        </c:spPr>
      </c:pivotFmt>
      <c:pivotFmt>
        <c:idx val="17"/>
        <c:spPr>
          <a:solidFill>
            <a:schemeClr val="bg2">
              <a:lumMod val="75000"/>
            </a:schemeClr>
          </a:solidFill>
          <a:ln>
            <a:noFill/>
          </a:ln>
          <a:effectLst/>
        </c:spPr>
      </c:pivotFmt>
    </c:pivotFmts>
    <c:plotArea>
      <c:layout/>
      <c:barChart>
        <c:barDir val="bar"/>
        <c:grouping val="clustered"/>
        <c:varyColors val="0"/>
        <c:ser>
          <c:idx val="0"/>
          <c:order val="0"/>
          <c:tx>
            <c:strRef>
              <c:f>'Tasks &amp; Progress Pivots'!$F$13</c:f>
              <c:strCache>
                <c:ptCount val="1"/>
                <c:pt idx="0">
                  <c:v>Total</c:v>
                </c:pt>
              </c:strCache>
            </c:strRef>
          </c:tx>
          <c:spPr>
            <a:solidFill>
              <a:schemeClr val="accent1"/>
            </a:solidFill>
            <a:ln>
              <a:noFill/>
            </a:ln>
            <a:effectLst/>
          </c:spPr>
          <c:invertIfNegative val="0"/>
          <c:dPt>
            <c:idx val="0"/>
            <c:invertIfNegative val="0"/>
            <c:bubble3D val="0"/>
            <c:spPr>
              <a:solidFill>
                <a:schemeClr val="bg2">
                  <a:lumMod val="50000"/>
                </a:schemeClr>
              </a:solidFill>
              <a:ln>
                <a:noFill/>
              </a:ln>
              <a:effectLst/>
            </c:spPr>
            <c:extLst>
              <c:ext xmlns:c16="http://schemas.microsoft.com/office/drawing/2014/chart" uri="{C3380CC4-5D6E-409C-BE32-E72D297353CC}">
                <c16:uniqueId val="{00000001-3086-4C4D-B71A-2688CE41FBD0}"/>
              </c:ext>
            </c:extLst>
          </c:dPt>
          <c:dPt>
            <c:idx val="1"/>
            <c:invertIfNegative val="0"/>
            <c:bubble3D val="0"/>
            <c:spPr>
              <a:solidFill>
                <a:schemeClr val="bg2">
                  <a:lumMod val="25000"/>
                </a:schemeClr>
              </a:solidFill>
              <a:ln>
                <a:noFill/>
              </a:ln>
              <a:effectLst/>
            </c:spPr>
            <c:extLst>
              <c:ext xmlns:c16="http://schemas.microsoft.com/office/drawing/2014/chart" uri="{C3380CC4-5D6E-409C-BE32-E72D297353CC}">
                <c16:uniqueId val="{00000003-3086-4C4D-B71A-2688CE41FBD0}"/>
              </c:ext>
            </c:extLst>
          </c:dPt>
          <c:dPt>
            <c:idx val="2"/>
            <c:invertIfNegative val="0"/>
            <c:bubble3D val="0"/>
            <c:spPr>
              <a:solidFill>
                <a:schemeClr val="bg2"/>
              </a:solidFill>
              <a:ln>
                <a:noFill/>
              </a:ln>
              <a:effectLst/>
            </c:spPr>
            <c:extLst>
              <c:ext xmlns:c16="http://schemas.microsoft.com/office/drawing/2014/chart" uri="{C3380CC4-5D6E-409C-BE32-E72D297353CC}">
                <c16:uniqueId val="{00000005-3086-4C4D-B71A-2688CE41FBD0}"/>
              </c:ext>
            </c:extLst>
          </c:dPt>
          <c:dPt>
            <c:idx val="3"/>
            <c:invertIfNegative val="0"/>
            <c:bubble3D val="0"/>
            <c:spPr>
              <a:solidFill>
                <a:schemeClr val="tx1">
                  <a:lumMod val="20000"/>
                  <a:lumOff val="80000"/>
                </a:schemeClr>
              </a:solidFill>
              <a:ln>
                <a:noFill/>
              </a:ln>
              <a:effectLst/>
            </c:spPr>
            <c:extLst>
              <c:ext xmlns:c16="http://schemas.microsoft.com/office/drawing/2014/chart" uri="{C3380CC4-5D6E-409C-BE32-E72D297353CC}">
                <c16:uniqueId val="{00000007-3086-4C4D-B71A-2688CE41FBD0}"/>
              </c:ext>
            </c:extLst>
          </c:dPt>
          <c:dPt>
            <c:idx val="4"/>
            <c:invertIfNegative val="0"/>
            <c:bubble3D val="0"/>
            <c:spPr>
              <a:solidFill>
                <a:schemeClr val="bg2">
                  <a:lumMod val="75000"/>
                </a:schemeClr>
              </a:solidFill>
              <a:ln>
                <a:noFill/>
              </a:ln>
              <a:effectLst/>
            </c:spPr>
            <c:extLst>
              <c:ext xmlns:c16="http://schemas.microsoft.com/office/drawing/2014/chart" uri="{C3380CC4-5D6E-409C-BE32-E72D297353CC}">
                <c16:uniqueId val="{00000009-3086-4C4D-B71A-2688CE41FBD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'Tasks &amp; Progress Pivots'!$E$14:$E$18</c:f>
              <c:strCache>
                <c:ptCount val="5"/>
                <c:pt idx="0">
                  <c:v>Total Tasks</c:v>
                </c:pt>
                <c:pt idx="1">
                  <c:v>Completed</c:v>
                </c:pt>
                <c:pt idx="2">
                  <c:v>Remaining</c:v>
                </c:pt>
                <c:pt idx="3">
                  <c:v>Not Started</c:v>
                </c:pt>
                <c:pt idx="4">
                  <c:v>In Progress</c:v>
                </c:pt>
              </c:strCache>
            </c:strRef>
          </c:cat>
          <c:val>
            <c:numRef>
              <c:f>'Tasks &amp; Progress Pivots'!$F$14:$F$18</c:f>
              <c:numCache>
                <c:formatCode>General</c:formatCode>
                <c:ptCount val="5"/>
                <c:pt idx="0">
                  <c:v>0</c:v>
                </c:pt>
                <c:pt idx="1">
                  <c:v>0</c:v>
                </c:pt>
                <c:pt idx="2">
                  <c:v>0</c:v>
                </c:pt>
                <c:pt idx="3">
                  <c:v>0</c:v>
                </c:pt>
                <c:pt idx="4">
                  <c:v>0</c:v>
                </c:pt>
              </c:numCache>
            </c:numRef>
          </c:val>
          <c:extLst>
            <c:ext xmlns:c16="http://schemas.microsoft.com/office/drawing/2014/chart" uri="{C3380CC4-5D6E-409C-BE32-E72D297353CC}">
              <c16:uniqueId val="{0000000A-3086-4C4D-B71A-2688CE41FBD0}"/>
            </c:ext>
          </c:extLst>
        </c:ser>
        <c:dLbls>
          <c:showLegendKey val="0"/>
          <c:showVal val="0"/>
          <c:showCatName val="0"/>
          <c:showSerName val="0"/>
          <c:showPercent val="0"/>
          <c:showBubbleSize val="0"/>
        </c:dLbls>
        <c:gapWidth val="75"/>
        <c:axId val="943796048"/>
        <c:axId val="943800312"/>
      </c:barChart>
      <c:catAx>
        <c:axId val="9437960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43800312"/>
        <c:crosses val="autoZero"/>
        <c:auto val="1"/>
        <c:lblAlgn val="ctr"/>
        <c:lblOffset val="100"/>
        <c:noMultiLvlLbl val="0"/>
      </c:catAx>
      <c:valAx>
        <c:axId val="9438003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43796048"/>
        <c:crosses val="autoZero"/>
        <c:crossBetween val="between"/>
        <c:majorUnit val="5"/>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[BCMS-DOC-00-4 ISO22301 Project Plan.xlsx]Budget Pivots!PivotTable12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1"/>
                </a:solidFill>
              </a:rPr>
              <a:t>Budget summary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solidFill>
              <a:sysClr val="window" lastClr="FFFFFF"/>
            </a:solidFill>
            <a:ln>
              <a:solidFill>
                <a:srgbClr val="444444">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25400">
            <a:solidFill>
              <a:schemeClr val="lt1"/>
            </a:solidFill>
          </a:ln>
          <a:effectLst/>
          <a:sp3d contourW="25400">
            <a:contourClr>
              <a:schemeClr val="lt1"/>
            </a:contourClr>
          </a:sp3d>
        </c:spPr>
        <c:marker>
          <c:symbol val="none"/>
        </c:marker>
        <c:dLbl>
          <c:idx val="0"/>
          <c:showLegendKey val="0"/>
          <c:showVal val="1"/>
          <c:showCatName val="1"/>
          <c:showSerName val="0"/>
          <c:showPercent val="0"/>
          <c:showBubbleSize val="0"/>
          <c:extLst>
            <c:ext xmlns:c15="http://schemas.microsoft.com/office/drawing/2012/chart" uri="{CE6537A1-D6FC-4f65-9D91-7224C49458BB}"/>
          </c:extLst>
        </c:dLbl>
      </c:pivotFmt>
      <c:pivotFmt>
        <c:idx val="5"/>
        <c:spPr>
          <a:solidFill>
            <a:schemeClr val="accent1"/>
          </a:solidFill>
          <a:ln w="25400">
            <a:solidFill>
              <a:schemeClr val="lt1"/>
            </a:solidFill>
          </a:ln>
          <a:effectLst/>
          <a:sp3d contourW="25400">
            <a:contourClr>
              <a:schemeClr val="lt1"/>
            </a:contourClr>
          </a:sp3d>
        </c:spPr>
        <c:marker>
          <c:symbol val="none"/>
        </c:marker>
        <c:dLbl>
          <c:idx val="0"/>
          <c:showLegendKey val="0"/>
          <c:showVal val="1"/>
          <c:showCatName val="1"/>
          <c:showSerName val="0"/>
          <c:showPercent val="0"/>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marker>
          <c:symbol val="none"/>
        </c:marker>
        <c:dLbl>
          <c:idx val="0"/>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1"/>
          </a:solidFill>
          <a:ln w="25400">
            <a:solidFill>
              <a:schemeClr val="lt1"/>
            </a:solidFill>
          </a:ln>
          <a:effectLst/>
          <a:sp3d contourW="25400">
            <a:contourClr>
              <a:schemeClr val="lt1"/>
            </a:contourClr>
          </a:sp3d>
        </c:spPr>
        <c:marker>
          <c:symbol val="none"/>
        </c:marker>
        <c:dLbl>
          <c:idx val="0"/>
          <c:showLegendKey val="0"/>
          <c:showVal val="1"/>
          <c:showCatName val="1"/>
          <c:showSerName val="0"/>
          <c:showPercent val="0"/>
          <c:showBubbleSize val="0"/>
          <c:extLst>
            <c:ext xmlns:c15="http://schemas.microsoft.com/office/drawing/2012/chart" uri="{CE6537A1-D6FC-4f65-9D91-7224C49458BB}"/>
          </c:extLst>
        </c:dLbl>
      </c:pivotFmt>
      <c:pivotFmt>
        <c:idx val="8"/>
        <c:spPr>
          <a:solidFill>
            <a:schemeClr val="accent1"/>
          </a:solidFill>
          <a:ln w="25400">
            <a:solidFill>
              <a:schemeClr val="lt1"/>
            </a:solidFill>
          </a:ln>
          <a:effectLst/>
          <a:sp3d contourW="25400">
            <a:contourClr>
              <a:schemeClr val="lt1"/>
            </a:contourClr>
          </a:sp3d>
        </c:spPr>
        <c:marker>
          <c:symbol val="none"/>
        </c:marker>
        <c:dLbl>
          <c:idx val="0"/>
          <c:showLegendKey val="0"/>
          <c:showVal val="1"/>
          <c:showCatName val="1"/>
          <c:showSerName val="0"/>
          <c:showPercent val="0"/>
          <c:showBubbleSize val="0"/>
          <c:extLst>
            <c:ext xmlns:c15="http://schemas.microsoft.com/office/drawing/2012/chart" uri="{CE6537A1-D6FC-4f65-9D91-7224C49458BB}"/>
          </c:extLst>
        </c:dLbl>
      </c:pivotFmt>
      <c:pivotFmt>
        <c:idx val="9"/>
        <c:spPr>
          <a:solidFill>
            <a:schemeClr val="accent1"/>
          </a:solidFill>
          <a:ln w="25400">
            <a:solidFill>
              <a:schemeClr val="lt1"/>
            </a:solidFill>
          </a:ln>
          <a:effectLst/>
          <a:sp3d contourW="25400">
            <a:contourClr>
              <a:schemeClr val="lt1"/>
            </a:contourClr>
          </a:sp3d>
        </c:spPr>
        <c:marker>
          <c:symbol val="none"/>
        </c:marker>
        <c:dLbl>
          <c:idx val="0"/>
          <c:showLegendKey val="0"/>
          <c:showVal val="1"/>
          <c:showCatName val="1"/>
          <c:showSerName val="0"/>
          <c:showPercent val="0"/>
          <c:showBubbleSize val="0"/>
          <c:extLst>
            <c:ext xmlns:c15="http://schemas.microsoft.com/office/drawing/2012/chart" uri="{CE6537A1-D6FC-4f65-9D91-7224C49458BB}"/>
          </c:extLst>
        </c:dLbl>
      </c:pivotFmt>
      <c:pivotFmt>
        <c:idx val="10"/>
        <c:spPr>
          <a:solidFill>
            <a:schemeClr val="accent1"/>
          </a:solidFill>
          <a:ln w="25400">
            <a:solidFill>
              <a:schemeClr val="lt1"/>
            </a:solidFill>
          </a:ln>
          <a:effectLst/>
          <a:sp3d contourW="25400">
            <a:contourClr>
              <a:schemeClr val="lt1"/>
            </a:contourClr>
          </a:sp3d>
        </c:spPr>
        <c:marker>
          <c:symbol val="none"/>
        </c:marker>
        <c:dLbl>
          <c:idx val="0"/>
          <c:showLegendKey val="0"/>
          <c:showVal val="1"/>
          <c:showCatName val="1"/>
          <c:showSerName val="0"/>
          <c:showPercent val="0"/>
          <c:showBubbleSize val="0"/>
          <c:extLst>
            <c:ext xmlns:c15="http://schemas.microsoft.com/office/drawing/2012/chart" uri="{CE6537A1-D6FC-4f65-9D91-7224C49458BB}"/>
          </c:extLst>
        </c:dLbl>
      </c:pivotFmt>
      <c:pivotFmt>
        <c:idx val="11"/>
        <c:spPr>
          <a:solidFill>
            <a:schemeClr val="accent1"/>
          </a:solidFill>
          <a:ln w="25400">
            <a:solidFill>
              <a:schemeClr val="lt1"/>
            </a:solidFill>
          </a:ln>
          <a:effectLst/>
          <a:sp3d contourW="25400">
            <a:contourClr>
              <a:schemeClr val="lt1"/>
            </a:contourClr>
          </a:sp3d>
        </c:spPr>
        <c:marker>
          <c:symbol val="none"/>
        </c:marker>
        <c:dLbl>
          <c:idx val="0"/>
          <c:showLegendKey val="0"/>
          <c:showVal val="1"/>
          <c:showCatName val="1"/>
          <c:showSerName val="0"/>
          <c:showPercent val="0"/>
          <c:showBubbleSize val="0"/>
          <c:extLst>
            <c:ext xmlns:c15="http://schemas.microsoft.com/office/drawing/2012/chart" uri="{CE6537A1-D6FC-4f65-9D91-7224C49458BB}"/>
          </c:extLst>
        </c:dLbl>
      </c:pivotFmt>
      <c:pivotFmt>
        <c:idx val="12"/>
        <c:spPr>
          <a:solidFill>
            <a:schemeClr val="accent1"/>
          </a:solidFill>
          <a:ln w="25400">
            <a:solidFill>
              <a:schemeClr val="lt1"/>
            </a:solidFill>
          </a:ln>
          <a:effectLst/>
          <a:sp3d contourW="25400">
            <a:contourClr>
              <a:schemeClr val="lt1"/>
            </a:contourClr>
          </a:sp3d>
        </c:spPr>
        <c:marker>
          <c:symbol val="none"/>
        </c:marker>
        <c:dLbl>
          <c:idx val="0"/>
          <c:showLegendKey val="0"/>
          <c:showVal val="1"/>
          <c:showCatName val="1"/>
          <c:showSerName val="0"/>
          <c:showPercent val="0"/>
          <c:showBubbleSize val="0"/>
          <c:extLst>
            <c:ext xmlns:c15="http://schemas.microsoft.com/office/drawing/2012/chart" uri="{CE6537A1-D6FC-4f65-9D91-7224C49458BB}"/>
          </c:extLst>
        </c:dLbl>
      </c:pivotFmt>
      <c:pivotFmt>
        <c:idx val="13"/>
        <c:spPr>
          <a:solidFill>
            <a:schemeClr val="accent1"/>
          </a:solidFill>
          <a:ln w="25400">
            <a:solidFill>
              <a:schemeClr val="lt1"/>
            </a:solidFill>
          </a:ln>
          <a:effectLst/>
          <a:sp3d contourW="25400">
            <a:contourClr>
              <a:schemeClr val="lt1"/>
            </a:contourClr>
          </a:sp3d>
        </c:spPr>
        <c:marker>
          <c:symbol val="none"/>
        </c:marker>
        <c:dLbl>
          <c:idx val="0"/>
          <c:showLegendKey val="0"/>
          <c:showVal val="1"/>
          <c:showCatName val="1"/>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marker>
          <c:symbol val="none"/>
        </c:marker>
        <c:dLbl>
          <c:idx val="0"/>
          <c:spPr>
            <a:solidFill>
              <a:sysClr val="window" lastClr="FFFFFF"/>
            </a:solidFill>
            <a:ln>
              <a:solidFill>
                <a:srgbClr val="444444">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bg2">
              <a:lumMod val="25000"/>
            </a:schemeClr>
          </a:solidFill>
          <a:ln w="19050">
            <a:solidFill>
              <a:schemeClr val="lt1"/>
            </a:solidFill>
          </a:ln>
          <a:effectLst/>
        </c:spPr>
      </c:pivotFmt>
      <c:pivotFmt>
        <c:idx val="17"/>
        <c:spPr>
          <a:solidFill>
            <a:schemeClr val="bg2"/>
          </a:solidFill>
          <a:ln w="19050">
            <a:solidFill>
              <a:schemeClr val="lt1"/>
            </a:solidFill>
          </a:ln>
          <a:effectLst/>
        </c:spPr>
      </c:pivotFmt>
      <c:pivotFmt>
        <c:idx val="18"/>
        <c:spPr>
          <a:solidFill>
            <a:schemeClr val="tx1">
              <a:lumMod val="40000"/>
              <a:lumOff val="60000"/>
            </a:schemeClr>
          </a:solidFill>
          <a:ln w="19050">
            <a:solidFill>
              <a:schemeClr val="lt1"/>
            </a:solidFill>
          </a:ln>
          <a:effectLst/>
        </c:spPr>
      </c:pivotFmt>
      <c:pivotFmt>
        <c:idx val="19"/>
        <c:spPr>
          <a:solidFill>
            <a:schemeClr val="accent1"/>
          </a:solidFill>
          <a:ln w="19050">
            <a:solidFill>
              <a:schemeClr val="lt1"/>
            </a:solidFill>
          </a:ln>
          <a:effectLst/>
        </c:spPr>
        <c:marker>
          <c:symbol val="none"/>
        </c:marker>
        <c:dLbl>
          <c:idx val="0"/>
          <c:spPr>
            <a:solidFill>
              <a:sysClr val="window" lastClr="FFFFFF"/>
            </a:solidFill>
            <a:ln>
              <a:solidFill>
                <a:srgbClr val="444444">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solidFill>
            <a:schemeClr val="bg2"/>
          </a:solidFill>
          <a:ln w="19050">
            <a:solidFill>
              <a:schemeClr val="lt1"/>
            </a:solidFill>
          </a:ln>
          <a:effectLst/>
        </c:spPr>
      </c:pivotFmt>
      <c:pivotFmt>
        <c:idx val="21"/>
        <c:spPr>
          <a:solidFill>
            <a:schemeClr val="tx1">
              <a:lumMod val="40000"/>
              <a:lumOff val="60000"/>
            </a:schemeClr>
          </a:solidFill>
          <a:ln w="19050">
            <a:solidFill>
              <a:schemeClr val="lt1"/>
            </a:solidFill>
          </a:ln>
          <a:effectLst/>
        </c:spPr>
      </c:pivotFmt>
      <c:pivotFmt>
        <c:idx val="22"/>
        <c:spPr>
          <a:solidFill>
            <a:schemeClr val="bg2">
              <a:lumMod val="25000"/>
            </a:schemeClr>
          </a:solidFill>
          <a:ln w="19050">
            <a:solidFill>
              <a:schemeClr val="lt1"/>
            </a:solidFill>
          </a:ln>
          <a:effectLst/>
        </c:spPr>
      </c:pivotFmt>
      <c:pivotFmt>
        <c:idx val="2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bg2"/>
          </a:solidFill>
          <a:ln w="19050">
            <a:solidFill>
              <a:schemeClr val="lt1"/>
            </a:solidFill>
          </a:ln>
          <a:effectLst/>
        </c:spPr>
      </c:pivotFmt>
      <c:pivotFmt>
        <c:idx val="25"/>
        <c:spPr>
          <a:solidFill>
            <a:schemeClr val="tx1">
              <a:lumMod val="40000"/>
              <a:lumOff val="60000"/>
            </a:schemeClr>
          </a:solidFill>
          <a:ln w="19050">
            <a:solidFill>
              <a:schemeClr val="lt1"/>
            </a:solidFill>
          </a:ln>
          <a:effectLst/>
        </c:spPr>
      </c:pivotFmt>
      <c:pivotFmt>
        <c:idx val="26"/>
        <c:spPr>
          <a:solidFill>
            <a:schemeClr val="bg2">
              <a:lumMod val="50000"/>
            </a:schemeClr>
          </a:solidFill>
          <a:ln w="19050">
            <a:solidFill>
              <a:schemeClr val="lt1"/>
            </a:solidFill>
          </a:ln>
          <a:effectLst/>
        </c:spPr>
      </c:pivotFmt>
    </c:pivotFmts>
    <c:plotArea>
      <c:layout/>
      <c:barChart>
        <c:barDir val="bar"/>
        <c:grouping val="clustered"/>
        <c:varyColors val="0"/>
        <c:ser>
          <c:idx val="0"/>
          <c:order val="0"/>
          <c:tx>
            <c:strRef>
              <c:f>'Budget Pivots'!$M$6</c:f>
              <c:strCache>
                <c:ptCount val="1"/>
                <c:pt idx="0">
                  <c:v>Total</c:v>
                </c:pt>
              </c:strCache>
            </c:strRef>
          </c:tx>
          <c:spPr>
            <a:solidFill>
              <a:schemeClr val="accent1"/>
            </a:solidFill>
            <a:ln w="19050">
              <a:solidFill>
                <a:schemeClr val="lt1"/>
              </a:solidFill>
            </a:ln>
            <a:effectLst/>
          </c:spPr>
          <c:invertIfNegative val="0"/>
          <c:dPt>
            <c:idx val="0"/>
            <c:invertIfNegative val="0"/>
            <c:bubble3D val="0"/>
            <c:spPr>
              <a:solidFill>
                <a:schemeClr val="bg2"/>
              </a:solidFill>
              <a:ln w="19050">
                <a:solidFill>
                  <a:schemeClr val="lt1"/>
                </a:solidFill>
              </a:ln>
              <a:effectLst/>
            </c:spPr>
            <c:extLst>
              <c:ext xmlns:c16="http://schemas.microsoft.com/office/drawing/2014/chart" uri="{C3380CC4-5D6E-409C-BE32-E72D297353CC}">
                <c16:uniqueId val="{00000001-3A63-4055-96EB-FFCB1319E856}"/>
              </c:ext>
            </c:extLst>
          </c:dPt>
          <c:dPt>
            <c:idx val="1"/>
            <c:invertIfNegative val="0"/>
            <c:bubble3D val="0"/>
            <c:spPr>
              <a:solidFill>
                <a:schemeClr val="tx1">
                  <a:lumMod val="40000"/>
                  <a:lumOff val="60000"/>
                </a:schemeClr>
              </a:solidFill>
              <a:ln w="19050">
                <a:solidFill>
                  <a:schemeClr val="lt1"/>
                </a:solidFill>
              </a:ln>
              <a:effectLst/>
            </c:spPr>
            <c:extLst>
              <c:ext xmlns:c16="http://schemas.microsoft.com/office/drawing/2014/chart" uri="{C3380CC4-5D6E-409C-BE32-E72D297353CC}">
                <c16:uniqueId val="{00000003-3A63-4055-96EB-FFCB1319E856}"/>
              </c:ext>
            </c:extLst>
          </c:dPt>
          <c:dPt>
            <c:idx val="2"/>
            <c:invertIfNegative val="0"/>
            <c:bubble3D val="0"/>
            <c:spPr>
              <a:solidFill>
                <a:schemeClr val="bg2">
                  <a:lumMod val="50000"/>
                </a:schemeClr>
              </a:solidFill>
              <a:ln w="19050">
                <a:solidFill>
                  <a:schemeClr val="lt1"/>
                </a:solidFill>
              </a:ln>
              <a:effectLst/>
            </c:spPr>
            <c:extLst>
              <c:ext xmlns:c16="http://schemas.microsoft.com/office/drawing/2014/chart" uri="{C3380CC4-5D6E-409C-BE32-E72D297353CC}">
                <c16:uniqueId val="{00000005-3A63-4055-96EB-FFCB1319E85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'Budget Pivots'!$L$7:$L$9</c:f>
              <c:strCache>
                <c:ptCount val="3"/>
                <c:pt idx="0">
                  <c:v>Spent to date </c:v>
                </c:pt>
                <c:pt idx="1">
                  <c:v>Budget remaining </c:v>
                </c:pt>
                <c:pt idx="2">
                  <c:v>Budget </c:v>
                </c:pt>
              </c:strCache>
            </c:strRef>
          </c:cat>
          <c:val>
            <c:numRef>
              <c:f>'Budget Pivots'!$M$7:$M$9</c:f>
              <c:numCache>
                <c:formatCode>#,##0</c:formatCode>
                <c:ptCount val="3"/>
                <c:pt idx="0">
                  <c:v>0</c:v>
                </c:pt>
                <c:pt idx="1">
                  <c:v>0</c:v>
                </c:pt>
                <c:pt idx="2">
                  <c:v>0</c:v>
                </c:pt>
              </c:numCache>
            </c:numRef>
          </c:val>
          <c:extLst>
            <c:ext xmlns:c16="http://schemas.microsoft.com/office/drawing/2014/chart" uri="{C3380CC4-5D6E-409C-BE32-E72D297353CC}">
              <c16:uniqueId val="{00000006-3A63-4055-96EB-FFCB1319E856}"/>
            </c:ext>
          </c:extLst>
        </c:ser>
        <c:dLbls>
          <c:dLblPos val="inBase"/>
          <c:showLegendKey val="0"/>
          <c:showVal val="1"/>
          <c:showCatName val="0"/>
          <c:showSerName val="0"/>
          <c:showPercent val="0"/>
          <c:showBubbleSize val="0"/>
        </c:dLbls>
        <c:gapWidth val="150"/>
        <c:axId val="943802608"/>
        <c:axId val="943797688"/>
      </c:barChart>
      <c:valAx>
        <c:axId val="943797688"/>
        <c:scaling>
          <c:orientation val="minMax"/>
        </c:scaling>
        <c:delete val="0"/>
        <c:axPos val="b"/>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43802608"/>
        <c:crosses val="autoZero"/>
        <c:crossBetween val="between"/>
      </c:valAx>
      <c:catAx>
        <c:axId val="94380260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43797688"/>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[BCMS-DOC-00-4 ISO22301 Project Plan.xlsx]Budget Pivots!PivotTable11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solidFill>
                  <a:schemeClr val="tx1"/>
                </a:solidFill>
              </a:rPr>
              <a:t>Budget breakdown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bg2">
              <a:lumMod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bg2">
              <a:lumMod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'Budget Pivots'!$C$6</c:f>
              <c:strCache>
                <c:ptCount val="1"/>
                <c:pt idx="0">
                  <c:v>Budget </c:v>
                </c:pt>
              </c:strCache>
            </c:strRef>
          </c:tx>
          <c:spPr>
            <a:solidFill>
              <a:schemeClr val="bg2">
                <a:lumMod val="50000"/>
              </a:schemeClr>
            </a:solidFill>
            <a:ln>
              <a:noFill/>
            </a:ln>
            <a:effectLst/>
          </c:spPr>
          <c:invertIfNegative val="0"/>
          <c:cat>
            <c:strRef>
              <c:f>'Budget Pivots'!$B$7:$B$18</c:f>
              <c:strCache>
                <c:ptCount val="11"/>
                <c:pt idx="0">
                  <c:v>Certification auditing</c:v>
                </c:pt>
                <c:pt idx="1">
                  <c:v>Communication</c:v>
                </c:pt>
                <c:pt idx="2">
                  <c:v>External Consultancy</c:v>
                </c:pt>
                <c:pt idx="3">
                  <c:v>Hardware</c:v>
                </c:pt>
                <c:pt idx="4">
                  <c:v>Internal auditing</c:v>
                </c:pt>
                <c:pt idx="5">
                  <c:v>Internal resources</c:v>
                </c:pt>
                <c:pt idx="6">
                  <c:v>Offices and furniture</c:v>
                </c:pt>
                <c:pt idx="7">
                  <c:v>Professional memberships</c:v>
                </c:pt>
                <c:pt idx="8">
                  <c:v>Software tools</c:v>
                </c:pt>
                <c:pt idx="9">
                  <c:v>Training</c:v>
                </c:pt>
                <c:pt idx="10">
                  <c:v>Travel and subsistence</c:v>
                </c:pt>
              </c:strCache>
            </c:strRef>
          </c:cat>
          <c:val>
            <c:numRef>
              <c:f>'Budget Pivots'!$C$7:$C$18</c:f>
              <c:numCache>
                <c:formatCode>#,##0</c:formatCode>
                <c:ptCount val="11"/>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0-C158-4732-88C5-F9A1C1B30505}"/>
            </c:ext>
          </c:extLst>
        </c:ser>
        <c:ser>
          <c:idx val="1"/>
          <c:order val="1"/>
          <c:tx>
            <c:strRef>
              <c:f>'Budget Pivots'!$D$6</c:f>
              <c:strCache>
                <c:ptCount val="1"/>
                <c:pt idx="0">
                  <c:v>Spent to date </c:v>
                </c:pt>
              </c:strCache>
            </c:strRef>
          </c:tx>
          <c:spPr>
            <a:solidFill>
              <a:schemeClr val="bg2"/>
            </a:solidFill>
            <a:ln>
              <a:noFill/>
            </a:ln>
            <a:effectLst/>
          </c:spPr>
          <c:invertIfNegative val="0"/>
          <c:cat>
            <c:strRef>
              <c:f>'Budget Pivots'!$B$7:$B$18</c:f>
              <c:strCache>
                <c:ptCount val="11"/>
                <c:pt idx="0">
                  <c:v>Certification auditing</c:v>
                </c:pt>
                <c:pt idx="1">
                  <c:v>Communication</c:v>
                </c:pt>
                <c:pt idx="2">
                  <c:v>External Consultancy</c:v>
                </c:pt>
                <c:pt idx="3">
                  <c:v>Hardware</c:v>
                </c:pt>
                <c:pt idx="4">
                  <c:v>Internal auditing</c:v>
                </c:pt>
                <c:pt idx="5">
                  <c:v>Internal resources</c:v>
                </c:pt>
                <c:pt idx="6">
                  <c:v>Offices and furniture</c:v>
                </c:pt>
                <c:pt idx="7">
                  <c:v>Professional memberships</c:v>
                </c:pt>
                <c:pt idx="8">
                  <c:v>Software tools</c:v>
                </c:pt>
                <c:pt idx="9">
                  <c:v>Training</c:v>
                </c:pt>
                <c:pt idx="10">
                  <c:v>Travel and subsistence</c:v>
                </c:pt>
              </c:strCache>
            </c:strRef>
          </c:cat>
          <c:val>
            <c:numRef>
              <c:f>'Budget Pivots'!$D$7:$D$18</c:f>
              <c:numCache>
                <c:formatCode>#,##0</c:formatCode>
                <c:ptCount val="11"/>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1-C158-4732-88C5-F9A1C1B30505}"/>
            </c:ext>
          </c:extLst>
        </c:ser>
        <c:ser>
          <c:idx val="2"/>
          <c:order val="2"/>
          <c:tx>
            <c:strRef>
              <c:f>'Budget Pivots'!$E$6</c:f>
              <c:strCache>
                <c:ptCount val="1"/>
                <c:pt idx="0">
                  <c:v>Budget remaining </c:v>
                </c:pt>
              </c:strCache>
            </c:strRef>
          </c:tx>
          <c:spPr>
            <a:solidFill>
              <a:schemeClr val="accent3"/>
            </a:solidFill>
            <a:ln>
              <a:noFill/>
            </a:ln>
            <a:effectLst/>
          </c:spPr>
          <c:invertIfNegative val="0"/>
          <c:cat>
            <c:strRef>
              <c:f>'Budget Pivots'!$B$7:$B$18</c:f>
              <c:strCache>
                <c:ptCount val="11"/>
                <c:pt idx="0">
                  <c:v>Certification auditing</c:v>
                </c:pt>
                <c:pt idx="1">
                  <c:v>Communication</c:v>
                </c:pt>
                <c:pt idx="2">
                  <c:v>External Consultancy</c:v>
                </c:pt>
                <c:pt idx="3">
                  <c:v>Hardware</c:v>
                </c:pt>
                <c:pt idx="4">
                  <c:v>Internal auditing</c:v>
                </c:pt>
                <c:pt idx="5">
                  <c:v>Internal resources</c:v>
                </c:pt>
                <c:pt idx="6">
                  <c:v>Offices and furniture</c:v>
                </c:pt>
                <c:pt idx="7">
                  <c:v>Professional memberships</c:v>
                </c:pt>
                <c:pt idx="8">
                  <c:v>Software tools</c:v>
                </c:pt>
                <c:pt idx="9">
                  <c:v>Training</c:v>
                </c:pt>
                <c:pt idx="10">
                  <c:v>Travel and subsistence</c:v>
                </c:pt>
              </c:strCache>
            </c:strRef>
          </c:cat>
          <c:val>
            <c:numRef>
              <c:f>'Budget Pivots'!$E$7:$E$18</c:f>
              <c:numCache>
                <c:formatCode>#,##0</c:formatCode>
                <c:ptCount val="11"/>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2-C158-4732-88C5-F9A1C1B30505}"/>
            </c:ext>
          </c:extLst>
        </c:ser>
        <c:dLbls>
          <c:showLegendKey val="0"/>
          <c:showVal val="0"/>
          <c:showCatName val="0"/>
          <c:showSerName val="0"/>
          <c:showPercent val="0"/>
          <c:showBubbleSize val="0"/>
        </c:dLbls>
        <c:gapWidth val="150"/>
        <c:axId val="943573160"/>
        <c:axId val="943569224"/>
      </c:barChart>
      <c:catAx>
        <c:axId val="94357316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43569224"/>
        <c:crosses val="autoZero"/>
        <c:auto val="1"/>
        <c:lblAlgn val="ctr"/>
        <c:lblOffset val="100"/>
        <c:noMultiLvlLbl val="0"/>
      </c:catAx>
      <c:valAx>
        <c:axId val="943569224"/>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43573160"/>
        <c:crosses val="autoZero"/>
        <c:crossBetween val="between"/>
      </c:valAx>
      <c:dTable>
        <c:showHorzBorder val="1"/>
        <c:showVertBorder val="1"/>
        <c:showOutline val="0"/>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solidFill>
                <a:latin typeface="+mn-lt"/>
                <a:ea typeface="+mn-ea"/>
                <a:cs typeface="+mn-cs"/>
              </a:defRPr>
            </a:pPr>
            <a:endParaRPr lang="en-US"/>
          </a:p>
        </c:txPr>
      </c:dTable>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Scroll" dx="22" fmlaLink="'Scroll Bar'!$B$7" horiz="1" max="540" page="7" val="0"/>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2.jpe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absolute">
    <xdr:from>
      <xdr:col>1</xdr:col>
      <xdr:colOff>3152775</xdr:colOff>
      <xdr:row>0</xdr:row>
      <xdr:rowOff>123825</xdr:rowOff>
    </xdr:from>
    <xdr:to>
      <xdr:col>2</xdr:col>
      <xdr:colOff>76200</xdr:colOff>
      <xdr:row>5</xdr:row>
      <xdr:rowOff>66675</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3343275" y="123825"/>
          <a:ext cx="3114675" cy="895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GB" sz="1800" b="1">
              <a:solidFill>
                <a:schemeClr val="tx1"/>
              </a:solidFill>
            </a:rPr>
            <a:t>ISO22301 Project Plan</a:t>
          </a:r>
        </a:p>
        <a:p>
          <a:pPr algn="r"/>
          <a:r>
            <a:rPr lang="en-GB" sz="1200" b="0">
              <a:solidFill>
                <a:schemeClr val="tx1"/>
              </a:solidFill>
              <a:latin typeface="+mn-lt"/>
            </a:rPr>
            <a:t>BCMS-DOC-00-4</a:t>
          </a:r>
        </a:p>
      </xdr:txBody>
    </xdr:sp>
    <xdr:clientData/>
  </xdr:twoCellAnchor>
  <xdr:twoCellAnchor editAs="oneCell">
    <xdr:from>
      <xdr:col>1</xdr:col>
      <xdr:colOff>1</xdr:colOff>
      <xdr:row>1</xdr:row>
      <xdr:rowOff>0</xdr:rowOff>
    </xdr:from>
    <xdr:to>
      <xdr:col>1</xdr:col>
      <xdr:colOff>2956159</xdr:colOff>
      <xdr:row>5</xdr:row>
      <xdr:rowOff>9525</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1" y="190500"/>
          <a:ext cx="2956158" cy="7715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absolute">
    <xdr:from>
      <xdr:col>2</xdr:col>
      <xdr:colOff>3190875</xdr:colOff>
      <xdr:row>1</xdr:row>
      <xdr:rowOff>92075</xdr:rowOff>
    </xdr:from>
    <xdr:to>
      <xdr:col>3</xdr:col>
      <xdr:colOff>1200150</xdr:colOff>
      <xdr:row>5</xdr:row>
      <xdr:rowOff>133350</xdr:rowOff>
    </xdr:to>
    <xdr:sp macro="" textlink="">
      <xdr:nvSpPr>
        <xdr:cNvPr id="3" name="TextBox 2">
          <a:extLst>
            <a:ext uri="{FF2B5EF4-FFF2-40B4-BE49-F238E27FC236}">
              <a16:creationId xmlns:a16="http://schemas.microsoft.com/office/drawing/2014/main" id="{00000000-0008-0000-0100-000003000000}"/>
            </a:ext>
          </a:extLst>
        </xdr:cNvPr>
        <xdr:cNvSpPr txBox="1"/>
      </xdr:nvSpPr>
      <xdr:spPr>
        <a:xfrm>
          <a:off x="3686175" y="282575"/>
          <a:ext cx="2343150" cy="908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r" defTabSz="914400" eaLnBrk="1" fontAlgn="auto" latinLnBrk="0" hangingPunct="1">
            <a:lnSpc>
              <a:spcPct val="100000"/>
            </a:lnSpc>
            <a:spcBef>
              <a:spcPts val="0"/>
            </a:spcBef>
            <a:spcAft>
              <a:spcPts val="0"/>
            </a:spcAft>
            <a:buClrTx/>
            <a:buSzTx/>
            <a:buFontTx/>
            <a:buNone/>
            <a:tabLst/>
            <a:defRPr/>
          </a:pPr>
          <a:r>
            <a:rPr kumimoji="0" lang="en-GB" sz="1800" b="1" i="0" u="none" strike="noStrike" kern="0" cap="none" spc="0" normalizeH="0" baseline="0" noProof="0">
              <a:ln>
                <a:noFill/>
              </a:ln>
              <a:solidFill>
                <a:srgbClr val="444444"/>
              </a:solidFill>
              <a:effectLst/>
              <a:uLnTx/>
              <a:uFillTx/>
              <a:latin typeface="+mn-lt"/>
              <a:ea typeface="+mn-ea"/>
              <a:cs typeface="+mn-cs"/>
            </a:rPr>
            <a:t>ISO22301 Project Plan</a:t>
          </a:r>
        </a:p>
        <a:p>
          <a:pPr marL="0" marR="0" lvl="0" indent="0" algn="r" defTabSz="914400" eaLnBrk="1" fontAlgn="auto" latinLnBrk="0" hangingPunct="1">
            <a:lnSpc>
              <a:spcPct val="100000"/>
            </a:lnSpc>
            <a:spcBef>
              <a:spcPts val="0"/>
            </a:spcBef>
            <a:spcAft>
              <a:spcPts val="0"/>
            </a:spcAft>
            <a:buClrTx/>
            <a:buSzTx/>
            <a:buFontTx/>
            <a:buNone/>
            <a:tabLst/>
            <a:defRPr/>
          </a:pPr>
          <a:r>
            <a:rPr kumimoji="0" lang="en-GB" sz="1200" b="0" i="0" u="none" strike="noStrike" kern="0" cap="none" spc="0" normalizeH="0" baseline="0" noProof="0">
              <a:ln>
                <a:noFill/>
              </a:ln>
              <a:solidFill>
                <a:srgbClr val="444444"/>
              </a:solidFill>
              <a:effectLst/>
              <a:uLnTx/>
              <a:uFillTx/>
              <a:latin typeface="+mn-lt"/>
              <a:ea typeface="+mn-ea"/>
              <a:cs typeface="+mn-cs"/>
            </a:rPr>
            <a:t>BCMS-DOC-00-4</a:t>
          </a:r>
        </a:p>
      </xdr:txBody>
    </xdr:sp>
    <xdr:clientData/>
  </xdr:twoCellAnchor>
  <xdr:twoCellAnchor editAs="oneCell">
    <xdr:from>
      <xdr:col>1</xdr:col>
      <xdr:colOff>0</xdr:colOff>
      <xdr:row>1</xdr:row>
      <xdr:rowOff>0</xdr:rowOff>
    </xdr:from>
    <xdr:to>
      <xdr:col>2</xdr:col>
      <xdr:colOff>2222975</xdr:colOff>
      <xdr:row>5</xdr:row>
      <xdr:rowOff>91215</xdr:rowOff>
    </xdr:to>
    <xdr:pic>
      <xdr:nvPicPr>
        <xdr:cNvPr id="4" name="Picture 3" descr="Auto Replace">
          <a:extLst>
            <a:ext uri="{FF2B5EF4-FFF2-40B4-BE49-F238E27FC236}">
              <a16:creationId xmlns:a16="http://schemas.microsoft.com/office/drawing/2014/main" id="{00000000-0008-0000-0100-000004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0" y="190500"/>
          <a:ext cx="2527775" cy="95799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2527775</xdr:colOff>
      <xdr:row>6</xdr:row>
      <xdr:rowOff>5490</xdr:rowOff>
    </xdr:to>
    <xdr:pic>
      <xdr:nvPicPr>
        <xdr:cNvPr id="4" name="Picture 3" descr="Auto Replace">
          <a:extLst>
            <a:ext uri="{FF2B5EF4-FFF2-40B4-BE49-F238E27FC236}">
              <a16:creationId xmlns:a16="http://schemas.microsoft.com/office/drawing/2014/main" id="{00000000-0008-0000-0200-000004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0" y="190500"/>
          <a:ext cx="2527775" cy="95799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47625</xdr:colOff>
          <xdr:row>11</xdr:row>
          <xdr:rowOff>9525</xdr:rowOff>
        </xdr:from>
        <xdr:to>
          <xdr:col>2</xdr:col>
          <xdr:colOff>4000500</xdr:colOff>
          <xdr:row>11</xdr:row>
          <xdr:rowOff>285750</xdr:rowOff>
        </xdr:to>
        <xdr:sp macro="" textlink="">
          <xdr:nvSpPr>
            <xdr:cNvPr id="2051" name="Scroll Bar 3" hidden="1">
              <a:extLst>
                <a:ext uri="{63B3BB69-23CF-44E3-9099-C40C66FF867C}">
                  <a14:compatExt spid="_x0000_s2051"/>
                </a:ext>
                <a:ext uri="{FF2B5EF4-FFF2-40B4-BE49-F238E27FC236}">
                  <a16:creationId xmlns:a16="http://schemas.microsoft.com/office/drawing/2014/main" id="{00000000-0008-0000-0300-0000030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editAs="oneCell">
    <xdr:from>
      <xdr:col>1</xdr:col>
      <xdr:colOff>0</xdr:colOff>
      <xdr:row>1</xdr:row>
      <xdr:rowOff>0</xdr:rowOff>
    </xdr:from>
    <xdr:to>
      <xdr:col>2</xdr:col>
      <xdr:colOff>2146775</xdr:colOff>
      <xdr:row>6</xdr:row>
      <xdr:rowOff>5490</xdr:rowOff>
    </xdr:to>
    <xdr:pic>
      <xdr:nvPicPr>
        <xdr:cNvPr id="10" name="Picture 9" descr="Auto Replace">
          <a:extLst>
            <a:ext uri="{FF2B5EF4-FFF2-40B4-BE49-F238E27FC236}">
              <a16:creationId xmlns:a16="http://schemas.microsoft.com/office/drawing/2014/main" id="{00000000-0008-0000-0300-00000A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0" y="190500"/>
          <a:ext cx="2527775" cy="95799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4</xdr:col>
      <xdr:colOff>489425</xdr:colOff>
      <xdr:row>6</xdr:row>
      <xdr:rowOff>5490</xdr:rowOff>
    </xdr:to>
    <xdr:pic>
      <xdr:nvPicPr>
        <xdr:cNvPr id="3" name="Picture 2" descr="Auto Replace">
          <a:extLst>
            <a:ext uri="{FF2B5EF4-FFF2-40B4-BE49-F238E27FC236}">
              <a16:creationId xmlns:a16="http://schemas.microsoft.com/office/drawing/2014/main" id="{00000000-0008-0000-04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0" y="190500"/>
          <a:ext cx="2527775" cy="957990"/>
        </a:xfrm>
        <a:prstGeom prst="rect">
          <a:avLst/>
        </a:prstGeom>
      </xdr:spPr>
    </xdr:pic>
    <xdr:clientData/>
  </xdr:twoCellAnchor>
  <xdr:twoCellAnchor>
    <xdr:from>
      <xdr:col>0</xdr:col>
      <xdr:colOff>190499</xdr:colOff>
      <xdr:row>15</xdr:row>
      <xdr:rowOff>66675</xdr:rowOff>
    </xdr:from>
    <xdr:to>
      <xdr:col>4</xdr:col>
      <xdr:colOff>121649</xdr:colOff>
      <xdr:row>24</xdr:row>
      <xdr:rowOff>152175</xdr:rowOff>
    </xdr:to>
    <xdr:graphicFrame macro="">
      <xdr:nvGraphicFramePr>
        <xdr:cNvPr id="5" name="Chart 4">
          <a:extLst>
            <a:ext uri="{FF2B5EF4-FFF2-40B4-BE49-F238E27FC236}">
              <a16:creationId xmlns:a16="http://schemas.microsoft.com/office/drawing/2014/main" id="{00000000-0008-0000-04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495299</xdr:colOff>
      <xdr:row>15</xdr:row>
      <xdr:rowOff>0</xdr:rowOff>
    </xdr:from>
    <xdr:to>
      <xdr:col>19</xdr:col>
      <xdr:colOff>581024</xdr:colOff>
      <xdr:row>33</xdr:row>
      <xdr:rowOff>190499</xdr:rowOff>
    </xdr:to>
    <xdr:graphicFrame macro="">
      <xdr:nvGraphicFramePr>
        <xdr:cNvPr id="6" name="Chart 5">
          <a:extLst>
            <a:ext uri="{FF2B5EF4-FFF2-40B4-BE49-F238E27FC236}">
              <a16:creationId xmlns:a16="http://schemas.microsoft.com/office/drawing/2014/main" id="{00000000-0008-0000-04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219075</xdr:colOff>
      <xdr:row>15</xdr:row>
      <xdr:rowOff>0</xdr:rowOff>
    </xdr:from>
    <xdr:to>
      <xdr:col>25</xdr:col>
      <xdr:colOff>838200</xdr:colOff>
      <xdr:row>33</xdr:row>
      <xdr:rowOff>190499</xdr:rowOff>
    </xdr:to>
    <xdr:graphicFrame macro="">
      <xdr:nvGraphicFramePr>
        <xdr:cNvPr id="7" name="Chart 6">
          <a:extLst>
            <a:ext uri="{FF2B5EF4-FFF2-40B4-BE49-F238E27FC236}">
              <a16:creationId xmlns:a16="http://schemas.microsoft.com/office/drawing/2014/main" id="{00000000-0008-0000-04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129496</xdr:colOff>
      <xdr:row>15</xdr:row>
      <xdr:rowOff>0</xdr:rowOff>
    </xdr:from>
    <xdr:to>
      <xdr:col>11</xdr:col>
      <xdr:colOff>342900</xdr:colOff>
      <xdr:row>33</xdr:row>
      <xdr:rowOff>190499</xdr:rowOff>
    </xdr:to>
    <xdr:graphicFrame macro="">
      <xdr:nvGraphicFramePr>
        <xdr:cNvPr id="8" name="Chart 7">
          <a:extLst>
            <a:ext uri="{FF2B5EF4-FFF2-40B4-BE49-F238E27FC236}">
              <a16:creationId xmlns:a16="http://schemas.microsoft.com/office/drawing/2014/main" id="{00000000-0008-0000-04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9525</xdr:colOff>
      <xdr:row>36</xdr:row>
      <xdr:rowOff>180975</xdr:rowOff>
    </xdr:from>
    <xdr:to>
      <xdr:col>26</xdr:col>
      <xdr:colOff>9526</xdr:colOff>
      <xdr:row>55</xdr:row>
      <xdr:rowOff>180975</xdr:rowOff>
    </xdr:to>
    <xdr:grpSp>
      <xdr:nvGrpSpPr>
        <xdr:cNvPr id="11" name="Group 10">
          <a:extLst>
            <a:ext uri="{FF2B5EF4-FFF2-40B4-BE49-F238E27FC236}">
              <a16:creationId xmlns:a16="http://schemas.microsoft.com/office/drawing/2014/main" id="{00000000-0008-0000-0400-00000B000000}"/>
            </a:ext>
          </a:extLst>
        </xdr:cNvPr>
        <xdr:cNvGrpSpPr/>
      </xdr:nvGrpSpPr>
      <xdr:grpSpPr>
        <a:xfrm>
          <a:off x="200025" y="7324725"/>
          <a:ext cx="15859126" cy="3619500"/>
          <a:chOff x="200025" y="7343775"/>
          <a:chExt cx="15859126" cy="3619500"/>
        </a:xfrm>
      </xdr:grpSpPr>
      <xdr:graphicFrame macro="">
        <xdr:nvGraphicFramePr>
          <xdr:cNvPr id="14" name="Chart 13">
            <a:extLst>
              <a:ext uri="{FF2B5EF4-FFF2-40B4-BE49-F238E27FC236}">
                <a16:creationId xmlns:a16="http://schemas.microsoft.com/office/drawing/2014/main" id="{00000000-0008-0000-0400-00000E000000}"/>
              </a:ext>
            </a:extLst>
          </xdr:cNvPr>
          <xdr:cNvGraphicFramePr>
            <a:graphicFrameLocks/>
          </xdr:cNvGraphicFramePr>
        </xdr:nvGraphicFramePr>
        <xdr:xfrm>
          <a:off x="200025" y="7343775"/>
          <a:ext cx="4552950" cy="3619500"/>
        </xdr:xfrm>
        <a:graphic>
          <a:graphicData uri="http://schemas.openxmlformats.org/drawingml/2006/chart">
            <c:chart xmlns:c="http://schemas.openxmlformats.org/drawingml/2006/chart" xmlns:r="http://schemas.openxmlformats.org/officeDocument/2006/relationships" r:id="rId6"/>
          </a:graphicData>
        </a:graphic>
      </xdr:graphicFrame>
      <xdr:graphicFrame macro="">
        <xdr:nvGraphicFramePr>
          <xdr:cNvPr id="15" name="Chart 14">
            <a:extLst>
              <a:ext uri="{FF2B5EF4-FFF2-40B4-BE49-F238E27FC236}">
                <a16:creationId xmlns:a16="http://schemas.microsoft.com/office/drawing/2014/main" id="{00000000-0008-0000-0400-00000F000000}"/>
              </a:ext>
            </a:extLst>
          </xdr:cNvPr>
          <xdr:cNvGraphicFramePr>
            <a:graphicFrameLocks/>
          </xdr:cNvGraphicFramePr>
        </xdr:nvGraphicFramePr>
        <xdr:xfrm>
          <a:off x="4752975" y="7343775"/>
          <a:ext cx="11306176" cy="3619500"/>
        </xdr:xfrm>
        <a:graphic>
          <a:graphicData uri="http://schemas.openxmlformats.org/drawingml/2006/chart">
            <c:chart xmlns:c="http://schemas.openxmlformats.org/drawingml/2006/chart" xmlns:r="http://schemas.openxmlformats.org/officeDocument/2006/relationships" r:id="rId7"/>
          </a:graphicData>
        </a:graphic>
      </xdr:graphicFrame>
    </xdr:grpSp>
    <xdr:clientData/>
  </xdr:twoCellAnchor>
  <xdr:twoCellAnchor>
    <xdr:from>
      <xdr:col>2</xdr:col>
      <xdr:colOff>314325</xdr:colOff>
      <xdr:row>20</xdr:row>
      <xdr:rowOff>28575</xdr:rowOff>
    </xdr:from>
    <xdr:to>
      <xdr:col>2</xdr:col>
      <xdr:colOff>704850</xdr:colOff>
      <xdr:row>21</xdr:row>
      <xdr:rowOff>104775</xdr:rowOff>
    </xdr:to>
    <xdr:sp macro="" textlink="'Tasks &amp; Progress Pivots'!F11">
      <xdr:nvSpPr>
        <xdr:cNvPr id="2" name="TextBox 1">
          <a:extLst>
            <a:ext uri="{FF2B5EF4-FFF2-40B4-BE49-F238E27FC236}">
              <a16:creationId xmlns:a16="http://schemas.microsoft.com/office/drawing/2014/main" id="{00000000-0008-0000-0400-000002000000}"/>
            </a:ext>
          </a:extLst>
        </xdr:cNvPr>
        <xdr:cNvSpPr txBox="1"/>
      </xdr:nvSpPr>
      <xdr:spPr>
        <a:xfrm>
          <a:off x="1085850" y="4276725"/>
          <a:ext cx="390525" cy="2667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93B0045-D0B3-4867-B557-67042FE5306E}" type="TxLink">
            <a:rPr lang="en-US" sz="1100" b="1" i="0" u="none" strike="noStrike">
              <a:solidFill>
                <a:schemeClr val="tx1"/>
              </a:solidFill>
              <a:latin typeface="Calibri"/>
              <a:cs typeface="Calibri"/>
            </a:rPr>
            <a:pPr/>
            <a:t>0</a:t>
          </a:fld>
          <a:endParaRPr lang="en-GB" sz="1100" b="1">
            <a:solidFill>
              <a:schemeClr val="tx1"/>
            </a:solidFill>
          </a:endParaRPr>
        </a:p>
      </xdr:txBody>
    </xdr:sp>
    <xdr:clientData/>
  </xdr:twoCellAnchor>
</xdr:wsDr>
</file>

<file path=xl/drawings/drawing6.xml><?xml version="1.0" encoding="utf-8"?>
<c:userShapes xmlns:c="http://schemas.openxmlformats.org/drawingml/2006/chart">
  <cdr:relSizeAnchor xmlns:cdr="http://schemas.openxmlformats.org/drawingml/2006/chartDrawing">
    <cdr:from>
      <cdr:x>0.32192</cdr:x>
      <cdr:y>0.47676</cdr:y>
    </cdr:from>
    <cdr:to>
      <cdr:x>0.66438</cdr:x>
      <cdr:y>0.65232</cdr:y>
    </cdr:to>
    <cdr:sp macro="" textlink="">
      <cdr:nvSpPr>
        <cdr:cNvPr id="2" name="TextBox 1">
          <a:extLst xmlns:a="http://schemas.openxmlformats.org/drawingml/2006/main">
            <a:ext uri="{FF2B5EF4-FFF2-40B4-BE49-F238E27FC236}">
              <a16:creationId xmlns:a16="http://schemas.microsoft.com/office/drawing/2014/main" id="{8405B08D-B064-469F-8B76-F9063A506D6D}"/>
            </a:ext>
          </a:extLst>
        </cdr:cNvPr>
        <cdr:cNvSpPr txBox="1"/>
      </cdr:nvSpPr>
      <cdr:spPr>
        <a:xfrm xmlns:a="http://schemas.openxmlformats.org/drawingml/2006/main">
          <a:off x="895350" y="1319214"/>
          <a:ext cx="952500" cy="48577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GB" sz="11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k Clifton" refreshedDate="43984.595515393521" createdVersion="6" refreshedVersion="6" minRefreshableVersion="3" recordCount="5" xr:uid="{D6B604A7-2A5D-4942-8575-ABFE22CF2D29}">
  <cacheSource type="worksheet">
    <worksheetSource ref="E6:F11" sheet="Tasks &amp; Progress Pivots"/>
  </cacheSource>
  <cacheFields count="2">
    <cacheField name="Task Status" numFmtId="0">
      <sharedItems count="5">
        <s v="Not Started"/>
        <s v="In Progress"/>
        <s v="Completed"/>
        <s v="Remaining"/>
        <s v="Total Tasks"/>
      </sharedItems>
    </cacheField>
    <cacheField name="Task Progress" numFmtId="0">
      <sharedItems containsSemiMixedTypes="0" containsString="0" containsNumber="1" containsInteger="1" minValue="0" maxValue="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k Clifton" refreshedDate="43984.59551550926" createdVersion="6" refreshedVersion="6" minRefreshableVersion="3" recordCount="11" xr:uid="{D4E706B9-B043-4B1C-955B-388BDE6AB46A}">
  <cacheSource type="worksheet">
    <worksheetSource name="ProjectBudget"/>
  </cacheSource>
  <cacheFields count="4">
    <cacheField name="ITEM" numFmtId="0">
      <sharedItems count="11">
        <s v="Internal resources"/>
        <s v="Training"/>
        <s v="Travel and subsistence"/>
        <s v="External Consultancy"/>
        <s v="Communication"/>
        <s v="Professional memberships"/>
        <s v="Software tools"/>
        <s v="Hardware"/>
        <s v="Offices and furniture"/>
        <s v="Internal auditing"/>
        <s v="Certification auditing"/>
      </sharedItems>
    </cacheField>
    <cacheField name="BUDGET" numFmtId="165">
      <sharedItems containsSemiMixedTypes="0" containsString="0" containsNumber="1" containsInteger="1" minValue="0" maxValue="0"/>
    </cacheField>
    <cacheField name="SPENT TO DATE" numFmtId="165">
      <sharedItems containsSemiMixedTypes="0" containsString="0" containsNumber="1" containsInteger="1" minValue="0" maxValue="0"/>
    </cacheField>
    <cacheField name="BUDGET REMAINING" numFmtId="165">
      <sharedItems containsSemiMixedTypes="0" containsString="0" containsNumber="1" containsInteger="1" minValue="0" maxValue="0"/>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k Clifton" refreshedDate="43984.595515624998" createdVersion="6" refreshedVersion="6" minRefreshableVersion="3" recordCount="24" xr:uid="{0CC94153-EBF0-41F5-A7FC-AB1DD1780970}">
  <cacheSource type="worksheet">
    <worksheetSource name="ProjectPlanData"/>
  </cacheSource>
  <cacheFields count="9">
    <cacheField name=" REF" numFmtId="0">
      <sharedItems containsSemiMixedTypes="0" containsString="0" containsNumber="1" minValue="1" maxValue="200" count="237">
        <n v="1"/>
        <n v="2"/>
        <n v="3"/>
        <n v="4"/>
        <n v="5"/>
        <n v="6"/>
        <n v="7"/>
        <n v="8"/>
        <n v="9"/>
        <n v="10"/>
        <n v="11"/>
        <n v="12"/>
        <n v="13"/>
        <n v="14"/>
        <n v="15"/>
        <n v="16"/>
        <n v="17"/>
        <n v="18"/>
        <n v="19"/>
        <n v="20"/>
        <n v="21"/>
        <n v="22"/>
        <n v="23"/>
        <n v="24"/>
        <n v="96" u="1"/>
        <n v="135" u="1"/>
        <n v="4.0999999999999996" u="1"/>
        <n v="57" u="1"/>
        <n v="121" u="1"/>
        <n v="185" u="1"/>
        <n v="4.3" u="1"/>
        <n v="34" u="1"/>
        <n v="75" u="1"/>
        <n v="164" u="1"/>
        <n v="4.5" u="1"/>
        <n v="100" u="1"/>
        <n v="143" u="1"/>
        <n v="59" u="1"/>
        <n v="125" u="1"/>
        <n v="193" u="1"/>
        <n v="36" u="1"/>
        <n v="79" u="1"/>
        <n v="172" u="1"/>
        <n v="1.6" u="1"/>
        <n v="104" u="1"/>
        <n v="151" u="1"/>
        <n v="4.4000000000000004" u="1"/>
        <n v="61" u="1"/>
        <n v="130" u="1"/>
        <n v="38" u="1"/>
        <n v="83" u="1"/>
        <n v="180" u="1"/>
        <n v="5.2" u="1"/>
        <n v="108" u="1"/>
        <n v="159" u="1"/>
        <n v="63" u="1"/>
        <n v="138" u="1"/>
        <n v="40" u="1"/>
        <n v="87" u="1"/>
        <n v="188" u="1"/>
        <n v="112" u="1"/>
        <n v="167" u="1"/>
        <n v="5.0999999999999996" u="1"/>
        <n v="66" u="1"/>
        <n v="146" u="1"/>
        <n v="5.3" u="1"/>
        <n v="42" u="1"/>
        <n v="91" u="1"/>
        <n v="196" u="1"/>
        <n v="116" u="1"/>
        <n v="175" u="1"/>
        <n v="70" u="1"/>
        <n v="154" u="1"/>
        <n v="44" u="1"/>
        <n v="95" u="1"/>
        <n v="133" u="1"/>
        <n v="120" u="1"/>
        <n v="183" u="1"/>
        <n v="74" u="1"/>
        <n v="162" u="1"/>
        <n v="2.1" u="1"/>
        <n v="46" u="1"/>
        <n v="99" u="1"/>
        <n v="141" u="1"/>
        <n v="6.2" u="1"/>
        <n v="124" u="1"/>
        <n v="191" u="1"/>
        <n v="78" u="1"/>
        <n v="170" u="1"/>
        <n v="48" u="1"/>
        <n v="103" u="1"/>
        <n v="149" u="1"/>
        <n v="128" u="1"/>
        <n v="199" u="1"/>
        <n v="6.1" u="1"/>
        <n v="82" u="1"/>
        <n v="178" u="1"/>
        <n v="6.3" u="1"/>
        <n v="50" u="1"/>
        <n v="107" u="1"/>
        <n v="157" u="1"/>
        <n v="6.5" u="1"/>
        <n v="136" u="1"/>
        <n v="86" u="1"/>
        <n v="186" u="1"/>
        <n v="52" u="1"/>
        <n v="111" u="1"/>
        <n v="165" u="1"/>
        <n v="2.2000000000000002" u="1"/>
        <n v="2.2999999999999998" u="1"/>
        <n v="65" u="1"/>
        <n v="144" u="1"/>
        <n v="2.4" u="1"/>
        <n v="6.4" u="1"/>
        <n v="90" u="1"/>
        <n v="194" u="1"/>
        <n v="54" u="1"/>
        <n v="115" u="1"/>
        <n v="173" u="1"/>
        <n v="69" u="1"/>
        <n v="152" u="1"/>
        <n v="94" u="1"/>
        <n v="131" u="1"/>
        <n v="56" u="1"/>
        <n v="119" u="1"/>
        <n v="181" u="1"/>
        <n v="33" u="1"/>
        <n v="73" u="1"/>
        <n v="160" u="1"/>
        <n v="7.1" u="1"/>
        <n v="98" u="1"/>
        <n v="139" u="1"/>
        <n v="58" u="1"/>
        <n v="123" u="1"/>
        <n v="189" u="1"/>
        <n v="35" u="1"/>
        <n v="77" u="1"/>
        <n v="168" u="1"/>
        <n v="102" u="1"/>
        <n v="147" u="1"/>
        <n v="60" u="1"/>
        <n v="127" u="1"/>
        <n v="197" u="1"/>
        <n v="37" u="1"/>
        <n v="81" u="1"/>
        <n v="176" u="1"/>
        <n v="106" u="1"/>
        <n v="155" u="1"/>
        <n v="3.1" u="1"/>
        <n v="62" u="1"/>
        <n v="134" u="1"/>
        <n v="8.4" u="1"/>
        <n v="39" u="1"/>
        <n v="85" u="1"/>
        <n v="184" u="1"/>
        <n v="110" u="1"/>
        <n v="163" u="1"/>
        <n v="8.1" u="1"/>
        <n v="64" u="1"/>
        <n v="142" u="1"/>
        <n v="41" u="1"/>
        <n v="89" u="1"/>
        <n v="192" u="1"/>
        <n v="8.1999999999999993" u="1"/>
        <n v="25" u="1"/>
        <n v="114" u="1"/>
        <n v="171" u="1"/>
        <n v="68" u="1"/>
        <n v="150" u="1"/>
        <n v="43" u="1"/>
        <n v="93" u="1"/>
        <n v="129" u="1"/>
        <n v="200" u="1"/>
        <n v="8.3000000000000007" u="1"/>
        <n v="26" u="1"/>
        <n v="118" u="1"/>
        <n v="179" u="1"/>
        <n v="1.1000000000000001" u="1"/>
        <n v="72" u="1"/>
        <n v="158" u="1"/>
        <n v="1.2" u="1"/>
        <n v="3.2" u="1"/>
        <n v="3.3" u="1"/>
        <n v="45" u="1"/>
        <n v="97" u="1"/>
        <n v="137" u="1"/>
        <n v="1.3" u="1"/>
        <n v="3.4" u="1"/>
        <n v="27" u="1"/>
        <n v="122" u="1"/>
        <n v="187" u="1"/>
        <n v="3.5" u="1"/>
        <n v="3.6" u="1"/>
        <n v="76" u="1"/>
        <n v="166" u="1"/>
        <n v="47" u="1"/>
        <n v="101" u="1"/>
        <n v="145" u="1"/>
        <n v="28" u="1"/>
        <n v="126" u="1"/>
        <n v="195" u="1"/>
        <n v="80" u="1"/>
        <n v="174" u="1"/>
        <n v="49" u="1"/>
        <n v="105" u="1"/>
        <n v="153" u="1"/>
        <n v="29" u="1"/>
        <n v="132" u="1"/>
        <n v="84" u="1"/>
        <n v="182" u="1"/>
        <n v="51" u="1"/>
        <n v="109" u="1"/>
        <n v="161" u="1"/>
        <n v="30" u="1"/>
        <n v="140" u="1"/>
        <n v="1.4" u="1"/>
        <n v="88" u="1"/>
        <n v="190" u="1"/>
        <n v="3.7" u="1"/>
        <n v="3.8" u="1"/>
        <n v="53" u="1"/>
        <n v="113" u="1"/>
        <n v="169" u="1"/>
        <n v="1.5" u="1"/>
        <n v="3.9" u="1"/>
        <n v="31" u="1"/>
        <n v="67" u="1"/>
        <n v="148" u="1"/>
        <n v="4.2" u="1"/>
        <n v="92" u="1"/>
        <n v="198" u="1"/>
        <n v="55" u="1"/>
        <n v="117" u="1"/>
        <n v="177" u="1"/>
        <n v="32" u="1"/>
        <n v="71" u="1"/>
        <n v="156" u="1"/>
      </sharedItems>
    </cacheField>
    <cacheField name="TASK" numFmtId="49">
      <sharedItems containsBlank="1" count="90">
        <s v="Project initiation"/>
        <s v="Define proposed scope of BCMS"/>
        <s v="Perform gap assessment"/>
        <s v="Obtain Top Management commitment"/>
        <s v="Establish BCMS document control"/>
        <s v="Define business continuity policy"/>
        <s v="Document context of the organization"/>
        <s v="Agree business continuity objectives"/>
        <s v="Define roles, responsibilities and authorities"/>
        <s v="Competence and training needs assessment"/>
        <s v="Conduct business impact analysis"/>
        <s v="Perform risk assessment"/>
        <s v="Determine business continuity strategies and solutions"/>
        <s v="Establish business continuity plans"/>
        <s v="Plan business continuity exercising and testing"/>
        <s v="Document communications procedures"/>
        <s v="Define approach to monitoring, measurement, analysis and evaluation"/>
        <s v="Awareness training"/>
        <s v="Establish continual improvement process"/>
        <s v="Internal audit"/>
        <s v="Perform management review"/>
        <s v="Certification stage one"/>
        <s v="Certification stage two"/>
        <s v="Post Project Review"/>
        <s v="Establish operational controls" u="1"/>
        <s v="Document agreed scope of the OH&amp;S management system" u="1"/>
        <m u="1"/>
        <s v="Agree occupational health and safety objectives" u="1"/>
        <s v="Implement patching " u="1"/>
        <s v="Document hardware in use" u="1"/>
        <s v="kjhgkhgkj" u="1"/>
        <s v="Implement mobile device management" u="1"/>
        <s v="Define whitelisted applications" u="1"/>
        <s v="Select certification body" u="1"/>
        <s v="Project definition" u="1"/>
        <s v="Identify software in use" u="1"/>
        <s v="Deliver awareness training" u="1"/>
        <s v="Select external auditors (Registered Certification Body)" u="1"/>
        <s v="Install and/or configure firewall" u="1"/>
        <s v="Identify resources needed for OH&amp;S management system" u="1"/>
        <s v="Successful certification" u="1"/>
        <s v="Control 4 - Malware Protection" u="1"/>
        <s v="Create password policy" u="1"/>
        <s v="Identify system owners" u="1"/>
        <s v="Apply for certification" u="1"/>
        <s v="Check/Implement offline backups" u="1"/>
        <s v="Create plan to achieve objectives" u="1"/>
        <s v="Obtain management commitment" u="1"/>
        <s v="Define standard configurations" u="1"/>
        <s v="Address issues raised from stage one" u="1"/>
        <s v="Document and review user accounts" u="1"/>
        <s v="Define anti-malware approach" u="1"/>
        <s v="Control 1 - Firewalls" u="1"/>
        <s v="Control 3 - User Access Control" u="1"/>
        <s v="External vulnerability scan" u="1"/>
        <s v="Determine business continuity strategy" u="1"/>
        <s v="Create action plan to address identified nonconformities" u="1"/>
        <s v="Document internal and external communications procedures" u="1"/>
        <s v="Configure anti-malware software" u="1"/>
        <s v="Implement Virtual Private Networks (VPNs)" u="1"/>
        <s v="Certification completed" u="1"/>
        <s v="Define and communicate the health and safety policy" u="1"/>
        <s v="Define proposed scope of OH&amp;S management system" u="1"/>
        <s v="Define and document OH&amp;S management system processes" u="1"/>
        <s v="Define process for firewall rule changes and review" u="1"/>
        <s v="Identify and control admin accounts" u="1"/>
        <s v="Configure device restrictions" u="1"/>
        <s v="Establish document control" u="1"/>
        <s v="Configure event log management" u="1"/>
        <s v="Identify interested parties and their requirements" u="1"/>
        <s v="Identify and address unsupported software" u="1"/>
        <s v="Create access control process" u="1"/>
        <s v="Certification" u="1"/>
        <s v="Change admin password and remove external access" u="1"/>
        <s v="Define and document firewall rules" u="1"/>
        <s v="Address issues identified by certification body" u="1"/>
        <s v="Identify internal auditors and plan audit schedule and procedures" u="1"/>
        <s v="First internal audit" u="1"/>
        <s v="Control 5 - Patch Management" u="1"/>
        <s v="Perform hazard, risk and opportunity assessment" u="1"/>
        <s v="Obtain top management commitment and engage with workers" u="1"/>
        <s v="Control 2 - Secure Configuration" u="1"/>
        <s v="Define proposed scope of certification" u="1"/>
        <s v="Check/configure folder and file permissions" u="1"/>
        <s v="Establish OH&amp;S management system document control" u="1"/>
        <s v="Change default passwords" u="1"/>
        <s v="Internal vulnerability scan" u="1"/>
        <s v="Engage with workers on health and safety - training, co-creation of risk assessments etc" u="1"/>
        <s v="Define emergency response procedures" u="1"/>
        <s v="Define information security policies" u="1"/>
      </sharedItems>
    </cacheField>
    <cacheField name="MAIN ISO22301 REF" numFmtId="49">
      <sharedItems/>
    </cacheField>
    <cacheField name="RESOURCE" numFmtId="49">
      <sharedItems containsBlank="1" count="38">
        <s v="Project Mgr"/>
        <s v="Top Mgt,BC Manager"/>
        <s v="BC Manager,Business Reps"/>
        <s v="BC Manager,Project Mgr,Top Mgt"/>
        <s v="BC Manager,Project Mgr"/>
        <s v="BC Manager,Top Mgt"/>
        <s v="BC Manager,Business Reps,CIO"/>
        <s v="BC Manager,Top Mgt,CIO"/>
        <s v="BC Manager,CIO,Top Mgt"/>
        <s v="BC Manager,Business Reps,CIO,Internal Audit Team"/>
        <s v="BC Manager,Top Mgt,External Auditor"/>
        <s v="BC Manager,Business Reps,External Auditor,Top Mgt"/>
        <s v="Project Mgr,BC Manager,Top Mgt"/>
        <m u="1"/>
        <s v="IT Support, Business Management" u="1"/>
        <s v="Health and Safety Manager/Competent Person, Project Manager" u="1"/>
        <s v="Health and Safety Manager/Competent Person, Top Management, Business Representatives" u="1"/>
        <s v="Project Manager" u="1"/>
        <s v="Project Manager,Business Representatives" u="1"/>
        <s v="IT Support, Business Representatives" u="1"/>
        <s v="IT Support" u="1"/>
        <s v="Health and Safety Manager/Competent Person, Top Management" u="1"/>
        <s v="Certification body" u="1"/>
        <s v="Health and Safety Manager/Competent Person, Business Representatives, External Auditor, Top Management" u="1"/>
        <s v="Health and Safety Manager/Competent Person, Top Management, Selection of Workers" u="1"/>
        <s v="Health and Safety Manager/Competent Person, Business Representatives, Selection of Workers" u="1"/>
        <s v="Health and Safety Manager/Competent Person, Project Manager, Top Management" u="1"/>
        <s v="Health and Safety Manager/Competent Person, Top Management, External Auditor" u="1"/>
        <s v="Health and Safety Manager/Competent Person, Business Representatives" u="1"/>
        <s v="Project Manager, Management, IT Support" u="1"/>
        <s v="IT Support, System Owners" u="1"/>
        <s v="Health and Safety Manager/Competent Person, Top Management, Business Representatives, Selection of Workers" u="1"/>
        <s v="IT Support, Management" u="1"/>
        <s v="Health and Safety Manager/Competent Person, Business Representatives, Internal Audit Team" u="1"/>
        <s v="Health and Safety Manager/Competent Person, Project Manager, Top Management, Selection of Workers" u="1"/>
        <s v="Top Management, Health and Safety Manager/Competent Person" u="1"/>
        <s v="Management" u="1"/>
        <s v="Project Manager, Health and Safety Manager/Competent Person, Top Management, Business Representatives" u="1"/>
      </sharedItems>
    </cacheField>
    <cacheField name="START DATE" numFmtId="14">
      <sharedItems containsNonDate="0" containsDate="1" containsString="0" containsBlank="1" minDate="2020-03-31T00:00:00" maxDate="2020-07-05T00:00:00" count="70">
        <m/>
        <d v="2020-06-24T00:00:00" u="1"/>
        <d v="2020-04-07T00:00:00" u="1"/>
        <d v="2020-07-03T00:00:00" u="1"/>
        <d v="2020-06-17T00:00:00" u="1"/>
        <d v="2020-05-05T00:00:00" u="1"/>
        <d v="2020-06-10T00:00:00" u="1"/>
        <d v="2020-05-24T00:00:00" u="1"/>
        <d v="2020-06-29T00:00:00" u="1"/>
        <d v="2020-06-03T00:00:00" u="1"/>
        <d v="2020-06-22T00:00:00" u="1"/>
        <d v="2020-07-01T00:00:00" u="1"/>
        <d v="2020-04-24T00:00:00" u="1"/>
        <d v="2020-06-15T00:00:00" u="1"/>
        <d v="2020-05-29T00:00:00" u="1"/>
        <d v="2020-04-17T00:00:00" u="1"/>
        <d v="2020-06-08T00:00:00" u="1"/>
        <d v="2020-03-31T00:00:00" u="1"/>
        <d v="2020-05-22T00:00:00" u="1"/>
        <d v="2020-06-27T00:00:00" u="1"/>
        <d v="2020-04-10T00:00:00" u="1"/>
        <d v="2020-06-01T00:00:00" u="1"/>
        <d v="2020-05-15T00:00:00" u="1"/>
        <d v="2020-06-20T00:00:00" u="1"/>
        <d v="2020-04-03T00:00:00" u="1"/>
        <d v="2020-06-13T00:00:00" u="1"/>
        <d v="2020-05-27T00:00:00" u="1"/>
        <d v="2020-04-15T00:00:00" u="1"/>
        <d v="2020-06-06T00:00:00" u="1"/>
        <d v="2020-05-20T00:00:00" u="1"/>
        <d v="2020-06-25T00:00:00" u="1"/>
        <d v="2020-04-08T00:00:00" u="1"/>
        <d v="2020-05-13T00:00:00" u="1"/>
        <d v="2020-07-04T00:00:00" u="1"/>
        <d v="2020-06-18T00:00:00" u="1"/>
        <d v="2020-04-01T00:00:00" u="1"/>
        <d v="2020-05-06T00:00:00" u="1"/>
        <d v="2020-06-11T00:00:00" u="1"/>
        <d v="2020-05-25T00:00:00" u="1"/>
        <d v="2020-06-30T00:00:00" u="1"/>
        <d v="2020-04-13T00:00:00" u="1"/>
        <d v="2020-06-04T00:00:00" u="1"/>
        <d v="2020-05-18T00:00:00" u="1"/>
        <d v="2020-06-23T00:00:00" u="1"/>
        <d v="2020-04-06T00:00:00" u="1"/>
        <d v="2020-05-11T00:00:00" u="1"/>
        <d v="2020-07-02T00:00:00" u="1"/>
        <d v="2020-06-16T00:00:00" u="1"/>
        <d v="2020-04-18T00:00:00" u="1"/>
        <d v="2020-06-09T00:00:00" u="1"/>
        <d v="2020-06-28T00:00:00" u="1"/>
        <d v="2020-06-02T00:00:00" u="1"/>
        <d v="2020-06-21T00:00:00" u="1"/>
        <d v="2020-06-14T00:00:00" u="1"/>
        <d v="2020-05-28T00:00:00" u="1"/>
        <d v="2020-04-16T00:00:00" u="1"/>
        <d v="2020-06-07T00:00:00" u="1"/>
        <d v="2020-05-21T00:00:00" u="1"/>
        <d v="2020-06-26T00:00:00" u="1"/>
        <d v="2020-04-09T00:00:00" u="1"/>
        <d v="2020-05-14T00:00:00" u="1"/>
        <d v="2020-04-28T00:00:00" u="1"/>
        <d v="2020-06-19T00:00:00" u="1"/>
        <d v="2020-04-02T00:00:00" u="1"/>
        <d v="2020-05-07T00:00:00" u="1"/>
        <d v="2020-06-12T00:00:00" u="1"/>
        <d v="2020-05-26T00:00:00" u="1"/>
        <d v="2020-04-14T00:00:00" u="1"/>
        <d v="2020-06-05T00:00:00" u="1"/>
        <d v="2020-05-19T00:00:00" u="1"/>
      </sharedItems>
    </cacheField>
    <cacheField name="WORK DAYS" numFmtId="1">
      <sharedItems containsSemiMixedTypes="0" containsString="0" containsNumber="1" containsInteger="1" minValue="0" maxValue="15" count="10">
        <n v="0"/>
        <n v="5" u="1"/>
        <n v="15" u="1"/>
        <n v="2" u="1"/>
        <n v="6" u="1"/>
        <n v="1" u="1"/>
        <n v="3" u="1"/>
        <n v="8" u="1"/>
        <n v="10" u="1"/>
        <n v="12" u="1"/>
      </sharedItems>
    </cacheField>
    <cacheField name="END DATE" numFmtId="14">
      <sharedItems containsDate="1" containsMixedTypes="1" minDate="2020-04-02T00:00:00" maxDate="2020-07-14T00:00:00" count="73">
        <s v=""/>
        <d v="2020-06-24T00:00:00" u="1"/>
        <d v="2020-04-07T00:00:00" u="1"/>
        <d v="2020-05-12T00:00:00" u="1"/>
        <d v="2020-07-03T00:00:00" u="1"/>
        <d v="2020-06-17T00:00:00" u="1"/>
        <d v="2020-05-31T00:00:00" u="1"/>
        <d v="2020-05-05T00:00:00" u="1"/>
        <d v="2020-06-10T00:00:00" u="1"/>
        <d v="2020-05-24T00:00:00" u="1"/>
        <d v="2020-06-29T00:00:00" u="1"/>
        <d v="2020-06-03T00:00:00" u="1"/>
        <d v="2020-05-17T00:00:00" u="1"/>
        <d v="2020-06-22T00:00:00" u="1"/>
        <d v="2020-05-10T00:00:00" u="1"/>
        <d v="2020-07-01T00:00:00" u="1"/>
        <d v="2020-06-15T00:00:00" u="1"/>
        <d v="2020-05-29T00:00:00" u="1"/>
        <d v="2020-04-17T00:00:00" u="1"/>
        <d v="2020-06-08T00:00:00" u="1"/>
        <d v="2020-05-22T00:00:00" u="1"/>
        <d v="2020-07-13T00:00:00" u="1"/>
        <d v="2020-06-27T00:00:00" u="1"/>
        <d v="2020-04-10T00:00:00" u="1"/>
        <d v="2020-06-01T00:00:00" u="1"/>
        <d v="2020-05-15T00:00:00" u="1"/>
        <d v="2020-07-06T00:00:00" u="1"/>
        <d v="2020-06-20T00:00:00" u="1"/>
        <d v="2020-04-03T00:00:00" u="1"/>
        <d v="2020-05-08T00:00:00" u="1"/>
        <d v="2020-06-13T00:00:00" u="1"/>
        <d v="2020-05-27T00:00:00" u="1"/>
        <d v="2020-04-15T00:00:00" u="1"/>
        <d v="2020-06-06T00:00:00" u="1"/>
        <d v="2020-05-20T00:00:00" u="1"/>
        <d v="2020-06-25T00:00:00" u="1"/>
        <d v="2020-04-08T00:00:00" u="1"/>
        <d v="2020-05-13T00:00:00" u="1"/>
        <d v="2020-04-27T00:00:00" u="1"/>
        <d v="2020-06-18T00:00:00" u="1"/>
        <d v="2020-05-06T00:00:00" u="1"/>
        <d v="2020-04-20T00:00:00" u="1"/>
        <d v="2020-06-11T00:00:00" u="1"/>
        <d v="2020-05-25T00:00:00" u="1"/>
        <d v="2020-06-30T00:00:00" u="1"/>
        <d v="2020-06-04T00:00:00" u="1"/>
        <d v="2020-05-18T00:00:00" u="1"/>
        <d v="2020-06-23T00:00:00" u="1"/>
        <d v="2020-04-06T00:00:00" u="1"/>
        <d v="2020-07-02T00:00:00" u="1"/>
        <d v="2020-06-16T00:00:00" u="1"/>
        <d v="2020-06-09T00:00:00" u="1"/>
        <d v="2020-06-28T00:00:00" u="1"/>
        <d v="2020-06-02T00:00:00" u="1"/>
        <d v="2020-07-07T00:00:00" u="1"/>
        <d v="2020-06-21T00:00:00" u="1"/>
        <d v="2020-04-23T00:00:00" u="1"/>
        <d v="2020-06-14T00:00:00" u="1"/>
        <d v="2020-05-28T00:00:00" u="1"/>
        <d v="2020-06-07T00:00:00" u="1"/>
        <d v="2020-05-21T00:00:00" u="1"/>
        <d v="2020-06-26T00:00:00" u="1"/>
        <d v="2020-04-09T00:00:00" u="1"/>
        <d v="2020-05-14T00:00:00" u="1"/>
        <d v="2020-04-28T00:00:00" u="1"/>
        <d v="2020-06-19T00:00:00" u="1"/>
        <d v="2020-04-02T00:00:00" u="1"/>
        <d v="2020-05-07T00:00:00" u="1"/>
        <d v="2020-04-21T00:00:00" u="1"/>
        <d v="2020-06-12T00:00:00" u="1"/>
        <d v="2020-05-26T00:00:00" u="1"/>
        <d v="2020-04-14T00:00:00" u="1"/>
        <d v="2020-06-05T00:00:00" u="1"/>
      </sharedItems>
    </cacheField>
    <cacheField name="COMPLETED DAYS" numFmtId="1">
      <sharedItems containsSemiMixedTypes="0" containsString="0" containsNumber="1" containsInteger="1" minValue="0" maxValue="6" count="6">
        <n v="0"/>
        <n v="5" u="1"/>
        <n v="2" u="1"/>
        <n v="6" u="1"/>
        <n v="1" u="1"/>
        <n v="3" u="1"/>
      </sharedItems>
    </cacheField>
    <cacheField name="PROGRESS" numFmtId="9">
      <sharedItems containsMixedTypes="1" containsNumber="1" minValue="0" maxValue="1" count="16">
        <s v=""/>
        <n v="0" u="1"/>
        <n v="0.2" u="1"/>
        <n v="0.6" u="1"/>
        <n v="0.625" u="1"/>
        <n v="0.83333333333333337" u="1"/>
        <n v="0.16666666666666666" u="1"/>
        <n v="0.25" u="1"/>
        <n v="0.75" u="1"/>
        <n v="0.1" u="1"/>
        <n v="0.3" u="1"/>
        <n v="0.66666666666666663" u="1"/>
        <n v="1" u="1"/>
        <n v="0.4" u="1"/>
        <n v="0.33333333333333331" u="1"/>
        <n v="0.5" u="1"/>
      </sharedItems>
    </cacheField>
  </cacheFields>
  <extLst>
    <ext xmlns:x14="http://schemas.microsoft.com/office/spreadsheetml/2009/9/main" uri="{725AE2AE-9491-48be-B2B4-4EB974FC3084}">
      <x14:pivotCacheDefinition pivotCacheId="38057609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n v="0"/>
  </r>
  <r>
    <x v="1"/>
    <n v="0"/>
  </r>
  <r>
    <x v="2"/>
    <n v="0"/>
  </r>
  <r>
    <x v="3"/>
    <n v="0"/>
  </r>
  <r>
    <x v="4"/>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
  <r>
    <x v="0"/>
    <n v="0"/>
    <n v="0"/>
    <n v="0"/>
  </r>
  <r>
    <x v="1"/>
    <n v="0"/>
    <n v="0"/>
    <n v="0"/>
  </r>
  <r>
    <x v="2"/>
    <n v="0"/>
    <n v="0"/>
    <n v="0"/>
  </r>
  <r>
    <x v="3"/>
    <n v="0"/>
    <n v="0"/>
    <n v="0"/>
  </r>
  <r>
    <x v="4"/>
    <n v="0"/>
    <n v="0"/>
    <n v="0"/>
  </r>
  <r>
    <x v="5"/>
    <n v="0"/>
    <n v="0"/>
    <n v="0"/>
  </r>
  <r>
    <x v="6"/>
    <n v="0"/>
    <n v="0"/>
    <n v="0"/>
  </r>
  <r>
    <x v="7"/>
    <n v="0"/>
    <n v="0"/>
    <n v="0"/>
  </r>
  <r>
    <x v="8"/>
    <n v="0"/>
    <n v="0"/>
    <n v="0"/>
  </r>
  <r>
    <x v="9"/>
    <n v="0"/>
    <n v="0"/>
    <n v="0"/>
  </r>
  <r>
    <x v="10"/>
    <n v="0"/>
    <n v="0"/>
    <n v="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
  <r>
    <x v="0"/>
    <x v="0"/>
    <s v="All"/>
    <x v="0"/>
    <x v="0"/>
    <x v="0"/>
    <x v="0"/>
    <x v="0"/>
    <x v="0"/>
  </r>
  <r>
    <x v="1"/>
    <x v="1"/>
    <s v="4.3 Determining the scope of the business continuity management system"/>
    <x v="1"/>
    <x v="0"/>
    <x v="0"/>
    <x v="0"/>
    <x v="0"/>
    <x v="0"/>
  </r>
  <r>
    <x v="2"/>
    <x v="2"/>
    <s v="All"/>
    <x v="2"/>
    <x v="0"/>
    <x v="0"/>
    <x v="0"/>
    <x v="0"/>
    <x v="0"/>
  </r>
  <r>
    <x v="3"/>
    <x v="3"/>
    <s v="5.1 Leadership and commitment"/>
    <x v="3"/>
    <x v="0"/>
    <x v="0"/>
    <x v="0"/>
    <x v="0"/>
    <x v="0"/>
  </r>
  <r>
    <x v="4"/>
    <x v="4"/>
    <s v="7.5 Documented information"/>
    <x v="4"/>
    <x v="0"/>
    <x v="0"/>
    <x v="0"/>
    <x v="0"/>
    <x v="0"/>
  </r>
  <r>
    <x v="5"/>
    <x v="5"/>
    <s v="5.2 Policy"/>
    <x v="5"/>
    <x v="0"/>
    <x v="0"/>
    <x v="0"/>
    <x v="0"/>
    <x v="0"/>
  </r>
  <r>
    <x v="6"/>
    <x v="6"/>
    <s v="4. Context of the organization"/>
    <x v="5"/>
    <x v="0"/>
    <x v="0"/>
    <x v="0"/>
    <x v="0"/>
    <x v="0"/>
  </r>
  <r>
    <x v="7"/>
    <x v="7"/>
    <s v="6.2 Business continuity objectives and planning to achieve them"/>
    <x v="5"/>
    <x v="0"/>
    <x v="0"/>
    <x v="0"/>
    <x v="0"/>
    <x v="0"/>
  </r>
  <r>
    <x v="8"/>
    <x v="8"/>
    <s v="5.3 Roles, responsibilities and authorities"/>
    <x v="5"/>
    <x v="0"/>
    <x v="0"/>
    <x v="0"/>
    <x v="0"/>
    <x v="0"/>
  </r>
  <r>
    <x v="9"/>
    <x v="9"/>
    <s v="7.2 Competence"/>
    <x v="2"/>
    <x v="0"/>
    <x v="0"/>
    <x v="0"/>
    <x v="0"/>
    <x v="0"/>
  </r>
  <r>
    <x v="10"/>
    <x v="10"/>
    <s v="8.2 Business impact analysis and risk assessment"/>
    <x v="6"/>
    <x v="0"/>
    <x v="0"/>
    <x v="0"/>
    <x v="0"/>
    <x v="0"/>
  </r>
  <r>
    <x v="11"/>
    <x v="11"/>
    <s v="8.2 Business impact analysis and risk assessment"/>
    <x v="7"/>
    <x v="0"/>
    <x v="0"/>
    <x v="0"/>
    <x v="0"/>
    <x v="0"/>
  </r>
  <r>
    <x v="12"/>
    <x v="12"/>
    <s v="8.3 Business continuity strategies and solutions"/>
    <x v="7"/>
    <x v="0"/>
    <x v="0"/>
    <x v="0"/>
    <x v="0"/>
    <x v="0"/>
  </r>
  <r>
    <x v="13"/>
    <x v="13"/>
    <s v="8.4 Business continuity plans and procedures"/>
    <x v="6"/>
    <x v="0"/>
    <x v="0"/>
    <x v="0"/>
    <x v="0"/>
    <x v="0"/>
  </r>
  <r>
    <x v="14"/>
    <x v="14"/>
    <s v="8.5 Exercise programme"/>
    <x v="8"/>
    <x v="0"/>
    <x v="0"/>
    <x v="0"/>
    <x v="0"/>
    <x v="0"/>
  </r>
  <r>
    <x v="15"/>
    <x v="15"/>
    <s v="8.4 Business continuity plans and procedures"/>
    <x v="2"/>
    <x v="0"/>
    <x v="0"/>
    <x v="0"/>
    <x v="0"/>
    <x v="0"/>
  </r>
  <r>
    <x v="16"/>
    <x v="16"/>
    <s v="9.1 Monitoring, measurement, analysis and evaluation"/>
    <x v="5"/>
    <x v="0"/>
    <x v="0"/>
    <x v="0"/>
    <x v="0"/>
    <x v="0"/>
  </r>
  <r>
    <x v="17"/>
    <x v="17"/>
    <s v="7.3 Awareness"/>
    <x v="2"/>
    <x v="0"/>
    <x v="0"/>
    <x v="0"/>
    <x v="0"/>
    <x v="0"/>
  </r>
  <r>
    <x v="18"/>
    <x v="18"/>
    <s v="10. Improvement"/>
    <x v="5"/>
    <x v="0"/>
    <x v="0"/>
    <x v="0"/>
    <x v="0"/>
    <x v="0"/>
  </r>
  <r>
    <x v="19"/>
    <x v="19"/>
    <s v="9.2 Internal audit"/>
    <x v="9"/>
    <x v="0"/>
    <x v="0"/>
    <x v="0"/>
    <x v="0"/>
    <x v="0"/>
  </r>
  <r>
    <x v="20"/>
    <x v="20"/>
    <s v="9.3 Management review"/>
    <x v="5"/>
    <x v="0"/>
    <x v="0"/>
    <x v="0"/>
    <x v="0"/>
    <x v="0"/>
  </r>
  <r>
    <x v="21"/>
    <x v="21"/>
    <s v="All"/>
    <x v="10"/>
    <x v="0"/>
    <x v="0"/>
    <x v="0"/>
    <x v="0"/>
    <x v="0"/>
  </r>
  <r>
    <x v="22"/>
    <x v="22"/>
    <s v="All"/>
    <x v="11"/>
    <x v="0"/>
    <x v="0"/>
    <x v="0"/>
    <x v="0"/>
    <x v="0"/>
  </r>
  <r>
    <x v="23"/>
    <x v="23"/>
    <s v="All"/>
    <x v="12"/>
    <x v="0"/>
    <x v="0"/>
    <x v="0"/>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3333DB3-951C-4E12-823F-E1D89A7AE6C0}" name="Gantt Chart" cacheId="2" applyNumberFormats="0" applyBorderFormats="0" applyFontFormats="0" applyPatternFormats="0" applyAlignmentFormats="0" applyWidthHeightFormats="1" dataCaption="Values" updatedVersion="6" minRefreshableVersion="3" showDrill="0" itemPrintTitles="1" createdVersion="6" indent="0" compact="0" compactData="0" multipleFieldFilters="0">
  <location ref="B14:I39" firstHeaderRow="1" firstDataRow="1" firstDataCol="8"/>
  <pivotFields count="9">
    <pivotField axis="axisRow" compact="0" outline="0" showAll="0" sortType="ascending" defaultSubtotal="0">
      <items count="237">
        <item x="0"/>
        <item m="1" x="177"/>
        <item m="1" x="180"/>
        <item m="1" x="186"/>
        <item m="1" x="215"/>
        <item m="1" x="223"/>
        <item m="1" x="43"/>
        <item x="1"/>
        <item m="1" x="80"/>
        <item m="1" x="108"/>
        <item m="1" x="109"/>
        <item m="1" x="112"/>
        <item x="2"/>
        <item m="1" x="148"/>
        <item m="1" x="181"/>
        <item m="1" x="182"/>
        <item m="1" x="187"/>
        <item m="1" x="191"/>
        <item m="1" x="192"/>
        <item m="1" x="218"/>
        <item m="1" x="219"/>
        <item m="1" x="224"/>
        <item x="3"/>
        <item m="1" x="26"/>
        <item m="1" x="228"/>
        <item m="1" x="30"/>
        <item m="1" x="46"/>
        <item m="1" x="34"/>
        <item x="4"/>
        <item m="1" x="62"/>
        <item m="1" x="52"/>
        <item m="1" x="65"/>
        <item x="5"/>
        <item m="1" x="94"/>
        <item m="1" x="84"/>
        <item m="1" x="97"/>
        <item m="1" x="113"/>
        <item m="1" x="101"/>
        <item x="6"/>
        <item m="1" x="129"/>
        <item x="7"/>
        <item m="1" x="157"/>
        <item m="1" x="163"/>
        <item m="1" x="173"/>
        <item m="1" x="151"/>
        <item x="8"/>
        <item x="9"/>
        <item x="10"/>
        <item x="11"/>
        <item x="12"/>
        <item x="13"/>
        <item x="14"/>
        <item x="15"/>
        <item x="16"/>
        <item x="17"/>
        <item x="18"/>
        <item x="19"/>
        <item x="20"/>
        <item x="21"/>
        <item x="22"/>
        <item x="23"/>
        <item m="1" x="164"/>
        <item m="1" x="174"/>
        <item m="1" x="188"/>
        <item m="1" x="198"/>
        <item m="1" x="206"/>
        <item m="1" x="213"/>
        <item m="1" x="225"/>
        <item m="1" x="234"/>
        <item m="1" x="126"/>
        <item m="1" x="31"/>
        <item m="1" x="135"/>
        <item m="1" x="40"/>
        <item m="1" x="143"/>
        <item m="1" x="49"/>
        <item m="1" x="152"/>
        <item m="1" x="57"/>
        <item m="1" x="160"/>
        <item m="1" x="66"/>
        <item m="1" x="169"/>
        <item m="1" x="73"/>
        <item m="1" x="183"/>
        <item m="1" x="81"/>
        <item m="1" x="195"/>
        <item m="1" x="89"/>
        <item m="1" x="203"/>
        <item m="1" x="98"/>
        <item m="1" x="210"/>
        <item m="1" x="105"/>
        <item m="1" x="220"/>
        <item m="1" x="116"/>
        <item m="1" x="231"/>
        <item m="1" x="123"/>
        <item m="1" x="27"/>
        <item m="1" x="132"/>
        <item m="1" x="37"/>
        <item m="1" x="140"/>
        <item m="1" x="47"/>
        <item m="1" x="149"/>
        <item m="1" x="55"/>
        <item m="1" x="158"/>
        <item m="1" x="110"/>
        <item m="1" x="63"/>
        <item m="1" x="226"/>
        <item m="1" x="167"/>
        <item m="1" x="119"/>
        <item m="1" x="71"/>
        <item m="1" x="235"/>
        <item m="1" x="178"/>
        <item m="1" x="127"/>
        <item m="1" x="78"/>
        <item m="1" x="32"/>
        <item m="1" x="193"/>
        <item m="1" x="136"/>
        <item m="1" x="87"/>
        <item m="1" x="41"/>
        <item m="1" x="201"/>
        <item m="1" x="144"/>
        <item m="1" x="95"/>
        <item m="1" x="50"/>
        <item m="1" x="208"/>
        <item m="1" x="153"/>
        <item m="1" x="103"/>
        <item m="1" x="58"/>
        <item m="1" x="216"/>
        <item m="1" x="161"/>
        <item m="1" x="114"/>
        <item m="1" x="67"/>
        <item m="1" x="229"/>
        <item m="1" x="170"/>
        <item m="1" x="121"/>
        <item m="1" x="74"/>
        <item m="1" x="24"/>
        <item m="1" x="184"/>
        <item m="1" x="130"/>
        <item m="1" x="82"/>
        <item m="1" x="35"/>
        <item m="1" x="196"/>
        <item m="1" x="138"/>
        <item m="1" x="90"/>
        <item m="1" x="44"/>
        <item m="1" x="204"/>
        <item m="1" x="146"/>
        <item m="1" x="99"/>
        <item m="1" x="53"/>
        <item m="1" x="211"/>
        <item m="1" x="155"/>
        <item m="1" x="106"/>
        <item m="1" x="60"/>
        <item m="1" x="221"/>
        <item m="1" x="165"/>
        <item m="1" x="117"/>
        <item m="1" x="69"/>
        <item m="1" x="232"/>
        <item m="1" x="175"/>
        <item m="1" x="124"/>
        <item m="1" x="76"/>
        <item m="1" x="28"/>
        <item m="1" x="189"/>
        <item m="1" x="133"/>
        <item m="1" x="85"/>
        <item m="1" x="38"/>
        <item m="1" x="199"/>
        <item m="1" x="141"/>
        <item m="1" x="92"/>
        <item m="1" x="171"/>
        <item m="1" x="48"/>
        <item m="1" x="122"/>
        <item m="1" x="207"/>
        <item m="1" x="75"/>
        <item m="1" x="150"/>
        <item m="1" x="25"/>
        <item m="1" x="102"/>
        <item m="1" x="185"/>
        <item m="1" x="56"/>
        <item m="1" x="131"/>
        <item m="1" x="214"/>
        <item m="1" x="83"/>
        <item m="1" x="159"/>
        <item m="1" x="36"/>
        <item m="1" x="111"/>
        <item m="1" x="197"/>
        <item m="1" x="64"/>
        <item m="1" x="139"/>
        <item m="1" x="227"/>
        <item m="1" x="91"/>
        <item m="1" x="168"/>
        <item m="1" x="45"/>
        <item m="1" x="120"/>
        <item m="1" x="205"/>
        <item m="1" x="72"/>
        <item m="1" x="147"/>
        <item m="1" x="236"/>
        <item m="1" x="100"/>
        <item m="1" x="179"/>
        <item m="1" x="54"/>
        <item m="1" x="128"/>
        <item m="1" x="212"/>
        <item m="1" x="79"/>
        <item m="1" x="156"/>
        <item m="1" x="33"/>
        <item m="1" x="107"/>
        <item m="1" x="194"/>
        <item m="1" x="61"/>
        <item m="1" x="137"/>
        <item m="1" x="222"/>
        <item m="1" x="88"/>
        <item m="1" x="166"/>
        <item m="1" x="42"/>
        <item m="1" x="118"/>
        <item m="1" x="202"/>
        <item m="1" x="70"/>
        <item m="1" x="145"/>
        <item m="1" x="233"/>
        <item m="1" x="96"/>
        <item m="1" x="176"/>
        <item m="1" x="51"/>
        <item m="1" x="125"/>
        <item m="1" x="209"/>
        <item m="1" x="77"/>
        <item m="1" x="154"/>
        <item m="1" x="29"/>
        <item m="1" x="104"/>
        <item m="1" x="190"/>
        <item m="1" x="59"/>
        <item m="1" x="134"/>
        <item m="1" x="217"/>
        <item m="1" x="86"/>
        <item m="1" x="162"/>
        <item m="1" x="39"/>
        <item m="1" x="115"/>
        <item m="1" x="200"/>
        <item m="1" x="68"/>
        <item m="1" x="142"/>
        <item m="1" x="230"/>
        <item m="1" x="93"/>
        <item m="1" x="172"/>
      </items>
    </pivotField>
    <pivotField axis="axisRow" compact="0" outline="0" showAll="0" defaultSubtotal="0">
      <items count="90">
        <item x="7"/>
        <item x="17"/>
        <item x="21"/>
        <item x="22"/>
        <item x="9"/>
        <item x="10"/>
        <item x="16"/>
        <item x="5"/>
        <item x="1"/>
        <item x="8"/>
        <item m="1" x="55"/>
        <item x="15"/>
        <item x="6"/>
        <item x="4"/>
        <item x="13"/>
        <item x="18"/>
        <item x="19"/>
        <item x="3"/>
        <item x="2"/>
        <item x="20"/>
        <item x="11"/>
        <item x="14"/>
        <item x="23"/>
        <item x="0"/>
        <item x="12"/>
        <item m="1" x="26"/>
        <item m="1" x="30"/>
        <item m="1" x="34"/>
        <item m="1" x="82"/>
        <item m="1" x="47"/>
        <item m="1" x="33"/>
        <item m="1" x="67"/>
        <item m="1" x="89"/>
        <item m="1" x="52"/>
        <item m="1" x="38"/>
        <item m="1" x="73"/>
        <item m="1" x="74"/>
        <item m="1" x="64"/>
        <item m="1" x="81"/>
        <item m="1" x="42"/>
        <item m="1" x="85"/>
        <item m="1" x="29"/>
        <item m="1" x="66"/>
        <item m="1" x="48"/>
        <item m="1" x="45"/>
        <item m="1" x="68"/>
        <item m="1" x="31"/>
        <item m="1" x="59"/>
        <item m="1" x="53"/>
        <item m="1" x="43"/>
        <item m="1" x="50"/>
        <item m="1" x="71"/>
        <item m="1" x="65"/>
        <item m="1" x="83"/>
        <item m="1" x="41"/>
        <item m="1" x="51"/>
        <item m="1" x="58"/>
        <item m="1" x="32"/>
        <item m="1" x="78"/>
        <item m="1" x="35"/>
        <item m="1" x="28"/>
        <item m="1" x="70"/>
        <item m="1" x="86"/>
        <item m="1" x="54"/>
        <item m="1" x="36"/>
        <item m="1" x="72"/>
        <item m="1" x="44"/>
        <item m="1" x="75"/>
        <item m="1" x="60"/>
        <item m="1" x="62"/>
        <item m="1" x="80"/>
        <item m="1" x="84"/>
        <item m="1" x="69"/>
        <item m="1" x="25"/>
        <item m="1" x="63"/>
        <item m="1" x="61"/>
        <item m="1" x="87"/>
        <item m="1" x="79"/>
        <item m="1" x="27"/>
        <item m="1" x="46"/>
        <item m="1" x="39"/>
        <item m="1" x="24"/>
        <item m="1" x="88"/>
        <item m="1" x="57"/>
        <item m="1" x="76"/>
        <item m="1" x="77"/>
        <item m="1" x="37"/>
        <item m="1" x="49"/>
        <item m="1" x="56"/>
        <item m="1" x="40"/>
      </items>
    </pivotField>
    <pivotField compact="0" outline="0" subtotalTop="0" showAll="0" defaultSubtotal="0"/>
    <pivotField axis="axisRow" compact="0" outline="0" showAll="0" defaultSubtotal="0">
      <items count="38">
        <item x="2"/>
        <item x="6"/>
        <item x="9"/>
        <item x="11"/>
        <item x="8"/>
        <item x="4"/>
        <item x="3"/>
        <item x="5"/>
        <item x="7"/>
        <item x="10"/>
        <item x="0"/>
        <item x="12"/>
        <item x="1"/>
        <item m="1" x="13"/>
        <item m="1" x="29"/>
        <item m="1" x="17"/>
        <item m="1" x="32"/>
        <item m="1" x="20"/>
        <item m="1" x="36"/>
        <item m="1" x="30"/>
        <item m="1" x="14"/>
        <item m="1" x="19"/>
        <item m="1" x="18"/>
        <item m="1" x="22"/>
        <item m="1" x="35"/>
        <item m="1" x="28"/>
        <item m="1" x="34"/>
        <item m="1" x="15"/>
        <item m="1" x="21"/>
        <item m="1" x="24"/>
        <item m="1" x="26"/>
        <item m="1" x="25"/>
        <item m="1" x="31"/>
        <item m="1" x="16"/>
        <item m="1" x="33"/>
        <item m="1" x="27"/>
        <item m="1" x="23"/>
        <item m="1" x="37"/>
      </items>
    </pivotField>
    <pivotField axis="axisRow" compact="0" outline="0" showAll="0" defaultSubtotal="0">
      <items count="70">
        <item m="1" x="17"/>
        <item m="1" x="63"/>
        <item m="1" x="24"/>
        <item m="1" x="44"/>
        <item m="1" x="2"/>
        <item m="1" x="31"/>
        <item m="1" x="59"/>
        <item m="1" x="20"/>
        <item m="1" x="40"/>
        <item m="1" x="67"/>
        <item m="1" x="27"/>
        <item m="1" x="55"/>
        <item m="1" x="15"/>
        <item m="1" x="48"/>
        <item m="1" x="12"/>
        <item m="1" x="61"/>
        <item m="1" x="36"/>
        <item m="1" x="32"/>
        <item m="1" x="29"/>
        <item m="1" x="35"/>
        <item m="1" x="38"/>
        <item m="1" x="54"/>
        <item m="1" x="64"/>
        <item m="1" x="45"/>
        <item m="1" x="60"/>
        <item m="1" x="22"/>
        <item m="1" x="42"/>
        <item m="1" x="69"/>
        <item m="1" x="57"/>
        <item m="1" x="18"/>
        <item m="1" x="66"/>
        <item m="1" x="26"/>
        <item m="1" x="14"/>
        <item m="1" x="21"/>
        <item m="1" x="51"/>
        <item m="1" x="41"/>
        <item m="1" x="68"/>
        <item m="1" x="16"/>
        <item m="1" x="37"/>
        <item m="1" x="65"/>
        <item m="1" x="34"/>
        <item m="1" x="4"/>
        <item m="1" x="5"/>
        <item m="1" x="7"/>
        <item m="1" x="9"/>
        <item m="1" x="6"/>
        <item m="1" x="28"/>
        <item m="1" x="56"/>
        <item m="1" x="49"/>
        <item m="1" x="25"/>
        <item m="1" x="53"/>
        <item m="1" x="13"/>
        <item m="1" x="47"/>
        <item m="1" x="62"/>
        <item m="1" x="23"/>
        <item m="1" x="52"/>
        <item m="1" x="10"/>
        <item m="1" x="43"/>
        <item m="1" x="1"/>
        <item m="1" x="30"/>
        <item m="1" x="58"/>
        <item m="1" x="19"/>
        <item m="1" x="50"/>
        <item m="1" x="8"/>
        <item m="1" x="39"/>
        <item m="1" x="11"/>
        <item m="1" x="46"/>
        <item m="1" x="3"/>
        <item m="1" x="33"/>
        <item x="0"/>
      </items>
    </pivotField>
    <pivotField name="WORK _x000a_DAYS" axis="axisRow" compact="0" outline="0" showAll="0" defaultSubtotal="0">
      <items count="10">
        <item m="1" x="1"/>
        <item m="1" x="6"/>
        <item m="1" x="8"/>
        <item m="1" x="3"/>
        <item m="1" x="2"/>
        <item m="1" x="5"/>
        <item m="1" x="4"/>
        <item m="1" x="7"/>
        <item m="1" x="9"/>
        <item x="0"/>
      </items>
    </pivotField>
    <pivotField axis="axisRow" compact="0" outline="0" showAll="0" defaultSubtotal="0">
      <items count="73">
        <item m="1" x="48"/>
        <item m="1" x="66"/>
        <item m="1" x="32"/>
        <item m="1" x="2"/>
        <item m="1" x="62"/>
        <item m="1" x="36"/>
        <item m="1" x="23"/>
        <item m="1" x="56"/>
        <item m="1" x="18"/>
        <item m="1" x="38"/>
        <item m="1" x="7"/>
        <item m="1" x="41"/>
        <item m="1" x="68"/>
        <item m="1" x="64"/>
        <item m="1" x="29"/>
        <item m="1" x="25"/>
        <item m="1" x="34"/>
        <item m="1" x="28"/>
        <item m="1" x="71"/>
        <item m="1" x="24"/>
        <item m="1" x="40"/>
        <item m="1" x="14"/>
        <item m="1" x="37"/>
        <item m="1" x="63"/>
        <item m="1" x="12"/>
        <item m="1" x="46"/>
        <item m="1" x="60"/>
        <item m="1" x="9"/>
        <item m="1" x="43"/>
        <item m="1" x="70"/>
        <item m="1" x="31"/>
        <item m="1" x="58"/>
        <item m="1" x="6"/>
        <item m="1" x="11"/>
        <item m="1" x="45"/>
        <item m="1" x="59"/>
        <item m="1" x="8"/>
        <item m="1" x="42"/>
        <item m="1" x="5"/>
        <item m="1" x="67"/>
        <item m="1" x="3"/>
        <item m="1" x="20"/>
        <item m="1" x="17"/>
        <item m="1" x="19"/>
        <item m="1" x="51"/>
        <item m="1" x="53"/>
        <item m="1" x="72"/>
        <item m="1" x="69"/>
        <item m="1" x="39"/>
        <item m="1" x="33"/>
        <item m="1" x="30"/>
        <item m="1" x="57"/>
        <item m="1" x="16"/>
        <item m="1" x="50"/>
        <item m="1" x="65"/>
        <item m="1" x="27"/>
        <item m="1" x="55"/>
        <item m="1" x="13"/>
        <item m="1" x="47"/>
        <item m="1" x="1"/>
        <item m="1" x="35"/>
        <item m="1" x="61"/>
        <item m="1" x="22"/>
        <item m="1" x="52"/>
        <item m="1" x="10"/>
        <item m="1" x="44"/>
        <item m="1" x="15"/>
        <item m="1" x="49"/>
        <item m="1" x="4"/>
        <item m="1" x="54"/>
        <item m="1" x="21"/>
        <item m="1" x="26"/>
        <item x="0"/>
      </items>
    </pivotField>
    <pivotField axis="axisRow" compact="0" outline="0" showAll="0" defaultSubtotal="0">
      <items count="6">
        <item m="1" x="2"/>
        <item m="1" x="4"/>
        <item x="0"/>
        <item m="1" x="1"/>
        <item m="1" x="5"/>
        <item m="1" x="3"/>
      </items>
    </pivotField>
    <pivotField axis="axisRow" compact="0" numFmtId="9" outline="0" showAll="0" defaultSubtotal="0">
      <items count="16">
        <item m="1" x="1"/>
        <item m="1" x="13"/>
        <item m="1" x="14"/>
        <item m="1" x="12"/>
        <item m="1" x="9"/>
        <item m="1" x="11"/>
        <item m="1" x="10"/>
        <item m="1" x="3"/>
        <item m="1" x="15"/>
        <item m="1" x="2"/>
        <item m="1" x="5"/>
        <item m="1" x="7"/>
        <item m="1" x="6"/>
        <item m="1" x="4"/>
        <item m="1" x="8"/>
        <item x="0"/>
      </items>
    </pivotField>
  </pivotFields>
  <rowFields count="8">
    <field x="0"/>
    <field x="1"/>
    <field x="3"/>
    <field x="4"/>
    <field x="5"/>
    <field x="6"/>
    <field x="7"/>
    <field x="8"/>
  </rowFields>
  <rowItems count="25">
    <i>
      <x/>
      <x v="23"/>
      <x v="10"/>
      <x v="69"/>
      <x v="9"/>
      <x v="72"/>
      <x v="2"/>
      <x v="15"/>
    </i>
    <i>
      <x v="7"/>
      <x v="8"/>
      <x v="12"/>
      <x v="69"/>
      <x v="9"/>
      <x v="72"/>
      <x v="2"/>
      <x v="15"/>
    </i>
    <i>
      <x v="12"/>
      <x v="18"/>
      <x/>
      <x v="69"/>
      <x v="9"/>
      <x v="72"/>
      <x v="2"/>
      <x v="15"/>
    </i>
    <i>
      <x v="22"/>
      <x v="17"/>
      <x v="6"/>
      <x v="69"/>
      <x v="9"/>
      <x v="72"/>
      <x v="2"/>
      <x v="15"/>
    </i>
    <i>
      <x v="28"/>
      <x v="13"/>
      <x v="5"/>
      <x v="69"/>
      <x v="9"/>
      <x v="72"/>
      <x v="2"/>
      <x v="15"/>
    </i>
    <i>
      <x v="32"/>
      <x v="7"/>
      <x v="7"/>
      <x v="69"/>
      <x v="9"/>
      <x v="72"/>
      <x v="2"/>
      <x v="15"/>
    </i>
    <i>
      <x v="38"/>
      <x v="12"/>
      <x v="7"/>
      <x v="69"/>
      <x v="9"/>
      <x v="72"/>
      <x v="2"/>
      <x v="15"/>
    </i>
    <i>
      <x v="40"/>
      <x/>
      <x v="7"/>
      <x v="69"/>
      <x v="9"/>
      <x v="72"/>
      <x v="2"/>
      <x v="15"/>
    </i>
    <i>
      <x v="45"/>
      <x v="9"/>
      <x v="7"/>
      <x v="69"/>
      <x v="9"/>
      <x v="72"/>
      <x v="2"/>
      <x v="15"/>
    </i>
    <i>
      <x v="46"/>
      <x v="4"/>
      <x/>
      <x v="69"/>
      <x v="9"/>
      <x v="72"/>
      <x v="2"/>
      <x v="15"/>
    </i>
    <i>
      <x v="47"/>
      <x v="5"/>
      <x v="1"/>
      <x v="69"/>
      <x v="9"/>
      <x v="72"/>
      <x v="2"/>
      <x v="15"/>
    </i>
    <i>
      <x v="48"/>
      <x v="20"/>
      <x v="8"/>
      <x v="69"/>
      <x v="9"/>
      <x v="72"/>
      <x v="2"/>
      <x v="15"/>
    </i>
    <i>
      <x v="49"/>
      <x v="24"/>
      <x v="8"/>
      <x v="69"/>
      <x v="9"/>
      <x v="72"/>
      <x v="2"/>
      <x v="15"/>
    </i>
    <i>
      <x v="50"/>
      <x v="14"/>
      <x v="1"/>
      <x v="69"/>
      <x v="9"/>
      <x v="72"/>
      <x v="2"/>
      <x v="15"/>
    </i>
    <i>
      <x v="51"/>
      <x v="21"/>
      <x v="4"/>
      <x v="69"/>
      <x v="9"/>
      <x v="72"/>
      <x v="2"/>
      <x v="15"/>
    </i>
    <i>
      <x v="52"/>
      <x v="11"/>
      <x/>
      <x v="69"/>
      <x v="9"/>
      <x v="72"/>
      <x v="2"/>
      <x v="15"/>
    </i>
    <i>
      <x v="53"/>
      <x v="6"/>
      <x v="7"/>
      <x v="69"/>
      <x v="9"/>
      <x v="72"/>
      <x v="2"/>
      <x v="15"/>
    </i>
    <i>
      <x v="54"/>
      <x v="1"/>
      <x/>
      <x v="69"/>
      <x v="9"/>
      <x v="72"/>
      <x v="2"/>
      <x v="15"/>
    </i>
    <i>
      <x v="55"/>
      <x v="15"/>
      <x v="7"/>
      <x v="69"/>
      <x v="9"/>
      <x v="72"/>
      <x v="2"/>
      <x v="15"/>
    </i>
    <i>
      <x v="56"/>
      <x v="16"/>
      <x v="2"/>
      <x v="69"/>
      <x v="9"/>
      <x v="72"/>
      <x v="2"/>
      <x v="15"/>
    </i>
    <i>
      <x v="57"/>
      <x v="19"/>
      <x v="7"/>
      <x v="69"/>
      <x v="9"/>
      <x v="72"/>
      <x v="2"/>
      <x v="15"/>
    </i>
    <i>
      <x v="58"/>
      <x v="2"/>
      <x v="9"/>
      <x v="69"/>
      <x v="9"/>
      <x v="72"/>
      <x v="2"/>
      <x v="15"/>
    </i>
    <i>
      <x v="59"/>
      <x v="3"/>
      <x v="3"/>
      <x v="69"/>
      <x v="9"/>
      <x v="72"/>
      <x v="2"/>
      <x v="15"/>
    </i>
    <i>
      <x v="60"/>
      <x v="22"/>
      <x v="11"/>
      <x v="69"/>
      <x v="9"/>
      <x v="72"/>
      <x v="2"/>
      <x v="15"/>
    </i>
    <i t="grand">
      <x/>
    </i>
  </rowItems>
  <colItems count="1">
    <i/>
  </colItems>
  <formats count="697">
    <format dxfId="723">
      <pivotArea field="0" type="button" dataOnly="0" labelOnly="1" outline="0" axis="axisRow" fieldPosition="0"/>
    </format>
    <format dxfId="722">
      <pivotArea field="1" type="button" dataOnly="0" labelOnly="1" outline="0" axis="axisRow" fieldPosition="1"/>
    </format>
    <format dxfId="721">
      <pivotArea field="3" type="button" dataOnly="0" labelOnly="1" outline="0" axis="axisRow" fieldPosition="2"/>
    </format>
    <format dxfId="720">
      <pivotArea field="4" type="button" dataOnly="0" labelOnly="1" outline="0" axis="axisRow" fieldPosition="3"/>
    </format>
    <format dxfId="719">
      <pivotArea field="5" type="button" dataOnly="0" labelOnly="1" outline="0" axis="axisRow" fieldPosition="4"/>
    </format>
    <format dxfId="718">
      <pivotArea field="6" type="button" dataOnly="0" labelOnly="1" outline="0" axis="axisRow" fieldPosition="5"/>
    </format>
    <format dxfId="717">
      <pivotArea field="7" type="button" dataOnly="0" labelOnly="1" outline="0" axis="axisRow" fieldPosition="6"/>
    </format>
    <format dxfId="716">
      <pivotArea field="8" type="button" dataOnly="0" labelOnly="1" outline="0" axis="axisRow" fieldPosition="7"/>
    </format>
    <format dxfId="715">
      <pivotArea field="0" type="button" dataOnly="0" labelOnly="1" outline="0" axis="axisRow" fieldPosition="0"/>
    </format>
    <format dxfId="714">
      <pivotArea field="1" type="button" dataOnly="0" labelOnly="1" outline="0" axis="axisRow" fieldPosition="1"/>
    </format>
    <format dxfId="713">
      <pivotArea field="3" type="button" dataOnly="0" labelOnly="1" outline="0" axis="axisRow" fieldPosition="2"/>
    </format>
    <format dxfId="712">
      <pivotArea field="4" type="button" dataOnly="0" labelOnly="1" outline="0" axis="axisRow" fieldPosition="3"/>
    </format>
    <format dxfId="711">
      <pivotArea field="5" type="button" dataOnly="0" labelOnly="1" outline="0" axis="axisRow" fieldPosition="4"/>
    </format>
    <format dxfId="710">
      <pivotArea field="6" type="button" dataOnly="0" labelOnly="1" outline="0" axis="axisRow" fieldPosition="5"/>
    </format>
    <format dxfId="709">
      <pivotArea field="7" type="button" dataOnly="0" labelOnly="1" outline="0" axis="axisRow" fieldPosition="6"/>
    </format>
    <format dxfId="708">
      <pivotArea field="8" type="button" dataOnly="0" labelOnly="1" outline="0" axis="axisRow" fieldPosition="7"/>
    </format>
    <format dxfId="707">
      <pivotArea field="0" type="button" dataOnly="0" labelOnly="1" outline="0" axis="axisRow" fieldPosition="0"/>
    </format>
    <format dxfId="706">
      <pivotArea field="1" type="button" dataOnly="0" labelOnly="1" outline="0" axis="axisRow" fieldPosition="1"/>
    </format>
    <format dxfId="705">
      <pivotArea field="3" type="button" dataOnly="0" labelOnly="1" outline="0" axis="axisRow" fieldPosition="2"/>
    </format>
    <format dxfId="704">
      <pivotArea field="4" type="button" dataOnly="0" labelOnly="1" outline="0" axis="axisRow" fieldPosition="3"/>
    </format>
    <format dxfId="703">
      <pivotArea field="5" type="button" dataOnly="0" labelOnly="1" outline="0" axis="axisRow" fieldPosition="4"/>
    </format>
    <format dxfId="702">
      <pivotArea field="6" type="button" dataOnly="0" labelOnly="1" outline="0" axis="axisRow" fieldPosition="5"/>
    </format>
    <format dxfId="701">
      <pivotArea field="7" type="button" dataOnly="0" labelOnly="1" outline="0" axis="axisRow" fieldPosition="6"/>
    </format>
    <format dxfId="700">
      <pivotArea field="8" type="button" dataOnly="0" labelOnly="1" outline="0" axis="axisRow" fieldPosition="7"/>
    </format>
    <format dxfId="699">
      <pivotArea field="7" type="button" dataOnly="0" labelOnly="1" outline="0" axis="axisRow" fieldPosition="6"/>
    </format>
    <format dxfId="698">
      <pivotArea field="5" type="button" dataOnly="0" labelOnly="1" outline="0" axis="axisRow" fieldPosition="4"/>
    </format>
    <format dxfId="697">
      <pivotArea dataOnly="0" labelOnly="1" grandRow="1" outline="0" fieldPosition="0"/>
    </format>
    <format dxfId="696">
      <pivotArea dataOnly="0" labelOnly="1" grandRow="1" outline="0" fieldPosition="0"/>
    </format>
    <format dxfId="695">
      <pivotArea field="0" type="button" dataOnly="0" labelOnly="1" outline="0" axis="axisRow" fieldPosition="0"/>
    </format>
    <format dxfId="694">
      <pivotArea field="1" type="button" dataOnly="0" labelOnly="1" outline="0" axis="axisRow" fieldPosition="1"/>
    </format>
    <format dxfId="693">
      <pivotArea field="3" type="button" dataOnly="0" labelOnly="1" outline="0" axis="axisRow" fieldPosition="2"/>
    </format>
    <format dxfId="692">
      <pivotArea field="4" type="button" dataOnly="0" labelOnly="1" outline="0" axis="axisRow" fieldPosition="3"/>
    </format>
    <format dxfId="691">
      <pivotArea field="5" type="button" dataOnly="0" labelOnly="1" outline="0" axis="axisRow" fieldPosition="4"/>
    </format>
    <format dxfId="690">
      <pivotArea field="6" type="button" dataOnly="0" labelOnly="1" outline="0" axis="axisRow" fieldPosition="5"/>
    </format>
    <format dxfId="689">
      <pivotArea field="7" type="button" dataOnly="0" labelOnly="1" outline="0" axis="axisRow" fieldPosition="6"/>
    </format>
    <format dxfId="688">
      <pivotArea dataOnly="0" labelOnly="1" grandRow="1" outline="0" offset="A256:G256" fieldPosition="0"/>
    </format>
    <format dxfId="687">
      <pivotArea dataOnly="0" labelOnly="1" outline="0" fieldPosition="0">
        <references count="4">
          <reference field="0" count="1" selected="0">
            <x v="0"/>
          </reference>
          <reference field="1" count="1" selected="0">
            <x v="23"/>
          </reference>
          <reference field="3" count="1" selected="0">
            <x v="10"/>
          </reference>
          <reference field="4" count="1">
            <x v="0"/>
          </reference>
        </references>
      </pivotArea>
    </format>
    <format dxfId="686">
      <pivotArea dataOnly="0" labelOnly="1" outline="0" fieldPosition="0">
        <references count="5">
          <reference field="0" count="1" selected="0">
            <x v="0"/>
          </reference>
          <reference field="1" count="1" selected="0">
            <x v="23"/>
          </reference>
          <reference field="3" count="1" selected="0">
            <x v="10"/>
          </reference>
          <reference field="4" count="1" selected="0">
            <x v="0"/>
          </reference>
          <reference field="5" count="1">
            <x v="0"/>
          </reference>
        </references>
      </pivotArea>
    </format>
    <format dxfId="685">
      <pivotArea dataOnly="0" labelOnly="1" outline="0" fieldPosition="0">
        <references count="5">
          <reference field="0" count="1" selected="0">
            <x v="7"/>
          </reference>
          <reference field="1" count="1" selected="0">
            <x v="8"/>
          </reference>
          <reference field="3" count="1" selected="0">
            <x v="12"/>
          </reference>
          <reference field="4" count="1" selected="0">
            <x v="0"/>
          </reference>
          <reference field="5" count="1">
            <x v="1"/>
          </reference>
        </references>
      </pivotArea>
    </format>
    <format dxfId="684">
      <pivotArea dataOnly="0" labelOnly="1" outline="0" fieldPosition="0">
        <references count="6">
          <reference field="0" count="1" selected="0">
            <x v="0"/>
          </reference>
          <reference field="1" count="1" selected="0">
            <x v="23"/>
          </reference>
          <reference field="3" count="1" selected="0">
            <x v="10"/>
          </reference>
          <reference field="4" count="1" selected="0">
            <x v="0"/>
          </reference>
          <reference field="5" count="1" selected="0">
            <x v="0"/>
          </reference>
          <reference field="6" count="1">
            <x v="0"/>
          </reference>
        </references>
      </pivotArea>
    </format>
    <format dxfId="683">
      <pivotArea dataOnly="0" labelOnly="1" outline="0" fieldPosition="0">
        <references count="6">
          <reference field="0" count="1" selected="0">
            <x v="7"/>
          </reference>
          <reference field="1" count="1" selected="0">
            <x v="8"/>
          </reference>
          <reference field="3" count="1" selected="0">
            <x v="12"/>
          </reference>
          <reference field="4" count="1" selected="0">
            <x v="0"/>
          </reference>
          <reference field="5" count="1" selected="0">
            <x v="1"/>
          </reference>
          <reference field="6" count="1">
            <x v="1"/>
          </reference>
        </references>
      </pivotArea>
    </format>
    <format dxfId="682">
      <pivotArea dataOnly="0" labelOnly="1" outline="0" fieldPosition="0">
        <references count="7">
          <reference field="0" count="1" selected="0">
            <x v="0"/>
          </reference>
          <reference field="1" count="1" selected="0">
            <x v="23"/>
          </reference>
          <reference field="3" count="1" selected="0">
            <x v="10"/>
          </reference>
          <reference field="4" count="1" selected="0">
            <x v="0"/>
          </reference>
          <reference field="5" count="1" selected="0">
            <x v="0"/>
          </reference>
          <reference field="6" count="1" selected="0">
            <x v="0"/>
          </reference>
          <reference field="7" count="1">
            <x v="3"/>
          </reference>
        </references>
      </pivotArea>
    </format>
    <format dxfId="681">
      <pivotArea dataOnly="0" labelOnly="1" outline="0" fieldPosition="0">
        <references count="7">
          <reference field="0" count="1" selected="0">
            <x v="7"/>
          </reference>
          <reference field="1" count="1" selected="0">
            <x v="8"/>
          </reference>
          <reference field="3" count="1" selected="0">
            <x v="12"/>
          </reference>
          <reference field="4" count="1" selected="0">
            <x v="0"/>
          </reference>
          <reference field="5" count="1" selected="0">
            <x v="1"/>
          </reference>
          <reference field="6" count="1" selected="0">
            <x v="1"/>
          </reference>
          <reference field="7" count="1">
            <x v="4"/>
          </reference>
        </references>
      </pivotArea>
    </format>
    <format dxfId="680">
      <pivotArea field="8" type="button" dataOnly="0" labelOnly="1" outline="0" axis="axisRow" fieldPosition="7"/>
    </format>
    <format dxfId="679">
      <pivotArea dataOnly="0" labelOnly="1" grandRow="1" outline="0" offset="IV256" fieldPosition="0"/>
    </format>
    <format dxfId="678">
      <pivotArea dataOnly="0" labelOnly="1" outline="0" fieldPosition="0">
        <references count="8">
          <reference field="0" count="1" selected="0">
            <x v="0"/>
          </reference>
          <reference field="1" count="1" selected="0">
            <x v="23"/>
          </reference>
          <reference field="3" count="1" selected="0">
            <x v="10"/>
          </reference>
          <reference field="4" count="1" selected="0">
            <x v="0"/>
          </reference>
          <reference field="5" count="1" selected="0">
            <x v="0"/>
          </reference>
          <reference field="6" count="1" selected="0">
            <x v="0"/>
          </reference>
          <reference field="7" count="1" selected="0">
            <x v="3"/>
          </reference>
          <reference field="8" count="1">
            <x v="3"/>
          </reference>
        </references>
      </pivotArea>
    </format>
    <format dxfId="677">
      <pivotArea dataOnly="0" labelOnly="1" outline="0" fieldPosition="0">
        <references count="8">
          <reference field="0" count="1" selected="0">
            <x v="7"/>
          </reference>
          <reference field="1" count="1" selected="0">
            <x v="8"/>
          </reference>
          <reference field="3" count="1" selected="0">
            <x v="12"/>
          </reference>
          <reference field="4" count="1" selected="0">
            <x v="0"/>
          </reference>
          <reference field="5" count="1" selected="0">
            <x v="1"/>
          </reference>
          <reference field="6" count="1" selected="0">
            <x v="1"/>
          </reference>
          <reference field="7" count="1" selected="0">
            <x v="4"/>
          </reference>
          <reference field="8" count="1">
            <x v="3"/>
          </reference>
        </references>
      </pivotArea>
    </format>
    <format dxfId="676">
      <pivotArea field="0" type="button" dataOnly="0" labelOnly="1" outline="0" axis="axisRow" fieldPosition="0"/>
    </format>
    <format dxfId="675">
      <pivotArea field="1" type="button" dataOnly="0" labelOnly="1" outline="0" axis="axisRow" fieldPosition="1"/>
    </format>
    <format dxfId="674">
      <pivotArea field="3" type="button" dataOnly="0" labelOnly="1" outline="0" axis="axisRow" fieldPosition="2"/>
    </format>
    <format dxfId="673">
      <pivotArea field="4" type="button" dataOnly="0" labelOnly="1" outline="0" axis="axisRow" fieldPosition="3"/>
    </format>
    <format dxfId="672">
      <pivotArea field="5" type="button" dataOnly="0" labelOnly="1" outline="0" axis="axisRow" fieldPosition="4"/>
    </format>
    <format dxfId="671">
      <pivotArea field="6" type="button" dataOnly="0" labelOnly="1" outline="0" axis="axisRow" fieldPosition="5"/>
    </format>
    <format dxfId="670">
      <pivotArea field="7" type="button" dataOnly="0" labelOnly="1" outline="0" axis="axisRow" fieldPosition="6"/>
    </format>
    <format dxfId="669">
      <pivotArea field="8" type="button" dataOnly="0" labelOnly="1" outline="0" axis="axisRow" fieldPosition="7"/>
    </format>
    <format dxfId="668">
      <pivotArea field="0" type="button" dataOnly="0" labelOnly="1" outline="0" axis="axisRow" fieldPosition="0"/>
    </format>
    <format dxfId="667">
      <pivotArea field="1" type="button" dataOnly="0" labelOnly="1" outline="0" axis="axisRow" fieldPosition="1"/>
    </format>
    <format dxfId="666">
      <pivotArea field="3" type="button" dataOnly="0" labelOnly="1" outline="0" axis="axisRow" fieldPosition="2"/>
    </format>
    <format dxfId="665">
      <pivotArea field="4" type="button" dataOnly="0" labelOnly="1" outline="0" axis="axisRow" fieldPosition="3"/>
    </format>
    <format dxfId="664">
      <pivotArea field="5" type="button" dataOnly="0" labelOnly="1" outline="0" axis="axisRow" fieldPosition="4"/>
    </format>
    <format dxfId="663">
      <pivotArea field="6" type="button" dataOnly="0" labelOnly="1" outline="0" axis="axisRow" fieldPosition="5"/>
    </format>
    <format dxfId="662">
      <pivotArea field="7" type="button" dataOnly="0" labelOnly="1" outline="0" axis="axisRow" fieldPosition="6"/>
    </format>
    <format dxfId="661">
      <pivotArea field="8" type="button" dataOnly="0" labelOnly="1" outline="0" axis="axisRow" fieldPosition="7"/>
    </format>
    <format dxfId="660">
      <pivotArea dataOnly="0" labelOnly="1" grandRow="1" outline="0" fieldPosition="0"/>
    </format>
    <format dxfId="659">
      <pivotArea type="all" dataOnly="0" outline="0" fieldPosition="0"/>
    </format>
    <format dxfId="658">
      <pivotArea field="0" type="button" dataOnly="0" labelOnly="1" outline="0" axis="axisRow" fieldPosition="0"/>
    </format>
    <format dxfId="657">
      <pivotArea field="1" type="button" dataOnly="0" labelOnly="1" outline="0" axis="axisRow" fieldPosition="1"/>
    </format>
    <format dxfId="656">
      <pivotArea field="3" type="button" dataOnly="0" labelOnly="1" outline="0" axis="axisRow" fieldPosition="2"/>
    </format>
    <format dxfId="655">
      <pivotArea field="4" type="button" dataOnly="0" labelOnly="1" outline="0" axis="axisRow" fieldPosition="3"/>
    </format>
    <format dxfId="654">
      <pivotArea field="5" type="button" dataOnly="0" labelOnly="1" outline="0" axis="axisRow" fieldPosition="4"/>
    </format>
    <format dxfId="653">
      <pivotArea field="6" type="button" dataOnly="0" labelOnly="1" outline="0" axis="axisRow" fieldPosition="5"/>
    </format>
    <format dxfId="652">
      <pivotArea field="7" type="button" dataOnly="0" labelOnly="1" outline="0" axis="axisRow" fieldPosition="6"/>
    </format>
    <format dxfId="651">
      <pivotArea field="8" type="button" dataOnly="0" labelOnly="1" outline="0" axis="axisRow" fieldPosition="7"/>
    </format>
    <format dxfId="650">
      <pivotArea dataOnly="0" labelOnly="1" outline="0" fieldPosition="0">
        <references count="4">
          <reference field="0" count="1" selected="0">
            <x v="0"/>
          </reference>
          <reference field="1" count="1" selected="0">
            <x v="23"/>
          </reference>
          <reference field="3" count="1" selected="0">
            <x v="10"/>
          </reference>
          <reference field="4" count="1">
            <x v="1"/>
          </reference>
        </references>
      </pivotArea>
    </format>
    <format dxfId="649">
      <pivotArea dataOnly="0" labelOnly="1" outline="0" fieldPosition="0">
        <references count="4">
          <reference field="0" count="1" selected="0">
            <x v="7"/>
          </reference>
          <reference field="1" count="1" selected="0">
            <x v="8"/>
          </reference>
          <reference field="3" count="1" selected="0">
            <x v="12"/>
          </reference>
          <reference field="4" count="1">
            <x v="19"/>
          </reference>
        </references>
      </pivotArea>
    </format>
    <format dxfId="648">
      <pivotArea dataOnly="0" labelOnly="1" outline="0" fieldPosition="0">
        <references count="5">
          <reference field="0" count="1" selected="0">
            <x v="0"/>
          </reference>
          <reference field="1" count="1" selected="0">
            <x v="23"/>
          </reference>
          <reference field="3" count="1" selected="0">
            <x v="10"/>
          </reference>
          <reference field="4" count="1" selected="0">
            <x v="1"/>
          </reference>
          <reference field="5" count="1">
            <x v="0"/>
          </reference>
        </references>
      </pivotArea>
    </format>
    <format dxfId="647">
      <pivotArea dataOnly="0" labelOnly="1" outline="0" fieldPosition="0">
        <references count="5">
          <reference field="0" count="1" selected="0">
            <x v="7"/>
          </reference>
          <reference field="1" count="1" selected="0">
            <x v="8"/>
          </reference>
          <reference field="3" count="1" selected="0">
            <x v="12"/>
          </reference>
          <reference field="4" count="1" selected="0">
            <x v="19"/>
          </reference>
          <reference field="5" count="1">
            <x v="1"/>
          </reference>
        </references>
      </pivotArea>
    </format>
    <format dxfId="646">
      <pivotArea dataOnly="0" labelOnly="1" outline="0" fieldPosition="0">
        <references count="6">
          <reference field="0" count="1" selected="0">
            <x v="0"/>
          </reference>
          <reference field="1" count="1" selected="0">
            <x v="23"/>
          </reference>
          <reference field="3" count="1" selected="0">
            <x v="10"/>
          </reference>
          <reference field="4" count="1" selected="0">
            <x v="1"/>
          </reference>
          <reference field="5" count="1" selected="0">
            <x v="0"/>
          </reference>
          <reference field="6" count="1">
            <x v="5"/>
          </reference>
        </references>
      </pivotArea>
    </format>
    <format dxfId="645">
      <pivotArea dataOnly="0" labelOnly="1" outline="0" fieldPosition="0">
        <references count="6">
          <reference field="0" count="1" selected="0">
            <x v="7"/>
          </reference>
          <reference field="1" count="1" selected="0">
            <x v="8"/>
          </reference>
          <reference field="3" count="1" selected="0">
            <x v="12"/>
          </reference>
          <reference field="4" count="1" selected="0">
            <x v="19"/>
          </reference>
          <reference field="5" count="1" selected="0">
            <x v="1"/>
          </reference>
          <reference field="6" count="1">
            <x v="17"/>
          </reference>
        </references>
      </pivotArea>
    </format>
    <format dxfId="644">
      <pivotArea dataOnly="0" labelOnly="1" outline="0" fieldPosition="0">
        <references count="7">
          <reference field="0" count="1" selected="0">
            <x v="0"/>
          </reference>
          <reference field="1" count="1" selected="0">
            <x v="23"/>
          </reference>
          <reference field="3" count="1" selected="0">
            <x v="10"/>
          </reference>
          <reference field="4" count="1" selected="0">
            <x v="1"/>
          </reference>
          <reference field="5" count="1" selected="0">
            <x v="0"/>
          </reference>
          <reference field="6" count="1" selected="0">
            <x v="5"/>
          </reference>
          <reference field="7" count="1">
            <x v="3"/>
          </reference>
        </references>
      </pivotArea>
    </format>
    <format dxfId="643">
      <pivotArea dataOnly="0" labelOnly="1" outline="0" fieldPosition="0">
        <references count="7">
          <reference field="0" count="1" selected="0">
            <x v="7"/>
          </reference>
          <reference field="1" count="1" selected="0">
            <x v="8"/>
          </reference>
          <reference field="3" count="1" selected="0">
            <x v="12"/>
          </reference>
          <reference field="4" count="1" selected="0">
            <x v="19"/>
          </reference>
          <reference field="5" count="1" selected="0">
            <x v="1"/>
          </reference>
          <reference field="6" count="1" selected="0">
            <x v="17"/>
          </reference>
          <reference field="7" count="1">
            <x v="4"/>
          </reference>
        </references>
      </pivotArea>
    </format>
    <format dxfId="642">
      <pivotArea dataOnly="0" labelOnly="1" outline="0" fieldPosition="0">
        <references count="8">
          <reference field="0" count="1" selected="0">
            <x v="0"/>
          </reference>
          <reference field="1" count="1" selected="0">
            <x v="23"/>
          </reference>
          <reference field="3" count="1" selected="0">
            <x v="10"/>
          </reference>
          <reference field="4" count="1" selected="0">
            <x v="1"/>
          </reference>
          <reference field="5" count="1" selected="0">
            <x v="0"/>
          </reference>
          <reference field="6" count="1" selected="0">
            <x v="5"/>
          </reference>
          <reference field="7" count="1" selected="0">
            <x v="3"/>
          </reference>
          <reference field="8" count="1">
            <x v="3"/>
          </reference>
        </references>
      </pivotArea>
    </format>
    <format dxfId="641">
      <pivotArea dataOnly="0" labelOnly="1" outline="0" fieldPosition="0">
        <references count="8">
          <reference field="0" count="1" selected="0">
            <x v="7"/>
          </reference>
          <reference field="1" count="1" selected="0">
            <x v="8"/>
          </reference>
          <reference field="3" count="1" selected="0">
            <x v="12"/>
          </reference>
          <reference field="4" count="1" selected="0">
            <x v="19"/>
          </reference>
          <reference field="5" count="1" selected="0">
            <x v="1"/>
          </reference>
          <reference field="6" count="1" selected="0">
            <x v="17"/>
          </reference>
          <reference field="7" count="1" selected="0">
            <x v="4"/>
          </reference>
          <reference field="8" count="1">
            <x v="3"/>
          </reference>
        </references>
      </pivotArea>
    </format>
    <format dxfId="640">
      <pivotArea field="0" type="button" dataOnly="0" labelOnly="1" outline="0" axis="axisRow" fieldPosition="0"/>
    </format>
    <format dxfId="639">
      <pivotArea field="1" type="button" dataOnly="0" labelOnly="1" outline="0" axis="axisRow" fieldPosition="1"/>
    </format>
    <format dxfId="638">
      <pivotArea field="3" type="button" dataOnly="0" labelOnly="1" outline="0" axis="axisRow" fieldPosition="2"/>
    </format>
    <format dxfId="637">
      <pivotArea field="4" type="button" dataOnly="0" labelOnly="1" outline="0" axis="axisRow" fieldPosition="3"/>
    </format>
    <format dxfId="636">
      <pivotArea field="5" type="button" dataOnly="0" labelOnly="1" outline="0" axis="axisRow" fieldPosition="4"/>
    </format>
    <format dxfId="635">
      <pivotArea field="6" type="button" dataOnly="0" labelOnly="1" outline="0" axis="axisRow" fieldPosition="5"/>
    </format>
    <format dxfId="634">
      <pivotArea field="7" type="button" dataOnly="0" labelOnly="1" outline="0" axis="axisRow" fieldPosition="6"/>
    </format>
    <format dxfId="633">
      <pivotArea field="8" type="button" dataOnly="0" labelOnly="1" outline="0" axis="axisRow" fieldPosition="7"/>
    </format>
    <format dxfId="632">
      <pivotArea field="0" type="button" dataOnly="0" labelOnly="1" outline="0" axis="axisRow" fieldPosition="0"/>
    </format>
    <format dxfId="631">
      <pivotArea field="1" type="button" dataOnly="0" labelOnly="1" outline="0" axis="axisRow" fieldPosition="1"/>
    </format>
    <format dxfId="630">
      <pivotArea field="3" type="button" dataOnly="0" labelOnly="1" outline="0" axis="axisRow" fieldPosition="2"/>
    </format>
    <format dxfId="629">
      <pivotArea field="4" type="button" dataOnly="0" labelOnly="1" outline="0" axis="axisRow" fieldPosition="3"/>
    </format>
    <format dxfId="628">
      <pivotArea field="5" type="button" dataOnly="0" labelOnly="1" outline="0" axis="axisRow" fieldPosition="4"/>
    </format>
    <format dxfId="627">
      <pivotArea field="6" type="button" dataOnly="0" labelOnly="1" outline="0" axis="axisRow" fieldPosition="5"/>
    </format>
    <format dxfId="626">
      <pivotArea field="7" type="button" dataOnly="0" labelOnly="1" outline="0" axis="axisRow" fieldPosition="6"/>
    </format>
    <format dxfId="625">
      <pivotArea field="8" type="button" dataOnly="0" labelOnly="1" outline="0" axis="axisRow" fieldPosition="7"/>
    </format>
    <format dxfId="624">
      <pivotArea dataOnly="0" labelOnly="1" grandRow="1" outline="0" fieldPosition="0"/>
    </format>
    <format dxfId="623">
      <pivotArea dataOnly="0" labelOnly="1" grandRow="1" outline="0" fieldPosition="0"/>
    </format>
    <format dxfId="622">
      <pivotArea field="0" type="button" dataOnly="0" labelOnly="1" outline="0" axis="axisRow" fieldPosition="0"/>
    </format>
    <format dxfId="621">
      <pivotArea field="1" type="button" dataOnly="0" labelOnly="1" outline="0" axis="axisRow" fieldPosition="1"/>
    </format>
    <format dxfId="620">
      <pivotArea field="3" type="button" dataOnly="0" labelOnly="1" outline="0" axis="axisRow" fieldPosition="2"/>
    </format>
    <format dxfId="619">
      <pivotArea field="4" type="button" dataOnly="0" labelOnly="1" outline="0" axis="axisRow" fieldPosition="3"/>
    </format>
    <format dxfId="618">
      <pivotArea field="5" type="button" dataOnly="0" labelOnly="1" outline="0" axis="axisRow" fieldPosition="4"/>
    </format>
    <format dxfId="617">
      <pivotArea field="6" type="button" dataOnly="0" labelOnly="1" outline="0" axis="axisRow" fieldPosition="5"/>
    </format>
    <format dxfId="616">
      <pivotArea field="7" type="button" dataOnly="0" labelOnly="1" outline="0" axis="axisRow" fieldPosition="6"/>
    </format>
    <format dxfId="615">
      <pivotArea field="8" type="button" dataOnly="0" labelOnly="1" outline="0" axis="axisRow" fieldPosition="7"/>
    </format>
    <format dxfId="614">
      <pivotArea type="all" dataOnly="0" outline="0" fieldPosition="0"/>
    </format>
    <format dxfId="613">
      <pivotArea field="0" type="button" dataOnly="0" labelOnly="1" outline="0" axis="axisRow" fieldPosition="0"/>
    </format>
    <format dxfId="612">
      <pivotArea field="1" type="button" dataOnly="0" labelOnly="1" outline="0" axis="axisRow" fieldPosition="1"/>
    </format>
    <format dxfId="611">
      <pivotArea field="3" type="button" dataOnly="0" labelOnly="1" outline="0" axis="axisRow" fieldPosition="2"/>
    </format>
    <format dxfId="610">
      <pivotArea field="4" type="button" dataOnly="0" labelOnly="1" outline="0" axis="axisRow" fieldPosition="3"/>
    </format>
    <format dxfId="609">
      <pivotArea field="5" type="button" dataOnly="0" labelOnly="1" outline="0" axis="axisRow" fieldPosition="4"/>
    </format>
    <format dxfId="608">
      <pivotArea field="6" type="button" dataOnly="0" labelOnly="1" outline="0" axis="axisRow" fieldPosition="5"/>
    </format>
    <format dxfId="607">
      <pivotArea field="7" type="button" dataOnly="0" labelOnly="1" outline="0" axis="axisRow" fieldPosition="6"/>
    </format>
    <format dxfId="606">
      <pivotArea field="8" type="button" dataOnly="0" labelOnly="1" outline="0" axis="axisRow" fieldPosition="7"/>
    </format>
    <format dxfId="605">
      <pivotArea dataOnly="0" labelOnly="1" grandRow="1" outline="0" fieldPosition="0"/>
    </format>
    <format dxfId="604">
      <pivotArea dataOnly="0" labelOnly="1" outline="0" fieldPosition="0">
        <references count="4">
          <reference field="0" count="1" selected="0">
            <x v="0"/>
          </reference>
          <reference field="1" count="1" selected="0">
            <x v="23"/>
          </reference>
          <reference field="3" count="1" selected="0">
            <x v="10"/>
          </reference>
          <reference field="4" count="1">
            <x v="1"/>
          </reference>
        </references>
      </pivotArea>
    </format>
    <format dxfId="603">
      <pivotArea dataOnly="0" labelOnly="1" outline="0" fieldPosition="0">
        <references count="4">
          <reference field="0" count="1" selected="0">
            <x v="7"/>
          </reference>
          <reference field="1" count="1" selected="0">
            <x v="8"/>
          </reference>
          <reference field="3" count="1" selected="0">
            <x v="12"/>
          </reference>
          <reference field="4" count="1">
            <x v="19"/>
          </reference>
        </references>
      </pivotArea>
    </format>
    <format dxfId="602">
      <pivotArea dataOnly="0" labelOnly="1" outline="0" fieldPosition="0">
        <references count="5">
          <reference field="0" count="1" selected="0">
            <x v="0"/>
          </reference>
          <reference field="1" count="1" selected="0">
            <x v="23"/>
          </reference>
          <reference field="3" count="1" selected="0">
            <x v="10"/>
          </reference>
          <reference field="4" count="1" selected="0">
            <x v="1"/>
          </reference>
          <reference field="5" count="1">
            <x v="0"/>
          </reference>
        </references>
      </pivotArea>
    </format>
    <format dxfId="601">
      <pivotArea dataOnly="0" labelOnly="1" outline="0" fieldPosition="0">
        <references count="5">
          <reference field="0" count="1" selected="0">
            <x v="7"/>
          </reference>
          <reference field="1" count="1" selected="0">
            <x v="8"/>
          </reference>
          <reference field="3" count="1" selected="0">
            <x v="12"/>
          </reference>
          <reference field="4" count="1" selected="0">
            <x v="19"/>
          </reference>
          <reference field="5" count="1">
            <x v="1"/>
          </reference>
        </references>
      </pivotArea>
    </format>
    <format dxfId="600">
      <pivotArea dataOnly="0" labelOnly="1" outline="0" fieldPosition="0">
        <references count="6">
          <reference field="0" count="1" selected="0">
            <x v="0"/>
          </reference>
          <reference field="1" count="1" selected="0">
            <x v="23"/>
          </reference>
          <reference field="3" count="1" selected="0">
            <x v="10"/>
          </reference>
          <reference field="4" count="1" selected="0">
            <x v="1"/>
          </reference>
          <reference field="5" count="1" selected="0">
            <x v="0"/>
          </reference>
          <reference field="6" count="1">
            <x v="5"/>
          </reference>
        </references>
      </pivotArea>
    </format>
    <format dxfId="599">
      <pivotArea dataOnly="0" labelOnly="1" outline="0" fieldPosition="0">
        <references count="6">
          <reference field="0" count="1" selected="0">
            <x v="7"/>
          </reference>
          <reference field="1" count="1" selected="0">
            <x v="8"/>
          </reference>
          <reference field="3" count="1" selected="0">
            <x v="12"/>
          </reference>
          <reference field="4" count="1" selected="0">
            <x v="19"/>
          </reference>
          <reference field="5" count="1" selected="0">
            <x v="1"/>
          </reference>
          <reference field="6" count="1">
            <x v="17"/>
          </reference>
        </references>
      </pivotArea>
    </format>
    <format dxfId="598">
      <pivotArea dataOnly="0" labelOnly="1" outline="0" fieldPosition="0">
        <references count="7">
          <reference field="0" count="1" selected="0">
            <x v="0"/>
          </reference>
          <reference field="1" count="1" selected="0">
            <x v="23"/>
          </reference>
          <reference field="3" count="1" selected="0">
            <x v="10"/>
          </reference>
          <reference field="4" count="1" selected="0">
            <x v="1"/>
          </reference>
          <reference field="5" count="1" selected="0">
            <x v="0"/>
          </reference>
          <reference field="6" count="1" selected="0">
            <x v="5"/>
          </reference>
          <reference field="7" count="1">
            <x v="3"/>
          </reference>
        </references>
      </pivotArea>
    </format>
    <format dxfId="597">
      <pivotArea dataOnly="0" labelOnly="1" outline="0" fieldPosition="0">
        <references count="7">
          <reference field="0" count="1" selected="0">
            <x v="7"/>
          </reference>
          <reference field="1" count="1" selected="0">
            <x v="8"/>
          </reference>
          <reference field="3" count="1" selected="0">
            <x v="12"/>
          </reference>
          <reference field="4" count="1" selected="0">
            <x v="19"/>
          </reference>
          <reference field="5" count="1" selected="0">
            <x v="1"/>
          </reference>
          <reference field="6" count="1" selected="0">
            <x v="17"/>
          </reference>
          <reference field="7" count="1">
            <x v="4"/>
          </reference>
        </references>
      </pivotArea>
    </format>
    <format dxfId="596">
      <pivotArea dataOnly="0" labelOnly="1" outline="0" fieldPosition="0">
        <references count="8">
          <reference field="0" count="1" selected="0">
            <x v="0"/>
          </reference>
          <reference field="1" count="1" selected="0">
            <x v="23"/>
          </reference>
          <reference field="3" count="1" selected="0">
            <x v="10"/>
          </reference>
          <reference field="4" count="1" selected="0">
            <x v="1"/>
          </reference>
          <reference field="5" count="1" selected="0">
            <x v="0"/>
          </reference>
          <reference field="6" count="1" selected="0">
            <x v="5"/>
          </reference>
          <reference field="7" count="1" selected="0">
            <x v="3"/>
          </reference>
          <reference field="8" count="1">
            <x v="3"/>
          </reference>
        </references>
      </pivotArea>
    </format>
    <format dxfId="595">
      <pivotArea dataOnly="0" labelOnly="1" outline="0" fieldPosition="0">
        <references count="8">
          <reference field="0" count="1" selected="0">
            <x v="7"/>
          </reference>
          <reference field="1" count="1" selected="0">
            <x v="8"/>
          </reference>
          <reference field="3" count="1" selected="0">
            <x v="12"/>
          </reference>
          <reference field="4" count="1" selected="0">
            <x v="19"/>
          </reference>
          <reference field="5" count="1" selected="0">
            <x v="1"/>
          </reference>
          <reference field="6" count="1" selected="0">
            <x v="17"/>
          </reference>
          <reference field="7" count="1" selected="0">
            <x v="4"/>
          </reference>
          <reference field="8" count="1">
            <x v="3"/>
          </reference>
        </references>
      </pivotArea>
    </format>
    <format dxfId="594">
      <pivotArea field="0" type="button" dataOnly="0" labelOnly="1" outline="0" axis="axisRow" fieldPosition="0"/>
    </format>
    <format dxfId="593">
      <pivotArea field="1" type="button" dataOnly="0" labelOnly="1" outline="0" axis="axisRow" fieldPosition="1"/>
    </format>
    <format dxfId="592">
      <pivotArea field="3" type="button" dataOnly="0" labelOnly="1" outline="0" axis="axisRow" fieldPosition="2"/>
    </format>
    <format dxfId="591">
      <pivotArea field="4" type="button" dataOnly="0" labelOnly="1" outline="0" axis="axisRow" fieldPosition="3"/>
    </format>
    <format dxfId="590">
      <pivotArea field="5" type="button" dataOnly="0" labelOnly="1" outline="0" axis="axisRow" fieldPosition="4"/>
    </format>
    <format dxfId="589">
      <pivotArea field="6" type="button" dataOnly="0" labelOnly="1" outline="0" axis="axisRow" fieldPosition="5"/>
    </format>
    <format dxfId="588">
      <pivotArea field="7" type="button" dataOnly="0" labelOnly="1" outline="0" axis="axisRow" fieldPosition="6"/>
    </format>
    <format dxfId="587">
      <pivotArea field="8" type="button" dataOnly="0" labelOnly="1" outline="0" axis="axisRow" fieldPosition="7"/>
    </format>
    <format dxfId="586">
      <pivotArea dataOnly="0" labelOnly="1" grandRow="1" outline="0" fieldPosition="0"/>
    </format>
    <format dxfId="585">
      <pivotArea type="all" dataOnly="0" outline="0" fieldPosition="0"/>
    </format>
    <format dxfId="584">
      <pivotArea field="0" type="button" dataOnly="0" labelOnly="1" outline="0" axis="axisRow" fieldPosition="0"/>
    </format>
    <format dxfId="583">
      <pivotArea field="1" type="button" dataOnly="0" labelOnly="1" outline="0" axis="axisRow" fieldPosition="1"/>
    </format>
    <format dxfId="582">
      <pivotArea field="3" type="button" dataOnly="0" labelOnly="1" outline="0" axis="axisRow" fieldPosition="2"/>
    </format>
    <format dxfId="581">
      <pivotArea field="4" type="button" dataOnly="0" labelOnly="1" outline="0" axis="axisRow" fieldPosition="3"/>
    </format>
    <format dxfId="580">
      <pivotArea field="5" type="button" dataOnly="0" labelOnly="1" outline="0" axis="axisRow" fieldPosition="4"/>
    </format>
    <format dxfId="579">
      <pivotArea field="6" type="button" dataOnly="0" labelOnly="1" outline="0" axis="axisRow" fieldPosition="5"/>
    </format>
    <format dxfId="578">
      <pivotArea field="7" type="button" dataOnly="0" labelOnly="1" outline="0" axis="axisRow" fieldPosition="6"/>
    </format>
    <format dxfId="577">
      <pivotArea field="8" type="button" dataOnly="0" labelOnly="1" outline="0" axis="axisRow" fieldPosition="7"/>
    </format>
    <format dxfId="576">
      <pivotArea dataOnly="0" labelOnly="1" outline="0" fieldPosition="0">
        <references count="1">
          <reference field="0" count="0"/>
        </references>
      </pivotArea>
    </format>
    <format dxfId="575">
      <pivotArea dataOnly="0" labelOnly="1" outline="0" fieldPosition="0">
        <references count="2">
          <reference field="0" count="1" selected="0">
            <x v="0"/>
          </reference>
          <reference field="1" count="1">
            <x v="23"/>
          </reference>
        </references>
      </pivotArea>
    </format>
    <format dxfId="574">
      <pivotArea dataOnly="0" labelOnly="1" outline="0" fieldPosition="0">
        <references count="2">
          <reference field="0" count="1" selected="0">
            <x v="7"/>
          </reference>
          <reference field="1" count="1">
            <x v="8"/>
          </reference>
        </references>
      </pivotArea>
    </format>
    <format dxfId="573">
      <pivotArea dataOnly="0" labelOnly="1" outline="0" fieldPosition="0">
        <references count="2">
          <reference field="0" count="1" selected="0">
            <x v="12"/>
          </reference>
          <reference field="1" count="1">
            <x v="18"/>
          </reference>
        </references>
      </pivotArea>
    </format>
    <format dxfId="572">
      <pivotArea dataOnly="0" labelOnly="1" outline="0" fieldPosition="0">
        <references count="2">
          <reference field="0" count="1" selected="0">
            <x v="22"/>
          </reference>
          <reference field="1" count="1">
            <x v="17"/>
          </reference>
        </references>
      </pivotArea>
    </format>
    <format dxfId="571">
      <pivotArea dataOnly="0" labelOnly="1" outline="0" fieldPosition="0">
        <references count="2">
          <reference field="0" count="1" selected="0">
            <x v="28"/>
          </reference>
          <reference field="1" count="1">
            <x v="13"/>
          </reference>
        </references>
      </pivotArea>
    </format>
    <format dxfId="570">
      <pivotArea dataOnly="0" labelOnly="1" outline="0" fieldPosition="0">
        <references count="2">
          <reference field="0" count="1" selected="0">
            <x v="32"/>
          </reference>
          <reference field="1" count="1">
            <x v="7"/>
          </reference>
        </references>
      </pivotArea>
    </format>
    <format dxfId="569">
      <pivotArea dataOnly="0" labelOnly="1" outline="0" fieldPosition="0">
        <references count="2">
          <reference field="0" count="1" selected="0">
            <x v="38"/>
          </reference>
          <reference field="1" count="1">
            <x v="12"/>
          </reference>
        </references>
      </pivotArea>
    </format>
    <format dxfId="568">
      <pivotArea dataOnly="0" labelOnly="1" outline="0" fieldPosition="0">
        <references count="2">
          <reference field="0" count="1" selected="0">
            <x v="40"/>
          </reference>
          <reference field="1" count="1">
            <x v="0"/>
          </reference>
        </references>
      </pivotArea>
    </format>
    <format dxfId="567">
      <pivotArea dataOnly="0" labelOnly="1" outline="0" fieldPosition="0">
        <references count="2">
          <reference field="0" count="1" selected="0">
            <x v="45"/>
          </reference>
          <reference field="1" count="1">
            <x v="9"/>
          </reference>
        </references>
      </pivotArea>
    </format>
    <format dxfId="566">
      <pivotArea dataOnly="0" labelOnly="1" outline="0" fieldPosition="0">
        <references count="2">
          <reference field="0" count="1" selected="0">
            <x v="46"/>
          </reference>
          <reference field="1" count="1">
            <x v="4"/>
          </reference>
        </references>
      </pivotArea>
    </format>
    <format dxfId="565">
      <pivotArea dataOnly="0" labelOnly="1" outline="0" fieldPosition="0">
        <references count="2">
          <reference field="0" count="1" selected="0">
            <x v="47"/>
          </reference>
          <reference field="1" count="1">
            <x v="5"/>
          </reference>
        </references>
      </pivotArea>
    </format>
    <format dxfId="564">
      <pivotArea dataOnly="0" labelOnly="1" outline="0" fieldPosition="0">
        <references count="2">
          <reference field="0" count="1" selected="0">
            <x v="48"/>
          </reference>
          <reference field="1" count="1">
            <x v="20"/>
          </reference>
        </references>
      </pivotArea>
    </format>
    <format dxfId="563">
      <pivotArea dataOnly="0" labelOnly="1" outline="0" fieldPosition="0">
        <references count="2">
          <reference field="0" count="1" selected="0">
            <x v="49"/>
          </reference>
          <reference field="1" count="1">
            <x v="10"/>
          </reference>
        </references>
      </pivotArea>
    </format>
    <format dxfId="562">
      <pivotArea dataOnly="0" labelOnly="1" outline="0" fieldPosition="0">
        <references count="2">
          <reference field="0" count="1" selected="0">
            <x v="50"/>
          </reference>
          <reference field="1" count="1">
            <x v="14"/>
          </reference>
        </references>
      </pivotArea>
    </format>
    <format dxfId="561">
      <pivotArea dataOnly="0" labelOnly="1" outline="0" fieldPosition="0">
        <references count="2">
          <reference field="0" count="1" selected="0">
            <x v="51"/>
          </reference>
          <reference field="1" count="1">
            <x v="21"/>
          </reference>
        </references>
      </pivotArea>
    </format>
    <format dxfId="560">
      <pivotArea dataOnly="0" labelOnly="1" outline="0" fieldPosition="0">
        <references count="2">
          <reference field="0" count="1" selected="0">
            <x v="52"/>
          </reference>
          <reference field="1" count="1">
            <x v="11"/>
          </reference>
        </references>
      </pivotArea>
    </format>
    <format dxfId="559">
      <pivotArea dataOnly="0" labelOnly="1" outline="0" fieldPosition="0">
        <references count="2">
          <reference field="0" count="1" selected="0">
            <x v="53"/>
          </reference>
          <reference field="1" count="1">
            <x v="6"/>
          </reference>
        </references>
      </pivotArea>
    </format>
    <format dxfId="558">
      <pivotArea dataOnly="0" labelOnly="1" outline="0" fieldPosition="0">
        <references count="2">
          <reference field="0" count="1" selected="0">
            <x v="54"/>
          </reference>
          <reference field="1" count="1">
            <x v="1"/>
          </reference>
        </references>
      </pivotArea>
    </format>
    <format dxfId="557">
      <pivotArea dataOnly="0" labelOnly="1" outline="0" fieldPosition="0">
        <references count="2">
          <reference field="0" count="1" selected="0">
            <x v="55"/>
          </reference>
          <reference field="1" count="1">
            <x v="15"/>
          </reference>
        </references>
      </pivotArea>
    </format>
    <format dxfId="556">
      <pivotArea dataOnly="0" labelOnly="1" outline="0" fieldPosition="0">
        <references count="2">
          <reference field="0" count="1" selected="0">
            <x v="56"/>
          </reference>
          <reference field="1" count="1">
            <x v="16"/>
          </reference>
        </references>
      </pivotArea>
    </format>
    <format dxfId="555">
      <pivotArea dataOnly="0" labelOnly="1" outline="0" fieldPosition="0">
        <references count="2">
          <reference field="0" count="1" selected="0">
            <x v="57"/>
          </reference>
          <reference field="1" count="1">
            <x v="19"/>
          </reference>
        </references>
      </pivotArea>
    </format>
    <format dxfId="554">
      <pivotArea dataOnly="0" labelOnly="1" outline="0" fieldPosition="0">
        <references count="2">
          <reference field="0" count="1" selected="0">
            <x v="58"/>
          </reference>
          <reference field="1" count="1">
            <x v="2"/>
          </reference>
        </references>
      </pivotArea>
    </format>
    <format dxfId="553">
      <pivotArea dataOnly="0" labelOnly="1" outline="0" fieldPosition="0">
        <references count="2">
          <reference field="0" count="1" selected="0">
            <x v="59"/>
          </reference>
          <reference field="1" count="1">
            <x v="3"/>
          </reference>
        </references>
      </pivotArea>
    </format>
    <format dxfId="552">
      <pivotArea dataOnly="0" labelOnly="1" outline="0" fieldPosition="0">
        <references count="2">
          <reference field="0" count="1" selected="0">
            <x v="60"/>
          </reference>
          <reference field="1" count="1">
            <x v="22"/>
          </reference>
        </references>
      </pivotArea>
    </format>
    <format dxfId="551">
      <pivotArea dataOnly="0" labelOnly="1" outline="0" fieldPosition="0">
        <references count="3">
          <reference field="0" count="1" selected="0">
            <x v="0"/>
          </reference>
          <reference field="1" count="1" selected="0">
            <x v="23"/>
          </reference>
          <reference field="3" count="1">
            <x v="10"/>
          </reference>
        </references>
      </pivotArea>
    </format>
    <format dxfId="550">
      <pivotArea dataOnly="0" labelOnly="1" outline="0" fieldPosition="0">
        <references count="3">
          <reference field="0" count="1" selected="0">
            <x v="7"/>
          </reference>
          <reference field="1" count="1" selected="0">
            <x v="8"/>
          </reference>
          <reference field="3" count="1">
            <x v="12"/>
          </reference>
        </references>
      </pivotArea>
    </format>
    <format dxfId="549">
      <pivotArea dataOnly="0" labelOnly="1" outline="0" fieldPosition="0">
        <references count="3">
          <reference field="0" count="1" selected="0">
            <x v="12"/>
          </reference>
          <reference field="1" count="1" selected="0">
            <x v="18"/>
          </reference>
          <reference field="3" count="1">
            <x v="0"/>
          </reference>
        </references>
      </pivotArea>
    </format>
    <format dxfId="548">
      <pivotArea dataOnly="0" labelOnly="1" outline="0" fieldPosition="0">
        <references count="3">
          <reference field="0" count="1" selected="0">
            <x v="22"/>
          </reference>
          <reference field="1" count="1" selected="0">
            <x v="17"/>
          </reference>
          <reference field="3" count="1">
            <x v="6"/>
          </reference>
        </references>
      </pivotArea>
    </format>
    <format dxfId="547">
      <pivotArea dataOnly="0" labelOnly="1" outline="0" fieldPosition="0">
        <references count="3">
          <reference field="0" count="1" selected="0">
            <x v="28"/>
          </reference>
          <reference field="1" count="1" selected="0">
            <x v="13"/>
          </reference>
          <reference field="3" count="1">
            <x v="5"/>
          </reference>
        </references>
      </pivotArea>
    </format>
    <format dxfId="546">
      <pivotArea dataOnly="0" labelOnly="1" outline="0" fieldPosition="0">
        <references count="3">
          <reference field="0" count="1" selected="0">
            <x v="32"/>
          </reference>
          <reference field="1" count="1" selected="0">
            <x v="7"/>
          </reference>
          <reference field="3" count="1">
            <x v="7"/>
          </reference>
        </references>
      </pivotArea>
    </format>
    <format dxfId="545">
      <pivotArea dataOnly="0" labelOnly="1" outline="0" fieldPosition="0">
        <references count="3">
          <reference field="0" count="1" selected="0">
            <x v="46"/>
          </reference>
          <reference field="1" count="1" selected="0">
            <x v="4"/>
          </reference>
          <reference field="3" count="1">
            <x v="0"/>
          </reference>
        </references>
      </pivotArea>
    </format>
    <format dxfId="544">
      <pivotArea dataOnly="0" labelOnly="1" outline="0" fieldPosition="0">
        <references count="3">
          <reference field="0" count="1" selected="0">
            <x v="47"/>
          </reference>
          <reference field="1" count="1" selected="0">
            <x v="5"/>
          </reference>
          <reference field="3" count="1">
            <x v="1"/>
          </reference>
        </references>
      </pivotArea>
    </format>
    <format dxfId="543">
      <pivotArea dataOnly="0" labelOnly="1" outline="0" fieldPosition="0">
        <references count="3">
          <reference field="0" count="1" selected="0">
            <x v="48"/>
          </reference>
          <reference field="1" count="1" selected="0">
            <x v="20"/>
          </reference>
          <reference field="3" count="1">
            <x v="8"/>
          </reference>
        </references>
      </pivotArea>
    </format>
    <format dxfId="542">
      <pivotArea dataOnly="0" labelOnly="1" outline="0" fieldPosition="0">
        <references count="3">
          <reference field="0" count="1" selected="0">
            <x v="50"/>
          </reference>
          <reference field="1" count="1" selected="0">
            <x v="14"/>
          </reference>
          <reference field="3" count="1">
            <x v="1"/>
          </reference>
        </references>
      </pivotArea>
    </format>
    <format dxfId="541">
      <pivotArea dataOnly="0" labelOnly="1" outline="0" fieldPosition="0">
        <references count="3">
          <reference field="0" count="1" selected="0">
            <x v="51"/>
          </reference>
          <reference field="1" count="1" selected="0">
            <x v="21"/>
          </reference>
          <reference field="3" count="1">
            <x v="4"/>
          </reference>
        </references>
      </pivotArea>
    </format>
    <format dxfId="540">
      <pivotArea dataOnly="0" labelOnly="1" outline="0" fieldPosition="0">
        <references count="3">
          <reference field="0" count="1" selected="0">
            <x v="52"/>
          </reference>
          <reference field="1" count="1" selected="0">
            <x v="11"/>
          </reference>
          <reference field="3" count="1">
            <x v="0"/>
          </reference>
        </references>
      </pivotArea>
    </format>
    <format dxfId="539">
      <pivotArea dataOnly="0" labelOnly="1" outline="0" fieldPosition="0">
        <references count="3">
          <reference field="0" count="1" selected="0">
            <x v="53"/>
          </reference>
          <reference field="1" count="1" selected="0">
            <x v="6"/>
          </reference>
          <reference field="3" count="1">
            <x v="7"/>
          </reference>
        </references>
      </pivotArea>
    </format>
    <format dxfId="538">
      <pivotArea dataOnly="0" labelOnly="1" outline="0" fieldPosition="0">
        <references count="3">
          <reference field="0" count="1" selected="0">
            <x v="54"/>
          </reference>
          <reference field="1" count="1" selected="0">
            <x v="1"/>
          </reference>
          <reference field="3" count="1">
            <x v="0"/>
          </reference>
        </references>
      </pivotArea>
    </format>
    <format dxfId="537">
      <pivotArea dataOnly="0" labelOnly="1" outline="0" fieldPosition="0">
        <references count="3">
          <reference field="0" count="1" selected="0">
            <x v="55"/>
          </reference>
          <reference field="1" count="1" selected="0">
            <x v="15"/>
          </reference>
          <reference field="3" count="1">
            <x v="7"/>
          </reference>
        </references>
      </pivotArea>
    </format>
    <format dxfId="536">
      <pivotArea dataOnly="0" labelOnly="1" outline="0" fieldPosition="0">
        <references count="3">
          <reference field="0" count="1" selected="0">
            <x v="56"/>
          </reference>
          <reference field="1" count="1" selected="0">
            <x v="16"/>
          </reference>
          <reference field="3" count="1">
            <x v="2"/>
          </reference>
        </references>
      </pivotArea>
    </format>
    <format dxfId="535">
      <pivotArea dataOnly="0" labelOnly="1" outline="0" fieldPosition="0">
        <references count="3">
          <reference field="0" count="1" selected="0">
            <x v="57"/>
          </reference>
          <reference field="1" count="1" selected="0">
            <x v="19"/>
          </reference>
          <reference field="3" count="1">
            <x v="7"/>
          </reference>
        </references>
      </pivotArea>
    </format>
    <format dxfId="534">
      <pivotArea dataOnly="0" labelOnly="1" outline="0" fieldPosition="0">
        <references count="3">
          <reference field="0" count="1" selected="0">
            <x v="58"/>
          </reference>
          <reference field="1" count="1" selected="0">
            <x v="2"/>
          </reference>
          <reference field="3" count="1">
            <x v="9"/>
          </reference>
        </references>
      </pivotArea>
    </format>
    <format dxfId="533">
      <pivotArea dataOnly="0" labelOnly="1" outline="0" fieldPosition="0">
        <references count="3">
          <reference field="0" count="1" selected="0">
            <x v="59"/>
          </reference>
          <reference field="1" count="1" selected="0">
            <x v="3"/>
          </reference>
          <reference field="3" count="1">
            <x v="3"/>
          </reference>
        </references>
      </pivotArea>
    </format>
    <format dxfId="532">
      <pivotArea dataOnly="0" labelOnly="1" outline="0" fieldPosition="0">
        <references count="3">
          <reference field="0" count="1" selected="0">
            <x v="60"/>
          </reference>
          <reference field="1" count="1" selected="0">
            <x v="22"/>
          </reference>
          <reference field="3" count="1">
            <x v="11"/>
          </reference>
        </references>
      </pivotArea>
    </format>
    <format dxfId="531">
      <pivotArea dataOnly="0" labelOnly="1" outline="0" fieldPosition="0">
        <references count="4">
          <reference field="0" count="1" selected="0">
            <x v="0"/>
          </reference>
          <reference field="1" count="1" selected="0">
            <x v="23"/>
          </reference>
          <reference field="3" count="1" selected="0">
            <x v="10"/>
          </reference>
          <reference field="4" count="1">
            <x v="5"/>
          </reference>
        </references>
      </pivotArea>
    </format>
    <format dxfId="530">
      <pivotArea dataOnly="0" labelOnly="1" outline="0" fieldPosition="0">
        <references count="4">
          <reference field="0" count="1" selected="0">
            <x v="7"/>
          </reference>
          <reference field="1" count="1" selected="0">
            <x v="8"/>
          </reference>
          <reference field="3" count="1" selected="0">
            <x v="12"/>
          </reference>
          <reference field="4" count="1">
            <x v="2"/>
          </reference>
        </references>
      </pivotArea>
    </format>
    <format dxfId="529">
      <pivotArea dataOnly="0" labelOnly="1" outline="0" fieldPosition="0">
        <references count="4">
          <reference field="0" count="1" selected="0">
            <x v="12"/>
          </reference>
          <reference field="1" count="1" selected="0">
            <x v="18"/>
          </reference>
          <reference field="3" count="1" selected="0">
            <x v="0"/>
          </reference>
          <reference field="4" count="1">
            <x v="1"/>
          </reference>
        </references>
      </pivotArea>
    </format>
    <format dxfId="528">
      <pivotArea dataOnly="0" labelOnly="1" outline="0" fieldPosition="0">
        <references count="4">
          <reference field="0" count="1" selected="0">
            <x v="22"/>
          </reference>
          <reference field="1" count="1" selected="0">
            <x v="17"/>
          </reference>
          <reference field="3" count="1" selected="0">
            <x v="6"/>
          </reference>
          <reference field="4" count="1">
            <x v="0"/>
          </reference>
        </references>
      </pivotArea>
    </format>
    <format dxfId="527">
      <pivotArea dataOnly="0" labelOnly="1" outline="0" fieldPosition="0">
        <references count="4">
          <reference field="0" count="1" selected="0">
            <x v="28"/>
          </reference>
          <reference field="1" count="1" selected="0">
            <x v="13"/>
          </reference>
          <reference field="3" count="1" selected="0">
            <x v="5"/>
          </reference>
          <reference field="4" count="1">
            <x v="2"/>
          </reference>
        </references>
      </pivotArea>
    </format>
    <format dxfId="526">
      <pivotArea dataOnly="0" labelOnly="1" outline="0" fieldPosition="0">
        <references count="4">
          <reference field="0" count="1" selected="0">
            <x v="32"/>
          </reference>
          <reference field="1" count="1" selected="0">
            <x v="7"/>
          </reference>
          <reference field="3" count="1" selected="0">
            <x v="7"/>
          </reference>
          <reference field="4" count="1">
            <x v="3"/>
          </reference>
        </references>
      </pivotArea>
    </format>
    <format dxfId="525">
      <pivotArea dataOnly="0" labelOnly="1" outline="0" fieldPosition="0">
        <references count="4">
          <reference field="0" count="1" selected="0">
            <x v="38"/>
          </reference>
          <reference field="1" count="1" selected="0">
            <x v="12"/>
          </reference>
          <reference field="3" count="1" selected="0">
            <x v="7"/>
          </reference>
          <reference field="4" count="1">
            <x v="4"/>
          </reference>
        </references>
      </pivotArea>
    </format>
    <format dxfId="524">
      <pivotArea dataOnly="0" labelOnly="1" outline="0" fieldPosition="0">
        <references count="4">
          <reference field="0" count="1" selected="0">
            <x v="45"/>
          </reference>
          <reference field="1" count="1" selected="0">
            <x v="9"/>
          </reference>
          <reference field="3" count="1" selected="0">
            <x v="7"/>
          </reference>
          <reference field="4" count="1">
            <x v="5"/>
          </reference>
        </references>
      </pivotArea>
    </format>
    <format dxfId="523">
      <pivotArea dataOnly="0" labelOnly="1" outline="0" fieldPosition="0">
        <references count="4">
          <reference field="0" count="1" selected="0">
            <x v="46"/>
          </reference>
          <reference field="1" count="1" selected="0">
            <x v="4"/>
          </reference>
          <reference field="3" count="1" selected="0">
            <x v="0"/>
          </reference>
          <reference field="4" count="1">
            <x v="6"/>
          </reference>
        </references>
      </pivotArea>
    </format>
    <format dxfId="522">
      <pivotArea dataOnly="0" labelOnly="1" outline="0" fieldPosition="0">
        <references count="4">
          <reference field="0" count="1" selected="0">
            <x v="47"/>
          </reference>
          <reference field="1" count="1" selected="0">
            <x v="5"/>
          </reference>
          <reference field="3" count="1" selected="0">
            <x v="1"/>
          </reference>
          <reference field="4" count="1">
            <x v="7"/>
          </reference>
        </references>
      </pivotArea>
    </format>
    <format dxfId="521">
      <pivotArea dataOnly="0" labelOnly="1" outline="0" fieldPosition="0">
        <references count="4">
          <reference field="0" count="1" selected="0">
            <x v="49"/>
          </reference>
          <reference field="1" count="1" selected="0">
            <x v="10"/>
          </reference>
          <reference field="3" count="1" selected="0">
            <x v="8"/>
          </reference>
          <reference field="4" count="1">
            <x v="8"/>
          </reference>
        </references>
      </pivotArea>
    </format>
    <format dxfId="520">
      <pivotArea dataOnly="0" labelOnly="1" outline="0" fieldPosition="0">
        <references count="4">
          <reference field="0" count="1" selected="0">
            <x v="50"/>
          </reference>
          <reference field="1" count="1" selected="0">
            <x v="14"/>
          </reference>
          <reference field="3" count="1" selected="0">
            <x v="1"/>
          </reference>
          <reference field="4" count="1">
            <x v="9"/>
          </reference>
        </references>
      </pivotArea>
    </format>
    <format dxfId="519">
      <pivotArea dataOnly="0" labelOnly="1" outline="0" fieldPosition="0">
        <references count="4">
          <reference field="0" count="1" selected="0">
            <x v="51"/>
          </reference>
          <reference field="1" count="1" selected="0">
            <x v="21"/>
          </reference>
          <reference field="3" count="1" selected="0">
            <x v="4"/>
          </reference>
          <reference field="4" count="1">
            <x v="10"/>
          </reference>
        </references>
      </pivotArea>
    </format>
    <format dxfId="518">
      <pivotArea dataOnly="0" labelOnly="1" outline="0" fieldPosition="0">
        <references count="4">
          <reference field="0" count="1" selected="0">
            <x v="52"/>
          </reference>
          <reference field="1" count="1" selected="0">
            <x v="11"/>
          </reference>
          <reference field="3" count="1" selected="0">
            <x v="0"/>
          </reference>
          <reference field="4" count="1">
            <x v="11"/>
          </reference>
        </references>
      </pivotArea>
    </format>
    <format dxfId="517">
      <pivotArea dataOnly="0" labelOnly="1" outline="0" fieldPosition="0">
        <references count="4">
          <reference field="0" count="1" selected="0">
            <x v="54"/>
          </reference>
          <reference field="1" count="1" selected="0">
            <x v="1"/>
          </reference>
          <reference field="3" count="1" selected="0">
            <x v="0"/>
          </reference>
          <reference field="4" count="1">
            <x v="12"/>
          </reference>
        </references>
      </pivotArea>
    </format>
    <format dxfId="516">
      <pivotArea dataOnly="0" labelOnly="1" outline="0" fieldPosition="0">
        <references count="4">
          <reference field="0" count="1" selected="0">
            <x v="55"/>
          </reference>
          <reference field="1" count="1" selected="0">
            <x v="15"/>
          </reference>
          <reference field="3" count="1" selected="0">
            <x v="7"/>
          </reference>
          <reference field="4" count="1">
            <x v="13"/>
          </reference>
        </references>
      </pivotArea>
    </format>
    <format dxfId="515">
      <pivotArea dataOnly="0" labelOnly="1" outline="0" fieldPosition="0">
        <references count="4">
          <reference field="0" count="1" selected="0">
            <x v="56"/>
          </reference>
          <reference field="1" count="1" selected="0">
            <x v="16"/>
          </reference>
          <reference field="3" count="1" selected="0">
            <x v="2"/>
          </reference>
          <reference field="4" count="1">
            <x v="14"/>
          </reference>
        </references>
      </pivotArea>
    </format>
    <format dxfId="514">
      <pivotArea dataOnly="0" labelOnly="1" outline="0" fieldPosition="0">
        <references count="4">
          <reference field="0" count="1" selected="0">
            <x v="57"/>
          </reference>
          <reference field="1" count="1" selected="0">
            <x v="19"/>
          </reference>
          <reference field="3" count="1" selected="0">
            <x v="7"/>
          </reference>
          <reference field="4" count="1">
            <x v="15"/>
          </reference>
        </references>
      </pivotArea>
    </format>
    <format dxfId="513">
      <pivotArea dataOnly="0" labelOnly="1" outline="0" fieldPosition="0">
        <references count="4">
          <reference field="0" count="1" selected="0">
            <x v="58"/>
          </reference>
          <reference field="1" count="1" selected="0">
            <x v="2"/>
          </reference>
          <reference field="3" count="1" selected="0">
            <x v="9"/>
          </reference>
          <reference field="4" count="1">
            <x v="16"/>
          </reference>
        </references>
      </pivotArea>
    </format>
    <format dxfId="512">
      <pivotArea dataOnly="0" labelOnly="1" outline="0" fieldPosition="0">
        <references count="4">
          <reference field="0" count="1" selected="0">
            <x v="59"/>
          </reference>
          <reference field="1" count="1" selected="0">
            <x v="3"/>
          </reference>
          <reference field="3" count="1" selected="0">
            <x v="3"/>
          </reference>
          <reference field="4" count="1">
            <x v="17"/>
          </reference>
        </references>
      </pivotArea>
    </format>
    <format dxfId="511">
      <pivotArea dataOnly="0" labelOnly="1" outline="0" fieldPosition="0">
        <references count="4">
          <reference field="0" count="1" selected="0">
            <x v="60"/>
          </reference>
          <reference field="1" count="1" selected="0">
            <x v="22"/>
          </reference>
          <reference field="3" count="1" selected="0">
            <x v="11"/>
          </reference>
          <reference field="4" count="1">
            <x v="18"/>
          </reference>
        </references>
      </pivotArea>
    </format>
    <format dxfId="510">
      <pivotArea dataOnly="0" labelOnly="1" outline="0" fieldPosition="0">
        <references count="5">
          <reference field="0" count="1" selected="0">
            <x v="0"/>
          </reference>
          <reference field="1" count="1" selected="0">
            <x v="23"/>
          </reference>
          <reference field="3" count="1" selected="0">
            <x v="10"/>
          </reference>
          <reference field="4" count="1" selected="0">
            <x v="5"/>
          </reference>
          <reference field="5" count="1">
            <x v="0"/>
          </reference>
        </references>
      </pivotArea>
    </format>
    <format dxfId="509">
      <pivotArea dataOnly="0" labelOnly="1" outline="0" fieldPosition="0">
        <references count="5">
          <reference field="0" count="1" selected="0">
            <x v="7"/>
          </reference>
          <reference field="1" count="1" selected="0">
            <x v="8"/>
          </reference>
          <reference field="3" count="1" selected="0">
            <x v="12"/>
          </reference>
          <reference field="4" count="1" selected="0">
            <x v="2"/>
          </reference>
          <reference field="5" count="1">
            <x v="1"/>
          </reference>
        </references>
      </pivotArea>
    </format>
    <format dxfId="508">
      <pivotArea dataOnly="0" labelOnly="1" outline="0" fieldPosition="0">
        <references count="5">
          <reference field="0" count="1" selected="0">
            <x v="12"/>
          </reference>
          <reference field="1" count="1" selected="0">
            <x v="18"/>
          </reference>
          <reference field="3" count="1" selected="0">
            <x v="0"/>
          </reference>
          <reference field="4" count="1" selected="0">
            <x v="1"/>
          </reference>
          <reference field="5" count="1">
            <x v="2"/>
          </reference>
        </references>
      </pivotArea>
    </format>
    <format dxfId="507">
      <pivotArea dataOnly="0" labelOnly="1" outline="0" fieldPosition="0">
        <references count="5">
          <reference field="0" count="1" selected="0">
            <x v="22"/>
          </reference>
          <reference field="1" count="1" selected="0">
            <x v="17"/>
          </reference>
          <reference field="3" count="1" selected="0">
            <x v="6"/>
          </reference>
          <reference field="4" count="1" selected="0">
            <x v="0"/>
          </reference>
          <reference field="5" count="1">
            <x v="1"/>
          </reference>
        </references>
      </pivotArea>
    </format>
    <format dxfId="506">
      <pivotArea dataOnly="0" labelOnly="1" outline="0" fieldPosition="0">
        <references count="5">
          <reference field="0" count="1" selected="0">
            <x v="28"/>
          </reference>
          <reference field="1" count="1" selected="0">
            <x v="13"/>
          </reference>
          <reference field="3" count="1" selected="0">
            <x v="5"/>
          </reference>
          <reference field="4" count="1" selected="0">
            <x v="2"/>
          </reference>
          <reference field="5" count="1">
            <x v="3"/>
          </reference>
        </references>
      </pivotArea>
    </format>
    <format dxfId="505">
      <pivotArea dataOnly="0" labelOnly="1" outline="0" fieldPosition="0">
        <references count="5">
          <reference field="0" count="1" selected="0">
            <x v="38"/>
          </reference>
          <reference field="1" count="1" selected="0">
            <x v="12"/>
          </reference>
          <reference field="3" count="1" selected="0">
            <x v="7"/>
          </reference>
          <reference field="4" count="1" selected="0">
            <x v="4"/>
          </reference>
          <reference field="5" count="1">
            <x v="1"/>
          </reference>
        </references>
      </pivotArea>
    </format>
    <format dxfId="504">
      <pivotArea dataOnly="0" labelOnly="1" outline="0" fieldPosition="0">
        <references count="5">
          <reference field="0" count="1" selected="0">
            <x v="40"/>
          </reference>
          <reference field="1" count="1" selected="0">
            <x v="0"/>
          </reference>
          <reference field="3" count="1" selected="0">
            <x v="7"/>
          </reference>
          <reference field="4" count="1" selected="0">
            <x v="4"/>
          </reference>
          <reference field="5" count="1">
            <x v="3"/>
          </reference>
        </references>
      </pivotArea>
    </format>
    <format dxfId="503">
      <pivotArea dataOnly="0" labelOnly="1" outline="0" fieldPosition="0">
        <references count="5">
          <reference field="0" count="1" selected="0">
            <x v="45"/>
          </reference>
          <reference field="1" count="1" selected="0">
            <x v="9"/>
          </reference>
          <reference field="3" count="1" selected="0">
            <x v="7"/>
          </reference>
          <reference field="4" count="1" selected="0">
            <x v="5"/>
          </reference>
          <reference field="5" count="1">
            <x v="1"/>
          </reference>
        </references>
      </pivotArea>
    </format>
    <format dxfId="502">
      <pivotArea dataOnly="0" labelOnly="1" outline="0" fieldPosition="0">
        <references count="5">
          <reference field="0" count="1" selected="0">
            <x v="46"/>
          </reference>
          <reference field="1" count="1" selected="0">
            <x v="4"/>
          </reference>
          <reference field="3" count="1" selected="0">
            <x v="0"/>
          </reference>
          <reference field="4" count="1" selected="0">
            <x v="6"/>
          </reference>
          <reference field="5" count="1">
            <x v="3"/>
          </reference>
        </references>
      </pivotArea>
    </format>
    <format dxfId="501">
      <pivotArea dataOnly="0" labelOnly="1" outline="0" fieldPosition="0">
        <references count="5">
          <reference field="0" count="1" selected="0">
            <x v="47"/>
          </reference>
          <reference field="1" count="1" selected="0">
            <x v="5"/>
          </reference>
          <reference field="3" count="1" selected="0">
            <x v="1"/>
          </reference>
          <reference field="4" count="1" selected="0">
            <x v="7"/>
          </reference>
          <reference field="5" count="1">
            <x v="2"/>
          </reference>
        </references>
      </pivotArea>
    </format>
    <format dxfId="500">
      <pivotArea dataOnly="0" labelOnly="1" outline="0" fieldPosition="0">
        <references count="5">
          <reference field="0" count="1" selected="0">
            <x v="49"/>
          </reference>
          <reference field="1" count="1" selected="0">
            <x v="10"/>
          </reference>
          <reference field="3" count="1" selected="0">
            <x v="8"/>
          </reference>
          <reference field="4" count="1" selected="0">
            <x v="8"/>
          </reference>
          <reference field="5" count="1">
            <x v="0"/>
          </reference>
        </references>
      </pivotArea>
    </format>
    <format dxfId="499">
      <pivotArea dataOnly="0" labelOnly="1" outline="0" fieldPosition="0">
        <references count="5">
          <reference field="0" count="1" selected="0">
            <x v="50"/>
          </reference>
          <reference field="1" count="1" selected="0">
            <x v="14"/>
          </reference>
          <reference field="3" count="1" selected="0">
            <x v="1"/>
          </reference>
          <reference field="4" count="1" selected="0">
            <x v="9"/>
          </reference>
          <reference field="5" count="1">
            <x v="2"/>
          </reference>
        </references>
      </pivotArea>
    </format>
    <format dxfId="498">
      <pivotArea dataOnly="0" labelOnly="1" outline="0" fieldPosition="0">
        <references count="5">
          <reference field="0" count="1" selected="0">
            <x v="51"/>
          </reference>
          <reference field="1" count="1" selected="0">
            <x v="21"/>
          </reference>
          <reference field="3" count="1" selected="0">
            <x v="4"/>
          </reference>
          <reference field="4" count="1" selected="0">
            <x v="10"/>
          </reference>
          <reference field="5" count="1">
            <x v="4"/>
          </reference>
        </references>
      </pivotArea>
    </format>
    <format dxfId="497">
      <pivotArea dataOnly="0" labelOnly="1" outline="0" fieldPosition="0">
        <references count="5">
          <reference field="0" count="1" selected="0">
            <x v="52"/>
          </reference>
          <reference field="1" count="1" selected="0">
            <x v="11"/>
          </reference>
          <reference field="3" count="1" selected="0">
            <x v="0"/>
          </reference>
          <reference field="4" count="1" selected="0">
            <x v="11"/>
          </reference>
          <reference field="5" count="1">
            <x v="1"/>
          </reference>
        </references>
      </pivotArea>
    </format>
    <format dxfId="496">
      <pivotArea dataOnly="0" labelOnly="1" outline="0" fieldPosition="0">
        <references count="5">
          <reference field="0" count="1" selected="0">
            <x v="55"/>
          </reference>
          <reference field="1" count="1" selected="0">
            <x v="15"/>
          </reference>
          <reference field="3" count="1" selected="0">
            <x v="7"/>
          </reference>
          <reference field="4" count="1" selected="0">
            <x v="13"/>
          </reference>
          <reference field="5" count="1">
            <x v="3"/>
          </reference>
        </references>
      </pivotArea>
    </format>
    <format dxfId="495">
      <pivotArea dataOnly="0" labelOnly="1" outline="0" fieldPosition="0">
        <references count="5">
          <reference field="0" count="1" selected="0">
            <x v="56"/>
          </reference>
          <reference field="1" count="1" selected="0">
            <x v="16"/>
          </reference>
          <reference field="3" count="1" selected="0">
            <x v="2"/>
          </reference>
          <reference field="4" count="1" selected="0">
            <x v="14"/>
          </reference>
          <reference field="5" count="1">
            <x v="1"/>
          </reference>
        </references>
      </pivotArea>
    </format>
    <format dxfId="494">
      <pivotArea dataOnly="0" labelOnly="1" outline="0" fieldPosition="0">
        <references count="5">
          <reference field="0" count="1" selected="0">
            <x v="57"/>
          </reference>
          <reference field="1" count="1" selected="0">
            <x v="19"/>
          </reference>
          <reference field="3" count="1" selected="0">
            <x v="7"/>
          </reference>
          <reference field="4" count="1" selected="0">
            <x v="15"/>
          </reference>
          <reference field="5" count="1">
            <x v="5"/>
          </reference>
        </references>
      </pivotArea>
    </format>
    <format dxfId="493">
      <pivotArea dataOnly="0" labelOnly="1" outline="0" fieldPosition="0">
        <references count="5">
          <reference field="0" count="1" selected="0">
            <x v="58"/>
          </reference>
          <reference field="1" count="1" selected="0">
            <x v="2"/>
          </reference>
          <reference field="3" count="1" selected="0">
            <x v="9"/>
          </reference>
          <reference field="4" count="1" selected="0">
            <x v="16"/>
          </reference>
          <reference field="5" count="1">
            <x v="1"/>
          </reference>
        </references>
      </pivotArea>
    </format>
    <format dxfId="492">
      <pivotArea dataOnly="0" labelOnly="1" outline="0" fieldPosition="0">
        <references count="5">
          <reference field="0" count="1" selected="0">
            <x v="60"/>
          </reference>
          <reference field="1" count="1" selected="0">
            <x v="22"/>
          </reference>
          <reference field="3" count="1" selected="0">
            <x v="11"/>
          </reference>
          <reference field="4" count="1" selected="0">
            <x v="18"/>
          </reference>
          <reference field="5" count="1">
            <x v="5"/>
          </reference>
        </references>
      </pivotArea>
    </format>
    <format dxfId="491">
      <pivotArea dataOnly="0" labelOnly="1" outline="0" fieldPosition="0">
        <references count="6">
          <reference field="0" count="1" selected="0">
            <x v="0"/>
          </reference>
          <reference field="1" count="1" selected="0">
            <x v="23"/>
          </reference>
          <reference field="3" count="1" selected="0">
            <x v="10"/>
          </reference>
          <reference field="4" count="1" selected="0">
            <x v="5"/>
          </reference>
          <reference field="5" count="1" selected="0">
            <x v="0"/>
          </reference>
          <reference field="6" count="1">
            <x v="18"/>
          </reference>
        </references>
      </pivotArea>
    </format>
    <format dxfId="490">
      <pivotArea dataOnly="0" labelOnly="1" outline="0" fieldPosition="0">
        <references count="6">
          <reference field="0" count="1" selected="0">
            <x v="7"/>
          </reference>
          <reference field="1" count="1" selected="0">
            <x v="8"/>
          </reference>
          <reference field="3" count="1" selected="0">
            <x v="12"/>
          </reference>
          <reference field="4" count="1" selected="0">
            <x v="2"/>
          </reference>
          <reference field="5" count="1" selected="0">
            <x v="1"/>
          </reference>
          <reference field="6" count="1">
            <x v="3"/>
          </reference>
        </references>
      </pivotArea>
    </format>
    <format dxfId="489">
      <pivotArea dataOnly="0" labelOnly="1" outline="0" fieldPosition="0">
        <references count="6">
          <reference field="0" count="1" selected="0">
            <x v="12"/>
          </reference>
          <reference field="1" count="1" selected="0">
            <x v="18"/>
          </reference>
          <reference field="3" count="1" selected="0">
            <x v="0"/>
          </reference>
          <reference field="4" count="1" selected="0">
            <x v="1"/>
          </reference>
          <reference field="5" count="1" selected="0">
            <x v="2"/>
          </reference>
          <reference field="6" count="1">
            <x v="2"/>
          </reference>
        </references>
      </pivotArea>
    </format>
    <format dxfId="488">
      <pivotArea dataOnly="0" labelOnly="1" outline="0" fieldPosition="0">
        <references count="6">
          <reference field="0" count="1" selected="0">
            <x v="22"/>
          </reference>
          <reference field="1" count="1" selected="0">
            <x v="17"/>
          </reference>
          <reference field="3" count="1" selected="0">
            <x v="6"/>
          </reference>
          <reference field="4" count="1" selected="0">
            <x v="0"/>
          </reference>
          <reference field="5" count="1" selected="0">
            <x v="1"/>
          </reference>
          <reference field="6" count="1">
            <x v="1"/>
          </reference>
        </references>
      </pivotArea>
    </format>
    <format dxfId="487">
      <pivotArea dataOnly="0" labelOnly="1" outline="0" fieldPosition="0">
        <references count="6">
          <reference field="0" count="1" selected="0">
            <x v="28"/>
          </reference>
          <reference field="1" count="1" selected="0">
            <x v="13"/>
          </reference>
          <reference field="3" count="1" selected="0">
            <x v="5"/>
          </reference>
          <reference field="4" count="1" selected="0">
            <x v="2"/>
          </reference>
          <reference field="5" count="1" selected="0">
            <x v="3"/>
          </reference>
          <reference field="6" count="1">
            <x v="0"/>
          </reference>
        </references>
      </pivotArea>
    </format>
    <format dxfId="486">
      <pivotArea dataOnly="0" labelOnly="1" outline="0" fieldPosition="0">
        <references count="6">
          <reference field="0" count="1" selected="0">
            <x v="32"/>
          </reference>
          <reference field="1" count="1" selected="0">
            <x v="7"/>
          </reference>
          <reference field="3" count="1" selected="0">
            <x v="7"/>
          </reference>
          <reference field="4" count="1" selected="0">
            <x v="3"/>
          </reference>
          <reference field="5" count="1" selected="0">
            <x v="3"/>
          </reference>
          <reference field="6" count="1">
            <x v="3"/>
          </reference>
        </references>
      </pivotArea>
    </format>
    <format dxfId="485">
      <pivotArea dataOnly="0" labelOnly="1" outline="0" fieldPosition="0">
        <references count="6">
          <reference field="0" count="1" selected="0">
            <x v="38"/>
          </reference>
          <reference field="1" count="1" selected="0">
            <x v="12"/>
          </reference>
          <reference field="3" count="1" selected="0">
            <x v="7"/>
          </reference>
          <reference field="4" count="1" selected="0">
            <x v="4"/>
          </reference>
          <reference field="5" count="1" selected="0">
            <x v="1"/>
          </reference>
          <reference field="6" count="1">
            <x v="4"/>
          </reference>
        </references>
      </pivotArea>
    </format>
    <format dxfId="484">
      <pivotArea dataOnly="0" labelOnly="1" outline="0" fieldPosition="0">
        <references count="6">
          <reference field="0" count="1" selected="0">
            <x v="40"/>
          </reference>
          <reference field="1" count="1" selected="0">
            <x v="0"/>
          </reference>
          <reference field="3" count="1" selected="0">
            <x v="7"/>
          </reference>
          <reference field="4" count="1" selected="0">
            <x v="4"/>
          </reference>
          <reference field="5" count="1" selected="0">
            <x v="3"/>
          </reference>
          <reference field="6" count="1">
            <x v="5"/>
          </reference>
        </references>
      </pivotArea>
    </format>
    <format dxfId="483">
      <pivotArea dataOnly="0" labelOnly="1" outline="0" fieldPosition="0">
        <references count="6">
          <reference field="0" count="1" selected="0">
            <x v="45"/>
          </reference>
          <reference field="1" count="1" selected="0">
            <x v="9"/>
          </reference>
          <reference field="3" count="1" selected="0">
            <x v="7"/>
          </reference>
          <reference field="4" count="1" selected="0">
            <x v="5"/>
          </reference>
          <reference field="5" count="1" selected="0">
            <x v="1"/>
          </reference>
          <reference field="6" count="1">
            <x v="6"/>
          </reference>
        </references>
      </pivotArea>
    </format>
    <format dxfId="482">
      <pivotArea dataOnly="0" labelOnly="1" outline="0" fieldPosition="0">
        <references count="6">
          <reference field="0" count="1" selected="0">
            <x v="47"/>
          </reference>
          <reference field="1" count="1" selected="0">
            <x v="5"/>
          </reference>
          <reference field="3" count="1" selected="0">
            <x v="1"/>
          </reference>
          <reference field="4" count="1" selected="0">
            <x v="7"/>
          </reference>
          <reference field="5" count="1" selected="0">
            <x v="2"/>
          </reference>
          <reference field="6" count="1">
            <x v="7"/>
          </reference>
        </references>
      </pivotArea>
    </format>
    <format dxfId="481">
      <pivotArea dataOnly="0" labelOnly="1" outline="0" fieldPosition="0">
        <references count="6">
          <reference field="0" count="1" selected="0">
            <x v="49"/>
          </reference>
          <reference field="1" count="1" selected="0">
            <x v="10"/>
          </reference>
          <reference field="3" count="1" selected="0">
            <x v="8"/>
          </reference>
          <reference field="4" count="1" selected="0">
            <x v="8"/>
          </reference>
          <reference field="5" count="1" selected="0">
            <x v="0"/>
          </reference>
          <reference field="6" count="1">
            <x v="8"/>
          </reference>
        </references>
      </pivotArea>
    </format>
    <format dxfId="480">
      <pivotArea dataOnly="0" labelOnly="1" outline="0" fieldPosition="0">
        <references count="6">
          <reference field="0" count="1" selected="0">
            <x v="50"/>
          </reference>
          <reference field="1" count="1" selected="0">
            <x v="14"/>
          </reference>
          <reference field="3" count="1" selected="0">
            <x v="1"/>
          </reference>
          <reference field="4" count="1" selected="0">
            <x v="9"/>
          </reference>
          <reference field="5" count="1" selected="0">
            <x v="2"/>
          </reference>
          <reference field="6" count="1">
            <x v="9"/>
          </reference>
        </references>
      </pivotArea>
    </format>
    <format dxfId="479">
      <pivotArea dataOnly="0" labelOnly="1" outline="0" fieldPosition="0">
        <references count="6">
          <reference field="0" count="1" selected="0">
            <x v="51"/>
          </reference>
          <reference field="1" count="1" selected="0">
            <x v="21"/>
          </reference>
          <reference field="3" count="1" selected="0">
            <x v="4"/>
          </reference>
          <reference field="4" count="1" selected="0">
            <x v="10"/>
          </reference>
          <reference field="5" count="1" selected="0">
            <x v="4"/>
          </reference>
          <reference field="6" count="1">
            <x v="10"/>
          </reference>
        </references>
      </pivotArea>
    </format>
    <format dxfId="478">
      <pivotArea dataOnly="0" labelOnly="1" outline="0" fieldPosition="0">
        <references count="6">
          <reference field="0" count="1" selected="0">
            <x v="52"/>
          </reference>
          <reference field="1" count="1" selected="0">
            <x v="11"/>
          </reference>
          <reference field="3" count="1" selected="0">
            <x v="0"/>
          </reference>
          <reference field="4" count="1" selected="0">
            <x v="11"/>
          </reference>
          <reference field="5" count="1" selected="0">
            <x v="1"/>
          </reference>
          <reference field="6" count="1">
            <x v="11"/>
          </reference>
        </references>
      </pivotArea>
    </format>
    <format dxfId="477">
      <pivotArea dataOnly="0" labelOnly="1" outline="0" fieldPosition="0">
        <references count="6">
          <reference field="0" count="1" selected="0">
            <x v="54"/>
          </reference>
          <reference field="1" count="1" selected="0">
            <x v="1"/>
          </reference>
          <reference field="3" count="1" selected="0">
            <x v="0"/>
          </reference>
          <reference field="4" count="1" selected="0">
            <x v="12"/>
          </reference>
          <reference field="5" count="1" selected="0">
            <x v="1"/>
          </reference>
          <reference field="6" count="1">
            <x v="12"/>
          </reference>
        </references>
      </pivotArea>
    </format>
    <format dxfId="476">
      <pivotArea dataOnly="0" labelOnly="1" outline="0" fieldPosition="0">
        <references count="6">
          <reference field="0" count="1" selected="0">
            <x v="56"/>
          </reference>
          <reference field="1" count="1" selected="0">
            <x v="16"/>
          </reference>
          <reference field="3" count="1" selected="0">
            <x v="2"/>
          </reference>
          <reference field="4" count="1" selected="0">
            <x v="14"/>
          </reference>
          <reference field="5" count="1" selected="0">
            <x v="1"/>
          </reference>
          <reference field="6" count="1">
            <x v="13"/>
          </reference>
        </references>
      </pivotArea>
    </format>
    <format dxfId="475">
      <pivotArea dataOnly="0" labelOnly="1" outline="0" fieldPosition="0">
        <references count="6">
          <reference field="0" count="1" selected="0">
            <x v="58"/>
          </reference>
          <reference field="1" count="1" selected="0">
            <x v="2"/>
          </reference>
          <reference field="3" count="1" selected="0">
            <x v="9"/>
          </reference>
          <reference field="4" count="1" selected="0">
            <x v="16"/>
          </reference>
          <reference field="5" count="1" selected="0">
            <x v="1"/>
          </reference>
          <reference field="6" count="1">
            <x v="14"/>
          </reference>
        </references>
      </pivotArea>
    </format>
    <format dxfId="474">
      <pivotArea dataOnly="0" labelOnly="1" outline="0" fieldPosition="0">
        <references count="6">
          <reference field="0" count="1" selected="0">
            <x v="59"/>
          </reference>
          <reference field="1" count="1" selected="0">
            <x v="3"/>
          </reference>
          <reference field="3" count="1" selected="0">
            <x v="3"/>
          </reference>
          <reference field="4" count="1" selected="0">
            <x v="17"/>
          </reference>
          <reference field="5" count="1" selected="0">
            <x v="1"/>
          </reference>
          <reference field="6" count="1">
            <x v="15"/>
          </reference>
        </references>
      </pivotArea>
    </format>
    <format dxfId="473">
      <pivotArea dataOnly="0" labelOnly="1" outline="0" fieldPosition="0">
        <references count="6">
          <reference field="0" count="1" selected="0">
            <x v="60"/>
          </reference>
          <reference field="1" count="1" selected="0">
            <x v="22"/>
          </reference>
          <reference field="3" count="1" selected="0">
            <x v="11"/>
          </reference>
          <reference field="4" count="1" selected="0">
            <x v="18"/>
          </reference>
          <reference field="5" count="1" selected="0">
            <x v="5"/>
          </reference>
          <reference field="6" count="1">
            <x v="16"/>
          </reference>
        </references>
      </pivotArea>
    </format>
    <format dxfId="472">
      <pivotArea dataOnly="0" labelOnly="1" outline="0" fieldPosition="0">
        <references count="7">
          <reference field="0" count="1" selected="0">
            <x v="0"/>
          </reference>
          <reference field="1" count="1" selected="0">
            <x v="23"/>
          </reference>
          <reference field="3" count="1" selected="0">
            <x v="10"/>
          </reference>
          <reference field="4" count="1" selected="0">
            <x v="5"/>
          </reference>
          <reference field="5" count="1" selected="0">
            <x v="0"/>
          </reference>
          <reference field="6" count="1" selected="0">
            <x v="18"/>
          </reference>
          <reference field="7" count="1">
            <x v="3"/>
          </reference>
        </references>
      </pivotArea>
    </format>
    <format dxfId="471">
      <pivotArea dataOnly="0" labelOnly="1" outline="0" fieldPosition="0">
        <references count="7">
          <reference field="0" count="1" selected="0">
            <x v="7"/>
          </reference>
          <reference field="1" count="1" selected="0">
            <x v="8"/>
          </reference>
          <reference field="3" count="1" selected="0">
            <x v="12"/>
          </reference>
          <reference field="4" count="1" selected="0">
            <x v="2"/>
          </reference>
          <reference field="5" count="1" selected="0">
            <x v="1"/>
          </reference>
          <reference field="6" count="1" selected="0">
            <x v="3"/>
          </reference>
          <reference field="7" count="1">
            <x v="4"/>
          </reference>
        </references>
      </pivotArea>
    </format>
    <format dxfId="470">
      <pivotArea dataOnly="0" labelOnly="1" outline="0" fieldPosition="0">
        <references count="7">
          <reference field="0" count="1" selected="0">
            <x v="12"/>
          </reference>
          <reference field="1" count="1" selected="0">
            <x v="18"/>
          </reference>
          <reference field="3" count="1" selected="0">
            <x v="0"/>
          </reference>
          <reference field="4" count="1" selected="0">
            <x v="1"/>
          </reference>
          <reference field="5" count="1" selected="0">
            <x v="2"/>
          </reference>
          <reference field="6" count="1" selected="0">
            <x v="2"/>
          </reference>
          <reference field="7" count="1">
            <x v="1"/>
          </reference>
        </references>
      </pivotArea>
    </format>
    <format dxfId="469">
      <pivotArea dataOnly="0" labelOnly="1" outline="0" fieldPosition="0">
        <references count="7">
          <reference field="0" count="1" selected="0">
            <x v="22"/>
          </reference>
          <reference field="1" count="1" selected="0">
            <x v="17"/>
          </reference>
          <reference field="3" count="1" selected="0">
            <x v="6"/>
          </reference>
          <reference field="4" count="1" selected="0">
            <x v="0"/>
          </reference>
          <reference field="5" count="1" selected="0">
            <x v="1"/>
          </reference>
          <reference field="6" count="1" selected="0">
            <x v="1"/>
          </reference>
          <reference field="7" count="1">
            <x v="0"/>
          </reference>
        </references>
      </pivotArea>
    </format>
    <format dxfId="468">
      <pivotArea dataOnly="0" labelOnly="1" outline="0" fieldPosition="0">
        <references count="7">
          <reference field="0" count="1" selected="0">
            <x v="32"/>
          </reference>
          <reference field="1" count="1" selected="0">
            <x v="7"/>
          </reference>
          <reference field="3" count="1" selected="0">
            <x v="7"/>
          </reference>
          <reference field="4" count="1" selected="0">
            <x v="3"/>
          </reference>
          <reference field="5" count="1" selected="0">
            <x v="3"/>
          </reference>
          <reference field="6" count="1" selected="0">
            <x v="3"/>
          </reference>
          <reference field="7" count="1">
            <x v="2"/>
          </reference>
        </references>
      </pivotArea>
    </format>
    <format dxfId="467">
      <pivotArea dataOnly="0" labelOnly="1" outline="0" fieldPosition="0">
        <references count="7">
          <reference field="0" count="1" selected="0">
            <x v="38"/>
          </reference>
          <reference field="1" count="1" selected="0">
            <x v="12"/>
          </reference>
          <reference field="3" count="1" selected="0">
            <x v="7"/>
          </reference>
          <reference field="4" count="1" selected="0">
            <x v="4"/>
          </reference>
          <reference field="5" count="1" selected="0">
            <x v="1"/>
          </reference>
          <reference field="6" count="1" selected="0">
            <x v="4"/>
          </reference>
          <reference field="7" count="1">
            <x v="1"/>
          </reference>
        </references>
      </pivotArea>
    </format>
    <format dxfId="466">
      <pivotArea dataOnly="0" labelOnly="1" outline="0" fieldPosition="0">
        <references count="7">
          <reference field="0" count="1" selected="0">
            <x v="40"/>
          </reference>
          <reference field="1" count="1" selected="0">
            <x v="0"/>
          </reference>
          <reference field="3" count="1" selected="0">
            <x v="7"/>
          </reference>
          <reference field="4" count="1" selected="0">
            <x v="4"/>
          </reference>
          <reference field="5" count="1" selected="0">
            <x v="3"/>
          </reference>
          <reference field="6" count="1" selected="0">
            <x v="5"/>
          </reference>
          <reference field="7" count="1">
            <x v="2"/>
          </reference>
        </references>
      </pivotArea>
    </format>
    <format dxfId="465">
      <pivotArea dataOnly="0" labelOnly="1" outline="0" fieldPosition="0">
        <references count="7">
          <reference field="0" count="1" selected="0">
            <x v="45"/>
          </reference>
          <reference field="1" count="1" selected="0">
            <x v="9"/>
          </reference>
          <reference field="3" count="1" selected="0">
            <x v="7"/>
          </reference>
          <reference field="4" count="1" selected="0">
            <x v="5"/>
          </reference>
          <reference field="5" count="1" selected="0">
            <x v="1"/>
          </reference>
          <reference field="6" count="1" selected="0">
            <x v="6"/>
          </reference>
          <reference field="7" count="1">
            <x v="0"/>
          </reference>
        </references>
      </pivotArea>
    </format>
    <format dxfId="464">
      <pivotArea dataOnly="0" labelOnly="1" outline="0" fieldPosition="0">
        <references count="7">
          <reference field="0" count="1" selected="0">
            <x v="46"/>
          </reference>
          <reference field="1" count="1" selected="0">
            <x v="4"/>
          </reference>
          <reference field="3" count="1" selected="0">
            <x v="0"/>
          </reference>
          <reference field="4" count="1" selected="0">
            <x v="6"/>
          </reference>
          <reference field="5" count="1" selected="0">
            <x v="3"/>
          </reference>
          <reference field="6" count="1" selected="0">
            <x v="6"/>
          </reference>
          <reference field="7" count="1">
            <x v="2"/>
          </reference>
        </references>
      </pivotArea>
    </format>
    <format dxfId="463">
      <pivotArea dataOnly="0" labelOnly="1" outline="0" fieldPosition="0">
        <references count="7">
          <reference field="0" count="1" selected="0">
            <x v="47"/>
          </reference>
          <reference field="1" count="1" selected="0">
            <x v="5"/>
          </reference>
          <reference field="3" count="1" selected="0">
            <x v="1"/>
          </reference>
          <reference field="4" count="1" selected="0">
            <x v="7"/>
          </reference>
          <reference field="5" count="1" selected="0">
            <x v="2"/>
          </reference>
          <reference field="6" count="1" selected="0">
            <x v="7"/>
          </reference>
          <reference field="7" count="1">
            <x v="4"/>
          </reference>
        </references>
      </pivotArea>
    </format>
    <format dxfId="462">
      <pivotArea dataOnly="0" labelOnly="1" outline="0" fieldPosition="0">
        <references count="7">
          <reference field="0" count="1" selected="0">
            <x v="48"/>
          </reference>
          <reference field="1" count="1" selected="0">
            <x v="20"/>
          </reference>
          <reference field="3" count="1" selected="0">
            <x v="8"/>
          </reference>
          <reference field="4" count="1" selected="0">
            <x v="7"/>
          </reference>
          <reference field="5" count="1" selected="0">
            <x v="2"/>
          </reference>
          <reference field="6" count="1" selected="0">
            <x v="7"/>
          </reference>
          <reference field="7" count="1">
            <x v="2"/>
          </reference>
        </references>
      </pivotArea>
    </format>
    <format dxfId="461">
      <pivotArea dataOnly="0" labelOnly="1" outline="0" fieldPosition="0">
        <references count="7">
          <reference field="0" count="1" selected="0">
            <x v="49"/>
          </reference>
          <reference field="1" count="1" selected="0">
            <x v="10"/>
          </reference>
          <reference field="3" count="1" selected="0">
            <x v="8"/>
          </reference>
          <reference field="4" count="1" selected="0">
            <x v="8"/>
          </reference>
          <reference field="5" count="1" selected="0">
            <x v="0"/>
          </reference>
          <reference field="6" count="1" selected="0">
            <x v="8"/>
          </reference>
          <reference field="7" count="1">
            <x v="4"/>
          </reference>
        </references>
      </pivotArea>
    </format>
    <format dxfId="460">
      <pivotArea dataOnly="0" labelOnly="1" outline="0" fieldPosition="0">
        <references count="7">
          <reference field="0" count="1" selected="0">
            <x v="50"/>
          </reference>
          <reference field="1" count="1" selected="0">
            <x v="14"/>
          </reference>
          <reference field="3" count="1" selected="0">
            <x v="1"/>
          </reference>
          <reference field="4" count="1" selected="0">
            <x v="9"/>
          </reference>
          <reference field="5" count="1" selected="0">
            <x v="2"/>
          </reference>
          <reference field="6" count="1" selected="0">
            <x v="9"/>
          </reference>
          <reference field="7" count="1">
            <x v="3"/>
          </reference>
        </references>
      </pivotArea>
    </format>
    <format dxfId="459">
      <pivotArea dataOnly="0" labelOnly="1" outline="0" fieldPosition="0">
        <references count="7">
          <reference field="0" count="1" selected="0">
            <x v="51"/>
          </reference>
          <reference field="1" count="1" selected="0">
            <x v="21"/>
          </reference>
          <reference field="3" count="1" selected="0">
            <x v="4"/>
          </reference>
          <reference field="4" count="1" selected="0">
            <x v="10"/>
          </reference>
          <reference field="5" count="1" selected="0">
            <x v="4"/>
          </reference>
          <reference field="6" count="1" selected="0">
            <x v="10"/>
          </reference>
          <reference field="7" count="1">
            <x v="4"/>
          </reference>
        </references>
      </pivotArea>
    </format>
    <format dxfId="458">
      <pivotArea dataOnly="0" labelOnly="1" outline="0" fieldPosition="0">
        <references count="7">
          <reference field="0" count="1" selected="0">
            <x v="52"/>
          </reference>
          <reference field="1" count="1" selected="0">
            <x v="11"/>
          </reference>
          <reference field="3" count="1" selected="0">
            <x v="0"/>
          </reference>
          <reference field="4" count="1" selected="0">
            <x v="11"/>
          </reference>
          <reference field="5" count="1" selected="0">
            <x v="1"/>
          </reference>
          <reference field="6" count="1" selected="0">
            <x v="11"/>
          </reference>
          <reference field="7" count="1">
            <x v="1"/>
          </reference>
        </references>
      </pivotArea>
    </format>
    <format dxfId="457">
      <pivotArea dataOnly="0" labelOnly="1" outline="0" fieldPosition="0">
        <references count="7">
          <reference field="0" count="1" selected="0">
            <x v="53"/>
          </reference>
          <reference field="1" count="1" selected="0">
            <x v="6"/>
          </reference>
          <reference field="3" count="1" selected="0">
            <x v="7"/>
          </reference>
          <reference field="4" count="1" selected="0">
            <x v="11"/>
          </reference>
          <reference field="5" count="1" selected="0">
            <x v="1"/>
          </reference>
          <reference field="6" count="1" selected="0">
            <x v="11"/>
          </reference>
          <reference field="7" count="1">
            <x v="2"/>
          </reference>
        </references>
      </pivotArea>
    </format>
    <format dxfId="456">
      <pivotArea dataOnly="0" labelOnly="1" outline="0" fieldPosition="0">
        <references count="7">
          <reference field="0" count="1" selected="0">
            <x v="56"/>
          </reference>
          <reference field="1" count="1" selected="0">
            <x v="16"/>
          </reference>
          <reference field="3" count="1" selected="0">
            <x v="2"/>
          </reference>
          <reference field="4" count="1" selected="0">
            <x v="14"/>
          </reference>
          <reference field="5" count="1" selected="0">
            <x v="1"/>
          </reference>
          <reference field="6" count="1" selected="0">
            <x v="13"/>
          </reference>
          <reference field="7" count="1">
            <x v="1"/>
          </reference>
        </references>
      </pivotArea>
    </format>
    <format dxfId="455">
      <pivotArea dataOnly="0" labelOnly="1" outline="0" fieldPosition="0">
        <references count="7">
          <reference field="0" count="1" selected="0">
            <x v="57"/>
          </reference>
          <reference field="1" count="1" selected="0">
            <x v="19"/>
          </reference>
          <reference field="3" count="1" selected="0">
            <x v="7"/>
          </reference>
          <reference field="4" count="1" selected="0">
            <x v="15"/>
          </reference>
          <reference field="5" count="1" selected="0">
            <x v="5"/>
          </reference>
          <reference field="6" count="1" selected="0">
            <x v="13"/>
          </reference>
          <reference field="7" count="1">
            <x v="2"/>
          </reference>
        </references>
      </pivotArea>
    </format>
    <format dxfId="454">
      <pivotArea dataOnly="0" labelOnly="1" outline="0" fieldPosition="0">
        <references count="8">
          <reference field="0" count="1" selected="0">
            <x v="0"/>
          </reference>
          <reference field="1" count="1" selected="0">
            <x v="23"/>
          </reference>
          <reference field="3" count="1" selected="0">
            <x v="10"/>
          </reference>
          <reference field="4" count="1" selected="0">
            <x v="5"/>
          </reference>
          <reference field="5" count="1" selected="0">
            <x v="0"/>
          </reference>
          <reference field="6" count="1" selected="0">
            <x v="18"/>
          </reference>
          <reference field="7" count="1" selected="0">
            <x v="3"/>
          </reference>
          <reference field="8" count="1">
            <x v="3"/>
          </reference>
        </references>
      </pivotArea>
    </format>
    <format dxfId="453">
      <pivotArea dataOnly="0" labelOnly="1" outline="0" fieldPosition="0">
        <references count="8">
          <reference field="0" count="1" selected="0">
            <x v="7"/>
          </reference>
          <reference field="1" count="1" selected="0">
            <x v="8"/>
          </reference>
          <reference field="3" count="1" selected="0">
            <x v="12"/>
          </reference>
          <reference field="4" count="1" selected="0">
            <x v="2"/>
          </reference>
          <reference field="5" count="1" selected="0">
            <x v="1"/>
          </reference>
          <reference field="6" count="1" selected="0">
            <x v="3"/>
          </reference>
          <reference field="7" count="1" selected="0">
            <x v="4"/>
          </reference>
          <reference field="8" count="1">
            <x v="3"/>
          </reference>
        </references>
      </pivotArea>
    </format>
    <format dxfId="452">
      <pivotArea dataOnly="0" labelOnly="1" outline="0" fieldPosition="0">
        <references count="8">
          <reference field="0" count="1" selected="0">
            <x v="12"/>
          </reference>
          <reference field="1" count="1" selected="0">
            <x v="18"/>
          </reference>
          <reference field="3" count="1" selected="0">
            <x v="0"/>
          </reference>
          <reference field="4" count="1" selected="0">
            <x v="1"/>
          </reference>
          <reference field="5" count="1" selected="0">
            <x v="2"/>
          </reference>
          <reference field="6" count="1" selected="0">
            <x v="2"/>
          </reference>
          <reference field="7" count="1" selected="0">
            <x v="1"/>
          </reference>
          <reference field="8" count="1">
            <x v="4"/>
          </reference>
        </references>
      </pivotArea>
    </format>
    <format dxfId="451">
      <pivotArea dataOnly="0" labelOnly="1" outline="0" fieldPosition="0">
        <references count="8">
          <reference field="0" count="1" selected="0">
            <x v="22"/>
          </reference>
          <reference field="1" count="1" selected="0">
            <x v="17"/>
          </reference>
          <reference field="3" count="1" selected="0">
            <x v="6"/>
          </reference>
          <reference field="4" count="1" selected="0">
            <x v="0"/>
          </reference>
          <reference field="5" count="1" selected="0">
            <x v="1"/>
          </reference>
          <reference field="6" count="1" selected="0">
            <x v="1"/>
          </reference>
          <reference field="7" count="1" selected="0">
            <x v="0"/>
          </reference>
          <reference field="8" count="1">
            <x v="5"/>
          </reference>
        </references>
      </pivotArea>
    </format>
    <format dxfId="450">
      <pivotArea dataOnly="0" labelOnly="1" outline="0" fieldPosition="0">
        <references count="8">
          <reference field="0" count="1" selected="0">
            <x v="28"/>
          </reference>
          <reference field="1" count="1" selected="0">
            <x v="13"/>
          </reference>
          <reference field="3" count="1" selected="0">
            <x v="5"/>
          </reference>
          <reference field="4" count="1" selected="0">
            <x v="2"/>
          </reference>
          <reference field="5" count="1" selected="0">
            <x v="3"/>
          </reference>
          <reference field="6" count="1" selected="0">
            <x v="0"/>
          </reference>
          <reference field="7" count="1" selected="0">
            <x v="0"/>
          </reference>
          <reference field="8" count="1">
            <x v="3"/>
          </reference>
        </references>
      </pivotArea>
    </format>
    <format dxfId="449">
      <pivotArea dataOnly="0" labelOnly="1" outline="0" fieldPosition="0">
        <references count="8">
          <reference field="0" count="1" selected="0">
            <x v="32"/>
          </reference>
          <reference field="1" count="1" selected="0">
            <x v="7"/>
          </reference>
          <reference field="3" count="1" selected="0">
            <x v="7"/>
          </reference>
          <reference field="4" count="1" selected="0">
            <x v="3"/>
          </reference>
          <reference field="5" count="1" selected="0">
            <x v="3"/>
          </reference>
          <reference field="6" count="1" selected="0">
            <x v="3"/>
          </reference>
          <reference field="7" count="1" selected="0">
            <x v="2"/>
          </reference>
          <reference field="8" count="1">
            <x v="0"/>
          </reference>
        </references>
      </pivotArea>
    </format>
    <format dxfId="448">
      <pivotArea dataOnly="0" labelOnly="1" outline="0" fieldPosition="0">
        <references count="8">
          <reference field="0" count="1" selected="0">
            <x v="38"/>
          </reference>
          <reference field="1" count="1" selected="0">
            <x v="12"/>
          </reference>
          <reference field="3" count="1" selected="0">
            <x v="7"/>
          </reference>
          <reference field="4" count="1" selected="0">
            <x v="4"/>
          </reference>
          <reference field="5" count="1" selected="0">
            <x v="1"/>
          </reference>
          <reference field="6" count="1" selected="0">
            <x v="4"/>
          </reference>
          <reference field="7" count="1" selected="0">
            <x v="1"/>
          </reference>
          <reference field="8" count="1">
            <x v="2"/>
          </reference>
        </references>
      </pivotArea>
    </format>
    <format dxfId="447">
      <pivotArea dataOnly="0" labelOnly="1" outline="0" fieldPosition="0">
        <references count="8">
          <reference field="0" count="1" selected="0">
            <x v="40"/>
          </reference>
          <reference field="1" count="1" selected="0">
            <x v="0"/>
          </reference>
          <reference field="3" count="1" selected="0">
            <x v="7"/>
          </reference>
          <reference field="4" count="1" selected="0">
            <x v="4"/>
          </reference>
          <reference field="5" count="1" selected="0">
            <x v="3"/>
          </reference>
          <reference field="6" count="1" selected="0">
            <x v="5"/>
          </reference>
          <reference field="7" count="1" selected="0">
            <x v="2"/>
          </reference>
          <reference field="8" count="1">
            <x v="0"/>
          </reference>
        </references>
      </pivotArea>
    </format>
    <format dxfId="446">
      <pivotArea dataOnly="0" labelOnly="1" outline="0" fieldPosition="0">
        <references count="8">
          <reference field="0" count="1" selected="0">
            <x v="45"/>
          </reference>
          <reference field="1" count="1" selected="0">
            <x v="9"/>
          </reference>
          <reference field="3" count="1" selected="0">
            <x v="7"/>
          </reference>
          <reference field="4" count="1" selected="0">
            <x v="5"/>
          </reference>
          <reference field="5" count="1" selected="0">
            <x v="1"/>
          </reference>
          <reference field="6" count="1" selected="0">
            <x v="6"/>
          </reference>
          <reference field="7" count="1" selected="0">
            <x v="0"/>
          </reference>
          <reference field="8" count="1">
            <x v="5"/>
          </reference>
        </references>
      </pivotArea>
    </format>
    <format dxfId="445">
      <pivotArea dataOnly="0" labelOnly="1" outline="0" fieldPosition="0">
        <references count="8">
          <reference field="0" count="1" selected="0">
            <x v="46"/>
          </reference>
          <reference field="1" count="1" selected="0">
            <x v="4"/>
          </reference>
          <reference field="3" count="1" selected="0">
            <x v="0"/>
          </reference>
          <reference field="4" count="1" selected="0">
            <x v="6"/>
          </reference>
          <reference field="5" count="1" selected="0">
            <x v="3"/>
          </reference>
          <reference field="6" count="1" selected="0">
            <x v="6"/>
          </reference>
          <reference field="7" count="1" selected="0">
            <x v="2"/>
          </reference>
          <reference field="8" count="1">
            <x v="0"/>
          </reference>
        </references>
      </pivotArea>
    </format>
    <format dxfId="444">
      <pivotArea dataOnly="0" labelOnly="1" outline="0" fieldPosition="0">
        <references count="8">
          <reference field="0" count="1" selected="0">
            <x v="47"/>
          </reference>
          <reference field="1" count="1" selected="0">
            <x v="5"/>
          </reference>
          <reference field="3" count="1" selected="0">
            <x v="1"/>
          </reference>
          <reference field="4" count="1" selected="0">
            <x v="7"/>
          </reference>
          <reference field="5" count="1" selected="0">
            <x v="2"/>
          </reference>
          <reference field="6" count="1" selected="0">
            <x v="7"/>
          </reference>
          <reference field="7" count="1" selected="0">
            <x v="4"/>
          </reference>
          <reference field="8" count="1">
            <x v="6"/>
          </reference>
        </references>
      </pivotArea>
    </format>
    <format dxfId="443">
      <pivotArea dataOnly="0" labelOnly="1" outline="0" fieldPosition="0">
        <references count="8">
          <reference field="0" count="1" selected="0">
            <x v="48"/>
          </reference>
          <reference field="1" count="1" selected="0">
            <x v="20"/>
          </reference>
          <reference field="3" count="1" selected="0">
            <x v="8"/>
          </reference>
          <reference field="4" count="1" selected="0">
            <x v="7"/>
          </reference>
          <reference field="5" count="1" selected="0">
            <x v="2"/>
          </reference>
          <reference field="6" count="1" selected="0">
            <x v="7"/>
          </reference>
          <reference field="7" count="1" selected="0">
            <x v="2"/>
          </reference>
          <reference field="8" count="1">
            <x v="0"/>
          </reference>
        </references>
      </pivotArea>
    </format>
    <format dxfId="442">
      <pivotArea dataOnly="0" labelOnly="1" outline="0" fieldPosition="0">
        <references count="8">
          <reference field="0" count="1" selected="0">
            <x v="49"/>
          </reference>
          <reference field="1" count="1" selected="0">
            <x v="10"/>
          </reference>
          <reference field="3" count="1" selected="0">
            <x v="8"/>
          </reference>
          <reference field="4" count="1" selected="0">
            <x v="8"/>
          </reference>
          <reference field="5" count="1" selected="0">
            <x v="0"/>
          </reference>
          <reference field="6" count="1" selected="0">
            <x v="8"/>
          </reference>
          <reference field="7" count="1" selected="0">
            <x v="4"/>
          </reference>
          <reference field="8" count="1">
            <x v="7"/>
          </reference>
        </references>
      </pivotArea>
    </format>
    <format dxfId="441">
      <pivotArea dataOnly="0" labelOnly="1" outline="0" fieldPosition="0">
        <references count="8">
          <reference field="0" count="1" selected="0">
            <x v="50"/>
          </reference>
          <reference field="1" count="1" selected="0">
            <x v="14"/>
          </reference>
          <reference field="3" count="1" selected="0">
            <x v="1"/>
          </reference>
          <reference field="4" count="1" selected="0">
            <x v="9"/>
          </reference>
          <reference field="5" count="1" selected="0">
            <x v="2"/>
          </reference>
          <reference field="6" count="1" selected="0">
            <x v="9"/>
          </reference>
          <reference field="7" count="1" selected="0">
            <x v="3"/>
          </reference>
          <reference field="8" count="1">
            <x v="8"/>
          </reference>
        </references>
      </pivotArea>
    </format>
    <format dxfId="440">
      <pivotArea dataOnly="0" labelOnly="1" outline="0" fieldPosition="0">
        <references count="8">
          <reference field="0" count="1" selected="0">
            <x v="51"/>
          </reference>
          <reference field="1" count="1" selected="0">
            <x v="21"/>
          </reference>
          <reference field="3" count="1" selected="0">
            <x v="4"/>
          </reference>
          <reference field="4" count="1" selected="0">
            <x v="10"/>
          </reference>
          <reference field="5" count="1" selected="0">
            <x v="4"/>
          </reference>
          <reference field="6" count="1" selected="0">
            <x v="10"/>
          </reference>
          <reference field="7" count="1" selected="0">
            <x v="4"/>
          </reference>
          <reference field="8" count="1">
            <x v="9"/>
          </reference>
        </references>
      </pivotArea>
    </format>
    <format dxfId="439">
      <pivotArea dataOnly="0" labelOnly="1" outline="0" fieldPosition="0">
        <references count="8">
          <reference field="0" count="1" selected="0">
            <x v="52"/>
          </reference>
          <reference field="1" count="1" selected="0">
            <x v="11"/>
          </reference>
          <reference field="3" count="1" selected="0">
            <x v="0"/>
          </reference>
          <reference field="4" count="1" selected="0">
            <x v="11"/>
          </reference>
          <reference field="5" count="1" selected="0">
            <x v="1"/>
          </reference>
          <reference field="6" count="1" selected="0">
            <x v="11"/>
          </reference>
          <reference field="7" count="1" selected="0">
            <x v="1"/>
          </reference>
          <reference field="8" count="1">
            <x v="2"/>
          </reference>
        </references>
      </pivotArea>
    </format>
    <format dxfId="438">
      <pivotArea dataOnly="0" labelOnly="1" outline="0" fieldPosition="0">
        <references count="8">
          <reference field="0" count="1" selected="0">
            <x v="53"/>
          </reference>
          <reference field="1" count="1" selected="0">
            <x v="6"/>
          </reference>
          <reference field="3" count="1" selected="0">
            <x v="7"/>
          </reference>
          <reference field="4" count="1" selected="0">
            <x v="11"/>
          </reference>
          <reference field="5" count="1" selected="0">
            <x v="1"/>
          </reference>
          <reference field="6" count="1" selected="0">
            <x v="11"/>
          </reference>
          <reference field="7" count="1" selected="0">
            <x v="2"/>
          </reference>
          <reference field="8" count="1">
            <x v="0"/>
          </reference>
        </references>
      </pivotArea>
    </format>
    <format dxfId="437">
      <pivotArea dataOnly="0" labelOnly="1" outline="0" fieldPosition="0">
        <references count="8">
          <reference field="0" count="1" selected="0">
            <x v="54"/>
          </reference>
          <reference field="1" count="1" selected="0">
            <x v="1"/>
          </reference>
          <reference field="3" count="1" selected="0">
            <x v="0"/>
          </reference>
          <reference field="4" count="1" selected="0">
            <x v="12"/>
          </reference>
          <reference field="5" count="1" selected="0">
            <x v="1"/>
          </reference>
          <reference field="6" count="1" selected="0">
            <x v="12"/>
          </reference>
          <reference field="7" count="1" selected="0">
            <x v="2"/>
          </reference>
          <reference field="8" count="1">
            <x v="0"/>
          </reference>
        </references>
      </pivotArea>
    </format>
    <format dxfId="436">
      <pivotArea dataOnly="0" labelOnly="1" outline="0" fieldPosition="0">
        <references count="8">
          <reference field="0" count="1" selected="0">
            <x v="55"/>
          </reference>
          <reference field="1" count="1" selected="0">
            <x v="15"/>
          </reference>
          <reference field="3" count="1" selected="0">
            <x v="7"/>
          </reference>
          <reference field="4" count="1" selected="0">
            <x v="13"/>
          </reference>
          <reference field="5" count="1" selected="0">
            <x v="3"/>
          </reference>
          <reference field="6" count="1" selected="0">
            <x v="12"/>
          </reference>
          <reference field="7" count="1" selected="0">
            <x v="2"/>
          </reference>
          <reference field="8" count="1">
            <x v="0"/>
          </reference>
        </references>
      </pivotArea>
    </format>
    <format dxfId="435">
      <pivotArea dataOnly="0" labelOnly="1" outline="0" fieldPosition="0">
        <references count="8">
          <reference field="0" count="1" selected="0">
            <x v="56"/>
          </reference>
          <reference field="1" count="1" selected="0">
            <x v="16"/>
          </reference>
          <reference field="3" count="1" selected="0">
            <x v="2"/>
          </reference>
          <reference field="4" count="1" selected="0">
            <x v="14"/>
          </reference>
          <reference field="5" count="1" selected="0">
            <x v="1"/>
          </reference>
          <reference field="6" count="1" selected="0">
            <x v="13"/>
          </reference>
          <reference field="7" count="1" selected="0">
            <x v="1"/>
          </reference>
          <reference field="8" count="1">
            <x v="2"/>
          </reference>
        </references>
      </pivotArea>
    </format>
    <format dxfId="434">
      <pivotArea dataOnly="0" labelOnly="1" outline="0" fieldPosition="0">
        <references count="8">
          <reference field="0" count="1" selected="0">
            <x v="57"/>
          </reference>
          <reference field="1" count="1" selected="0">
            <x v="19"/>
          </reference>
          <reference field="3" count="1" selected="0">
            <x v="7"/>
          </reference>
          <reference field="4" count="1" selected="0">
            <x v="15"/>
          </reference>
          <reference field="5" count="1" selected="0">
            <x v="5"/>
          </reference>
          <reference field="6" count="1" selected="0">
            <x v="13"/>
          </reference>
          <reference field="7" count="1" selected="0">
            <x v="2"/>
          </reference>
          <reference field="8" count="1">
            <x v="0"/>
          </reference>
        </references>
      </pivotArea>
    </format>
    <format dxfId="433">
      <pivotArea dataOnly="0" labelOnly="1" outline="0" fieldPosition="0">
        <references count="8">
          <reference field="0" count="1" selected="0">
            <x v="58"/>
          </reference>
          <reference field="1" count="1" selected="0">
            <x v="2"/>
          </reference>
          <reference field="3" count="1" selected="0">
            <x v="9"/>
          </reference>
          <reference field="4" count="1" selected="0">
            <x v="16"/>
          </reference>
          <reference field="5" count="1" selected="0">
            <x v="1"/>
          </reference>
          <reference field="6" count="1" selected="0">
            <x v="14"/>
          </reference>
          <reference field="7" count="1" selected="0">
            <x v="2"/>
          </reference>
          <reference field="8" count="1">
            <x v="0"/>
          </reference>
        </references>
      </pivotArea>
    </format>
    <format dxfId="432">
      <pivotArea dataOnly="0" labelOnly="1" outline="0" fieldPosition="0">
        <references count="8">
          <reference field="0" count="1" selected="0">
            <x v="59"/>
          </reference>
          <reference field="1" count="1" selected="0">
            <x v="3"/>
          </reference>
          <reference field="3" count="1" selected="0">
            <x v="3"/>
          </reference>
          <reference field="4" count="1" selected="0">
            <x v="17"/>
          </reference>
          <reference field="5" count="1" selected="0">
            <x v="1"/>
          </reference>
          <reference field="6" count="1" selected="0">
            <x v="15"/>
          </reference>
          <reference field="7" count="1" selected="0">
            <x v="2"/>
          </reference>
          <reference field="8" count="1">
            <x v="0"/>
          </reference>
        </references>
      </pivotArea>
    </format>
    <format dxfId="431">
      <pivotArea dataOnly="0" labelOnly="1" outline="0" fieldPosition="0">
        <references count="8">
          <reference field="0" count="1" selected="0">
            <x v="60"/>
          </reference>
          <reference field="1" count="1" selected="0">
            <x v="22"/>
          </reference>
          <reference field="3" count="1" selected="0">
            <x v="11"/>
          </reference>
          <reference field="4" count="1" selected="0">
            <x v="18"/>
          </reference>
          <reference field="5" count="1" selected="0">
            <x v="5"/>
          </reference>
          <reference field="6" count="1" selected="0">
            <x v="16"/>
          </reference>
          <reference field="7" count="1" selected="0">
            <x v="2"/>
          </reference>
          <reference field="8" count="1">
            <x v="0"/>
          </reference>
        </references>
      </pivotArea>
    </format>
    <format dxfId="430">
      <pivotArea field="0" type="button" dataOnly="0" labelOnly="1" outline="0" axis="axisRow" fieldPosition="0"/>
    </format>
    <format dxfId="429">
      <pivotArea field="1" type="button" dataOnly="0" labelOnly="1" outline="0" axis="axisRow" fieldPosition="1"/>
    </format>
    <format dxfId="428">
      <pivotArea field="3" type="button" dataOnly="0" labelOnly="1" outline="0" axis="axisRow" fieldPosition="2"/>
    </format>
    <format dxfId="427">
      <pivotArea field="4" type="button" dataOnly="0" labelOnly="1" outline="0" axis="axisRow" fieldPosition="3"/>
    </format>
    <format dxfId="426">
      <pivotArea field="5" type="button" dataOnly="0" labelOnly="1" outline="0" axis="axisRow" fieldPosition="4"/>
    </format>
    <format dxfId="425">
      <pivotArea field="6" type="button" dataOnly="0" labelOnly="1" outline="0" axis="axisRow" fieldPosition="5"/>
    </format>
    <format dxfId="424">
      <pivotArea field="7" type="button" dataOnly="0" labelOnly="1" outline="0" axis="axisRow" fieldPosition="6"/>
    </format>
    <format dxfId="423">
      <pivotArea field="8" type="button" dataOnly="0" labelOnly="1" outline="0" axis="axisRow" fieldPosition="7"/>
    </format>
    <format dxfId="422">
      <pivotArea field="0" type="button" dataOnly="0" labelOnly="1" outline="0" axis="axisRow" fieldPosition="0"/>
    </format>
    <format dxfId="421">
      <pivotArea field="1" type="button" dataOnly="0" labelOnly="1" outline="0" axis="axisRow" fieldPosition="1"/>
    </format>
    <format dxfId="420">
      <pivotArea field="3" type="button" dataOnly="0" labelOnly="1" outline="0" axis="axisRow" fieldPosition="2"/>
    </format>
    <format dxfId="419">
      <pivotArea field="4" type="button" dataOnly="0" labelOnly="1" outline="0" axis="axisRow" fieldPosition="3"/>
    </format>
    <format dxfId="418">
      <pivotArea field="5" type="button" dataOnly="0" labelOnly="1" outline="0" axis="axisRow" fieldPosition="4"/>
    </format>
    <format dxfId="417">
      <pivotArea field="6" type="button" dataOnly="0" labelOnly="1" outline="0" axis="axisRow" fieldPosition="5"/>
    </format>
    <format dxfId="416">
      <pivotArea field="7" type="button" dataOnly="0" labelOnly="1" outline="0" axis="axisRow" fieldPosition="6"/>
    </format>
    <format dxfId="415">
      <pivotArea field="8" type="button" dataOnly="0" labelOnly="1" outline="0" axis="axisRow" fieldPosition="7"/>
    </format>
    <format dxfId="414">
      <pivotArea field="0" type="button" dataOnly="0" labelOnly="1" outline="0" axis="axisRow" fieldPosition="0"/>
    </format>
    <format dxfId="413">
      <pivotArea field="1" type="button" dataOnly="0" labelOnly="1" outline="0" axis="axisRow" fieldPosition="1"/>
    </format>
    <format dxfId="412">
      <pivotArea field="3" type="button" dataOnly="0" labelOnly="1" outline="0" axis="axisRow" fieldPosition="2"/>
    </format>
    <format dxfId="411">
      <pivotArea field="4" type="button" dataOnly="0" labelOnly="1" outline="0" axis="axisRow" fieldPosition="3"/>
    </format>
    <format dxfId="410">
      <pivotArea field="5" type="button" dataOnly="0" labelOnly="1" outline="0" axis="axisRow" fieldPosition="4"/>
    </format>
    <format dxfId="409">
      <pivotArea field="6" type="button" dataOnly="0" labelOnly="1" outline="0" axis="axisRow" fieldPosition="5"/>
    </format>
    <format dxfId="408">
      <pivotArea field="7" type="button" dataOnly="0" labelOnly="1" outline="0" axis="axisRow" fieldPosition="6"/>
    </format>
    <format dxfId="407">
      <pivotArea field="8" type="button" dataOnly="0" labelOnly="1" outline="0" axis="axisRow" fieldPosition="7"/>
    </format>
    <format dxfId="406">
      <pivotArea dataOnly="0" labelOnly="1" grandRow="1" outline="0" fieldPosition="0"/>
    </format>
    <format dxfId="405">
      <pivotArea dataOnly="0" labelOnly="1" grandRow="1" outline="0" fieldPosition="0"/>
    </format>
    <format dxfId="404">
      <pivotArea dataOnly="0" labelOnly="1" outline="0" fieldPosition="0">
        <references count="3">
          <reference field="0" count="1" selected="0">
            <x v="0"/>
          </reference>
          <reference field="1" count="1" selected="0">
            <x v="23"/>
          </reference>
          <reference field="3" count="1">
            <x v="15"/>
          </reference>
        </references>
      </pivotArea>
    </format>
    <format dxfId="403">
      <pivotArea dataOnly="0" labelOnly="1" outline="0" fieldPosition="0">
        <references count="3">
          <reference field="0" count="1" selected="0">
            <x v="7"/>
          </reference>
          <reference field="1" count="1" selected="0">
            <x v="69"/>
          </reference>
          <reference field="3" count="1">
            <x v="24"/>
          </reference>
        </references>
      </pivotArea>
    </format>
    <format dxfId="402">
      <pivotArea dataOnly="0" labelOnly="1" outline="0" fieldPosition="0">
        <references count="3">
          <reference field="0" count="1" selected="0">
            <x v="12"/>
          </reference>
          <reference field="1" count="1" selected="0">
            <x v="18"/>
          </reference>
          <reference field="3" count="1">
            <x v="25"/>
          </reference>
        </references>
      </pivotArea>
    </format>
    <format dxfId="401">
      <pivotArea dataOnly="0" labelOnly="1" outline="0" fieldPosition="0">
        <references count="3">
          <reference field="0" count="1" selected="0">
            <x v="28"/>
          </reference>
          <reference field="1" count="1" selected="0">
            <x v="71"/>
          </reference>
          <reference field="3" count="1">
            <x v="27"/>
          </reference>
        </references>
      </pivotArea>
    </format>
    <format dxfId="400">
      <pivotArea dataOnly="0" labelOnly="1" outline="0" fieldPosition="0">
        <references count="3">
          <reference field="0" count="1" selected="0">
            <x v="32"/>
          </reference>
          <reference field="1" count="1" selected="0">
            <x v="12"/>
          </reference>
          <reference field="3" count="1">
            <x v="28"/>
          </reference>
        </references>
      </pivotArea>
    </format>
    <format dxfId="399">
      <pivotArea dataOnly="0" labelOnly="1" outline="0" fieldPosition="0">
        <references count="3">
          <reference field="0" count="1" selected="0">
            <x v="38"/>
          </reference>
          <reference field="1" count="1" selected="0">
            <x v="72"/>
          </reference>
          <reference field="3" count="1">
            <x v="29"/>
          </reference>
        </references>
      </pivotArea>
    </format>
    <format dxfId="398">
      <pivotArea dataOnly="0" labelOnly="1" outline="0" fieldPosition="0">
        <references count="3">
          <reference field="0" count="1" selected="0">
            <x v="40"/>
          </reference>
          <reference field="1" count="1" selected="0">
            <x v="73"/>
          </reference>
          <reference field="3" count="1">
            <x v="30"/>
          </reference>
        </references>
      </pivotArea>
    </format>
    <format dxfId="397">
      <pivotArea dataOnly="0" labelOnly="1" outline="0" fieldPosition="0">
        <references count="3">
          <reference field="0" count="1" selected="0">
            <x v="45"/>
          </reference>
          <reference field="1" count="1" selected="0">
            <x v="74"/>
          </reference>
          <reference field="3" count="1">
            <x v="25"/>
          </reference>
        </references>
      </pivotArea>
    </format>
    <format dxfId="396">
      <pivotArea dataOnly="0" labelOnly="1" outline="0" fieldPosition="0">
        <references count="3">
          <reference field="0" count="1" selected="0">
            <x v="48"/>
          </reference>
          <reference field="1" count="1" selected="0">
            <x v="76"/>
          </reference>
          <reference field="3" count="1">
            <x v="31"/>
          </reference>
        </references>
      </pivotArea>
    </format>
    <format dxfId="395">
      <pivotArea dataOnly="0" labelOnly="1" outline="0" fieldPosition="0">
        <references count="3">
          <reference field="0" count="1" selected="0">
            <x v="50"/>
          </reference>
          <reference field="1" count="1" selected="0">
            <x v="78"/>
          </reference>
          <reference field="3" count="1">
            <x v="28"/>
          </reference>
        </references>
      </pivotArea>
    </format>
    <format dxfId="394">
      <pivotArea dataOnly="0" labelOnly="1" outline="0" fieldPosition="0">
        <references count="3">
          <reference field="0" count="1" selected="0">
            <x v="51"/>
          </reference>
          <reference field="1" count="1" selected="0">
            <x v="79"/>
          </reference>
          <reference field="3" count="1">
            <x v="33"/>
          </reference>
        </references>
      </pivotArea>
    </format>
    <format dxfId="393">
      <pivotArea dataOnly="0" labelOnly="1" outline="0" fieldPosition="0">
        <references count="3">
          <reference field="0" count="1" selected="0">
            <x v="52"/>
          </reference>
          <reference field="1" count="1" selected="0">
            <x v="80"/>
          </reference>
          <reference field="3" count="1">
            <x v="28"/>
          </reference>
        </references>
      </pivotArea>
    </format>
    <format dxfId="392">
      <pivotArea dataOnly="0" labelOnly="1" outline="0" fieldPosition="0">
        <references count="3">
          <reference field="0" count="1" selected="0">
            <x v="53"/>
          </reference>
          <reference field="1" count="1" selected="0">
            <x v="4"/>
          </reference>
          <reference field="3" count="1">
            <x v="25"/>
          </reference>
        </references>
      </pivotArea>
    </format>
    <format dxfId="391">
      <pivotArea dataOnly="0" labelOnly="1" outline="0" fieldPosition="0">
        <references count="3">
          <reference field="0" count="1" selected="0">
            <x v="54"/>
          </reference>
          <reference field="1" count="1" selected="0">
            <x v="1"/>
          </reference>
          <reference field="3" count="1">
            <x v="31"/>
          </reference>
        </references>
      </pivotArea>
    </format>
    <format dxfId="390">
      <pivotArea dataOnly="0" labelOnly="1" outline="0" fieldPosition="0">
        <references count="3">
          <reference field="0" count="1" selected="0">
            <x v="55"/>
          </reference>
          <reference field="1" count="1" selected="0">
            <x v="81"/>
          </reference>
          <reference field="3" count="1">
            <x v="25"/>
          </reference>
        </references>
      </pivotArea>
    </format>
    <format dxfId="389">
      <pivotArea dataOnly="0" labelOnly="1" outline="0" fieldPosition="0">
        <references count="3">
          <reference field="0" count="1" selected="0">
            <x v="57"/>
          </reference>
          <reference field="1" count="1" selected="0">
            <x v="83"/>
          </reference>
          <reference field="3" count="1">
            <x v="28"/>
          </reference>
        </references>
      </pivotArea>
    </format>
    <format dxfId="388">
      <pivotArea dataOnly="0" labelOnly="1" outline="0" fieldPosition="0">
        <references count="3">
          <reference field="0" count="1" selected="0">
            <x v="61"/>
          </reference>
          <reference field="1" count="1" selected="0">
            <x v="85"/>
          </reference>
          <reference field="3" count="1">
            <x v="34"/>
          </reference>
        </references>
      </pivotArea>
    </format>
    <format dxfId="387">
      <pivotArea dataOnly="0" labelOnly="1" outline="0" fieldPosition="0">
        <references count="3">
          <reference field="0" count="1" selected="0">
            <x v="62"/>
          </reference>
          <reference field="1" count="1" selected="0">
            <x v="19"/>
          </reference>
          <reference field="3" count="1">
            <x v="28"/>
          </reference>
        </references>
      </pivotArea>
    </format>
    <format dxfId="386">
      <pivotArea dataOnly="0" labelOnly="1" outline="0" fieldPosition="0">
        <references count="3">
          <reference field="0" count="1" selected="0">
            <x v="64"/>
          </reference>
          <reference field="1" count="1" selected="0">
            <x v="2"/>
          </reference>
          <reference field="3" count="1">
            <x v="35"/>
          </reference>
        </references>
      </pivotArea>
    </format>
    <format dxfId="385">
      <pivotArea dataOnly="0" labelOnly="1" outline="0" fieldPosition="0">
        <references count="3">
          <reference field="0" count="1" selected="0">
            <x v="65"/>
          </reference>
          <reference field="1" count="1" selected="0">
            <x v="87"/>
          </reference>
          <reference field="3" count="1">
            <x v="33"/>
          </reference>
        </references>
      </pivotArea>
    </format>
    <format dxfId="384">
      <pivotArea dataOnly="0" labelOnly="1" outline="0" fieldPosition="0">
        <references count="3">
          <reference field="0" count="1" selected="0">
            <x v="66"/>
          </reference>
          <reference field="1" count="1" selected="0">
            <x v="3"/>
          </reference>
          <reference field="3" count="1">
            <x v="36"/>
          </reference>
        </references>
      </pivotArea>
    </format>
    <format dxfId="383">
      <pivotArea dataOnly="0" labelOnly="1" outline="0" fieldPosition="0">
        <references count="3">
          <reference field="0" count="1" selected="0">
            <x v="67"/>
          </reference>
          <reference field="1" count="1" selected="0">
            <x v="88"/>
          </reference>
          <reference field="3" count="1">
            <x v="33"/>
          </reference>
        </references>
      </pivotArea>
    </format>
    <format dxfId="382">
      <pivotArea dataOnly="0" labelOnly="1" outline="0" fieldPosition="0">
        <references count="3">
          <reference field="0" count="1" selected="0">
            <x v="69"/>
          </reference>
          <reference field="1" count="1" selected="0">
            <x v="22"/>
          </reference>
          <reference field="3" count="1">
            <x v="37"/>
          </reference>
        </references>
      </pivotArea>
    </format>
    <format dxfId="381">
      <pivotArea dataOnly="0" labelOnly="1" outline="0" fieldPosition="0">
        <references count="3">
          <reference field="0" count="1" selected="0">
            <x v="46"/>
          </reference>
          <reference field="1" count="1" selected="0">
            <x v="75"/>
          </reference>
          <reference field="3" count="1">
            <x v="29"/>
          </reference>
        </references>
      </pivotArea>
    </format>
    <format dxfId="380">
      <pivotArea field="1" type="button" dataOnly="0" labelOnly="1" outline="0" axis="axisRow" fieldPosition="1"/>
    </format>
    <format dxfId="379">
      <pivotArea dataOnly="0" labelOnly="1" outline="0" fieldPosition="0">
        <references count="2">
          <reference field="0" count="1" selected="0">
            <x v="48"/>
          </reference>
          <reference field="1" count="1">
            <x v="76"/>
          </reference>
        </references>
      </pivotArea>
    </format>
    <format dxfId="378">
      <pivotArea dataOnly="0" labelOnly="1" outline="0" fieldPosition="0">
        <references count="3">
          <reference field="0" count="1" selected="0">
            <x v="49"/>
          </reference>
          <reference field="1" count="1" selected="0">
            <x v="77"/>
          </reference>
          <reference field="3" count="1">
            <x v="32"/>
          </reference>
        </references>
      </pivotArea>
    </format>
    <format dxfId="377">
      <pivotArea type="all" dataOnly="0" outline="0" fieldPosition="0"/>
    </format>
    <format dxfId="376">
      <pivotArea field="0" type="button" dataOnly="0" labelOnly="1" outline="0" axis="axisRow" fieldPosition="0"/>
    </format>
    <format dxfId="375">
      <pivotArea field="1" type="button" dataOnly="0" labelOnly="1" outline="0" axis="axisRow" fieldPosition="1"/>
    </format>
    <format dxfId="374">
      <pivotArea field="3" type="button" dataOnly="0" labelOnly="1" outline="0" axis="axisRow" fieldPosition="2"/>
    </format>
    <format dxfId="373">
      <pivotArea field="4" type="button" dataOnly="0" labelOnly="1" outline="0" axis="axisRow" fieldPosition="3"/>
    </format>
    <format dxfId="372">
      <pivotArea field="5" type="button" dataOnly="0" labelOnly="1" outline="0" axis="axisRow" fieldPosition="4"/>
    </format>
    <format dxfId="371">
      <pivotArea field="6" type="button" dataOnly="0" labelOnly="1" outline="0" axis="axisRow" fieldPosition="5"/>
    </format>
    <format dxfId="370">
      <pivotArea field="7" type="button" dataOnly="0" labelOnly="1" outline="0" axis="axisRow" fieldPosition="6"/>
    </format>
    <format dxfId="369">
      <pivotArea field="8" type="button" dataOnly="0" labelOnly="1" outline="0" axis="axisRow" fieldPosition="7"/>
    </format>
    <format dxfId="368">
      <pivotArea dataOnly="0" labelOnly="1" outline="0" fieldPosition="0">
        <references count="1">
          <reference field="0" count="0"/>
        </references>
      </pivotArea>
    </format>
    <format dxfId="367">
      <pivotArea dataOnly="0" labelOnly="1" grandRow="1" outline="0" fieldPosition="0"/>
    </format>
    <format dxfId="366">
      <pivotArea dataOnly="0" labelOnly="1" outline="0" fieldPosition="0">
        <references count="2">
          <reference field="0" count="1" selected="0">
            <x v="0"/>
          </reference>
          <reference field="1" count="1">
            <x v="23"/>
          </reference>
        </references>
      </pivotArea>
    </format>
    <format dxfId="365">
      <pivotArea dataOnly="0" labelOnly="1" outline="0" fieldPosition="0">
        <references count="2">
          <reference field="0" count="1" selected="0">
            <x v="7"/>
          </reference>
          <reference field="1" count="1">
            <x v="69"/>
          </reference>
        </references>
      </pivotArea>
    </format>
    <format dxfId="364">
      <pivotArea dataOnly="0" labelOnly="1" outline="0" fieldPosition="0">
        <references count="2">
          <reference field="0" count="1" selected="0">
            <x v="12"/>
          </reference>
          <reference field="1" count="1">
            <x v="18"/>
          </reference>
        </references>
      </pivotArea>
    </format>
    <format dxfId="363">
      <pivotArea dataOnly="0" labelOnly="1" outline="0" fieldPosition="0">
        <references count="2">
          <reference field="0" count="1" selected="0">
            <x v="22"/>
          </reference>
          <reference field="1" count="1">
            <x v="70"/>
          </reference>
        </references>
      </pivotArea>
    </format>
    <format dxfId="362">
      <pivotArea dataOnly="0" labelOnly="1" outline="0" fieldPosition="0">
        <references count="2">
          <reference field="0" count="1" selected="0">
            <x v="28"/>
          </reference>
          <reference field="1" count="1">
            <x v="71"/>
          </reference>
        </references>
      </pivotArea>
    </format>
    <format dxfId="361">
      <pivotArea dataOnly="0" labelOnly="1" outline="0" fieldPosition="0">
        <references count="2">
          <reference field="0" count="1" selected="0">
            <x v="32"/>
          </reference>
          <reference field="1" count="1">
            <x v="12"/>
          </reference>
        </references>
      </pivotArea>
    </format>
    <format dxfId="360">
      <pivotArea dataOnly="0" labelOnly="1" outline="0" fieldPosition="0">
        <references count="2">
          <reference field="0" count="1" selected="0">
            <x v="38"/>
          </reference>
          <reference field="1" count="1">
            <x v="72"/>
          </reference>
        </references>
      </pivotArea>
    </format>
    <format dxfId="359">
      <pivotArea dataOnly="0" labelOnly="1" outline="0" fieldPosition="0">
        <references count="2">
          <reference field="0" count="1" selected="0">
            <x v="40"/>
          </reference>
          <reference field="1" count="1">
            <x v="73"/>
          </reference>
        </references>
      </pivotArea>
    </format>
    <format dxfId="358">
      <pivotArea dataOnly="0" labelOnly="1" outline="0" fieldPosition="0">
        <references count="2">
          <reference field="0" count="1" selected="0">
            <x v="45"/>
          </reference>
          <reference field="1" count="1">
            <x v="74"/>
          </reference>
        </references>
      </pivotArea>
    </format>
    <format dxfId="357">
      <pivotArea dataOnly="0" labelOnly="1" outline="0" fieldPosition="0">
        <references count="2">
          <reference field="0" count="1" selected="0">
            <x v="46"/>
          </reference>
          <reference field="1" count="1">
            <x v="75"/>
          </reference>
        </references>
      </pivotArea>
    </format>
    <format dxfId="356">
      <pivotArea dataOnly="0" labelOnly="1" outline="0" fieldPosition="0">
        <references count="2">
          <reference field="0" count="1" selected="0">
            <x v="47"/>
          </reference>
          <reference field="1" count="1">
            <x v="9"/>
          </reference>
        </references>
      </pivotArea>
    </format>
    <format dxfId="355">
      <pivotArea dataOnly="0" labelOnly="1" outline="0" fieldPosition="0">
        <references count="2">
          <reference field="0" count="1" selected="0">
            <x v="48"/>
          </reference>
          <reference field="1" count="1">
            <x v="76"/>
          </reference>
        </references>
      </pivotArea>
    </format>
    <format dxfId="354">
      <pivotArea dataOnly="0" labelOnly="1" outline="0" fieldPosition="0">
        <references count="2">
          <reference field="0" count="1" selected="0">
            <x v="49"/>
          </reference>
          <reference field="1" count="1">
            <x v="77"/>
          </reference>
        </references>
      </pivotArea>
    </format>
    <format dxfId="353">
      <pivotArea dataOnly="0" labelOnly="1" outline="0" fieldPosition="0">
        <references count="2">
          <reference field="0" count="1" selected="0">
            <x v="50"/>
          </reference>
          <reference field="1" count="1">
            <x v="78"/>
          </reference>
        </references>
      </pivotArea>
    </format>
    <format dxfId="352">
      <pivotArea dataOnly="0" labelOnly="1" outline="0" fieldPosition="0">
        <references count="2">
          <reference field="0" count="1" selected="0">
            <x v="51"/>
          </reference>
          <reference field="1" count="1">
            <x v="79"/>
          </reference>
        </references>
      </pivotArea>
    </format>
    <format dxfId="351">
      <pivotArea dataOnly="0" labelOnly="1" outline="0" fieldPosition="0">
        <references count="2">
          <reference field="0" count="1" selected="0">
            <x v="52"/>
          </reference>
          <reference field="1" count="1">
            <x v="80"/>
          </reference>
        </references>
      </pivotArea>
    </format>
    <format dxfId="350">
      <pivotArea dataOnly="0" labelOnly="1" outline="0" fieldPosition="0">
        <references count="2">
          <reference field="0" count="1" selected="0">
            <x v="53"/>
          </reference>
          <reference field="1" count="1">
            <x v="4"/>
          </reference>
        </references>
      </pivotArea>
    </format>
    <format dxfId="349">
      <pivotArea dataOnly="0" labelOnly="1" outline="0" fieldPosition="0">
        <references count="2">
          <reference field="0" count="1" selected="0">
            <x v="54"/>
          </reference>
          <reference field="1" count="1">
            <x v="1"/>
          </reference>
        </references>
      </pivotArea>
    </format>
    <format dxfId="348">
      <pivotArea dataOnly="0" labelOnly="1" outline="0" fieldPosition="0">
        <references count="2">
          <reference field="0" count="1" selected="0">
            <x v="55"/>
          </reference>
          <reference field="1" count="1">
            <x v="81"/>
          </reference>
        </references>
      </pivotArea>
    </format>
    <format dxfId="347">
      <pivotArea dataOnly="0" labelOnly="1" outline="0" fieldPosition="0">
        <references count="2">
          <reference field="0" count="1" selected="0">
            <x v="56"/>
          </reference>
          <reference field="1" count="1">
            <x v="82"/>
          </reference>
        </references>
      </pivotArea>
    </format>
    <format dxfId="346">
      <pivotArea dataOnly="0" labelOnly="1" outline="0" fieldPosition="0">
        <references count="2">
          <reference field="0" count="1" selected="0">
            <x v="57"/>
          </reference>
          <reference field="1" count="1">
            <x v="83"/>
          </reference>
        </references>
      </pivotArea>
    </format>
    <format dxfId="345">
      <pivotArea dataOnly="0" labelOnly="1" outline="0" fieldPosition="0">
        <references count="2">
          <reference field="0" count="1" selected="0">
            <x v="58"/>
          </reference>
          <reference field="1" count="1">
            <x v="6"/>
          </reference>
        </references>
      </pivotArea>
    </format>
    <format dxfId="344">
      <pivotArea dataOnly="0" labelOnly="1" outline="0" fieldPosition="0">
        <references count="2">
          <reference field="0" count="1" selected="0">
            <x v="59"/>
          </reference>
          <reference field="1" count="1">
            <x v="15"/>
          </reference>
        </references>
      </pivotArea>
    </format>
    <format dxfId="343">
      <pivotArea dataOnly="0" labelOnly="1" outline="0" fieldPosition="0">
        <references count="2">
          <reference field="0" count="1" selected="0">
            <x v="60"/>
          </reference>
          <reference field="1" count="1">
            <x v="84"/>
          </reference>
        </references>
      </pivotArea>
    </format>
    <format dxfId="342">
      <pivotArea dataOnly="0" labelOnly="1" outline="0" fieldPosition="0">
        <references count="2">
          <reference field="0" count="1" selected="0">
            <x v="61"/>
          </reference>
          <reference field="1" count="1">
            <x v="85"/>
          </reference>
        </references>
      </pivotArea>
    </format>
    <format dxfId="341">
      <pivotArea dataOnly="0" labelOnly="1" outline="0" fieldPosition="0">
        <references count="2">
          <reference field="0" count="1" selected="0">
            <x v="62"/>
          </reference>
          <reference field="1" count="1">
            <x v="19"/>
          </reference>
        </references>
      </pivotArea>
    </format>
    <format dxfId="340">
      <pivotArea dataOnly="0" labelOnly="1" outline="0" fieldPosition="0">
        <references count="2">
          <reference field="0" count="1" selected="0">
            <x v="63"/>
          </reference>
          <reference field="1" count="1">
            <x v="86"/>
          </reference>
        </references>
      </pivotArea>
    </format>
    <format dxfId="339">
      <pivotArea dataOnly="0" labelOnly="1" outline="0" fieldPosition="0">
        <references count="2">
          <reference field="0" count="1" selected="0">
            <x v="64"/>
          </reference>
          <reference field="1" count="1">
            <x v="2"/>
          </reference>
        </references>
      </pivotArea>
    </format>
    <format dxfId="338">
      <pivotArea dataOnly="0" labelOnly="1" outline="0" fieldPosition="0">
        <references count="2">
          <reference field="0" count="1" selected="0">
            <x v="65"/>
          </reference>
          <reference field="1" count="1">
            <x v="87"/>
          </reference>
        </references>
      </pivotArea>
    </format>
    <format dxfId="337">
      <pivotArea dataOnly="0" labelOnly="1" outline="0" fieldPosition="0">
        <references count="2">
          <reference field="0" count="1" selected="0">
            <x v="66"/>
          </reference>
          <reference field="1" count="1">
            <x v="3"/>
          </reference>
        </references>
      </pivotArea>
    </format>
    <format dxfId="336">
      <pivotArea dataOnly="0" labelOnly="1" outline="0" fieldPosition="0">
        <references count="2">
          <reference field="0" count="1" selected="0">
            <x v="67"/>
          </reference>
          <reference field="1" count="1">
            <x v="88"/>
          </reference>
        </references>
      </pivotArea>
    </format>
    <format dxfId="335">
      <pivotArea dataOnly="0" labelOnly="1" outline="0" fieldPosition="0">
        <references count="2">
          <reference field="0" count="1" selected="0">
            <x v="68"/>
          </reference>
          <reference field="1" count="1">
            <x v="89"/>
          </reference>
        </references>
      </pivotArea>
    </format>
    <format dxfId="334">
      <pivotArea dataOnly="0" labelOnly="1" outline="0" fieldPosition="0">
        <references count="2">
          <reference field="0" count="1" selected="0">
            <x v="69"/>
          </reference>
          <reference field="1" count="1">
            <x v="22"/>
          </reference>
        </references>
      </pivotArea>
    </format>
    <format dxfId="333">
      <pivotArea dataOnly="0" labelOnly="1" outline="0" fieldPosition="0">
        <references count="3">
          <reference field="0" count="1" selected="0">
            <x v="0"/>
          </reference>
          <reference field="1" count="1" selected="0">
            <x v="23"/>
          </reference>
          <reference field="3" count="1">
            <x v="15"/>
          </reference>
        </references>
      </pivotArea>
    </format>
    <format dxfId="332">
      <pivotArea dataOnly="0" labelOnly="1" outline="0" fieldPosition="0">
        <references count="3">
          <reference field="0" count="1" selected="0">
            <x v="7"/>
          </reference>
          <reference field="1" count="1" selected="0">
            <x v="69"/>
          </reference>
          <reference field="3" count="1">
            <x v="24"/>
          </reference>
        </references>
      </pivotArea>
    </format>
    <format dxfId="331">
      <pivotArea dataOnly="0" labelOnly="1" outline="0" fieldPosition="0">
        <references count="3">
          <reference field="0" count="1" selected="0">
            <x v="12"/>
          </reference>
          <reference field="1" count="1" selected="0">
            <x v="18"/>
          </reference>
          <reference field="3" count="1">
            <x v="25"/>
          </reference>
        </references>
      </pivotArea>
    </format>
    <format dxfId="330">
      <pivotArea dataOnly="0" labelOnly="1" outline="0" fieldPosition="0">
        <references count="3">
          <reference field="0" count="1" selected="0">
            <x v="22"/>
          </reference>
          <reference field="1" count="1" selected="0">
            <x v="70"/>
          </reference>
          <reference field="3" count="1">
            <x v="26"/>
          </reference>
        </references>
      </pivotArea>
    </format>
    <format dxfId="329">
      <pivotArea dataOnly="0" labelOnly="1" outline="0" fieldPosition="0">
        <references count="3">
          <reference field="0" count="1" selected="0">
            <x v="28"/>
          </reference>
          <reference field="1" count="1" selected="0">
            <x v="71"/>
          </reference>
          <reference field="3" count="1">
            <x v="27"/>
          </reference>
        </references>
      </pivotArea>
    </format>
    <format dxfId="328">
      <pivotArea dataOnly="0" labelOnly="1" outline="0" fieldPosition="0">
        <references count="3">
          <reference field="0" count="1" selected="0">
            <x v="32"/>
          </reference>
          <reference field="1" count="1" selected="0">
            <x v="12"/>
          </reference>
          <reference field="3" count="1">
            <x v="28"/>
          </reference>
        </references>
      </pivotArea>
    </format>
    <format dxfId="327">
      <pivotArea dataOnly="0" labelOnly="1" outline="0" fieldPosition="0">
        <references count="3">
          <reference field="0" count="1" selected="0">
            <x v="38"/>
          </reference>
          <reference field="1" count="1" selected="0">
            <x v="72"/>
          </reference>
          <reference field="3" count="1">
            <x v="29"/>
          </reference>
        </references>
      </pivotArea>
    </format>
    <format dxfId="326">
      <pivotArea dataOnly="0" labelOnly="1" outline="0" fieldPosition="0">
        <references count="3">
          <reference field="0" count="1" selected="0">
            <x v="40"/>
          </reference>
          <reference field="1" count="1" selected="0">
            <x v="73"/>
          </reference>
          <reference field="3" count="1">
            <x v="30"/>
          </reference>
        </references>
      </pivotArea>
    </format>
    <format dxfId="325">
      <pivotArea dataOnly="0" labelOnly="1" outline="0" fieldPosition="0">
        <references count="3">
          <reference field="0" count="1" selected="0">
            <x v="45"/>
          </reference>
          <reference field="1" count="1" selected="0">
            <x v="74"/>
          </reference>
          <reference field="3" count="1">
            <x v="25"/>
          </reference>
        </references>
      </pivotArea>
    </format>
    <format dxfId="324">
      <pivotArea dataOnly="0" labelOnly="1" outline="0" fieldPosition="0">
        <references count="3">
          <reference field="0" count="1" selected="0">
            <x v="46"/>
          </reference>
          <reference field="1" count="1" selected="0">
            <x v="75"/>
          </reference>
          <reference field="3" count="1">
            <x v="29"/>
          </reference>
        </references>
      </pivotArea>
    </format>
    <format dxfId="323">
      <pivotArea dataOnly="0" labelOnly="1" outline="0" fieldPosition="0">
        <references count="3">
          <reference field="0" count="1" selected="0">
            <x v="48"/>
          </reference>
          <reference field="1" count="1" selected="0">
            <x v="76"/>
          </reference>
          <reference field="3" count="1">
            <x v="31"/>
          </reference>
        </references>
      </pivotArea>
    </format>
    <format dxfId="322">
      <pivotArea dataOnly="0" labelOnly="1" outline="0" fieldPosition="0">
        <references count="3">
          <reference field="0" count="1" selected="0">
            <x v="49"/>
          </reference>
          <reference field="1" count="1" selected="0">
            <x v="77"/>
          </reference>
          <reference field="3" count="1">
            <x v="32"/>
          </reference>
        </references>
      </pivotArea>
    </format>
    <format dxfId="321">
      <pivotArea dataOnly="0" labelOnly="1" outline="0" fieldPosition="0">
        <references count="3">
          <reference field="0" count="1" selected="0">
            <x v="50"/>
          </reference>
          <reference field="1" count="1" selected="0">
            <x v="78"/>
          </reference>
          <reference field="3" count="1">
            <x v="28"/>
          </reference>
        </references>
      </pivotArea>
    </format>
    <format dxfId="320">
      <pivotArea dataOnly="0" labelOnly="1" outline="0" fieldPosition="0">
        <references count="3">
          <reference field="0" count="1" selected="0">
            <x v="51"/>
          </reference>
          <reference field="1" count="1" selected="0">
            <x v="79"/>
          </reference>
          <reference field="3" count="1">
            <x v="33"/>
          </reference>
        </references>
      </pivotArea>
    </format>
    <format dxfId="319">
      <pivotArea dataOnly="0" labelOnly="1" outline="0" fieldPosition="0">
        <references count="3">
          <reference field="0" count="1" selected="0">
            <x v="52"/>
          </reference>
          <reference field="1" count="1" selected="0">
            <x v="80"/>
          </reference>
          <reference field="3" count="1">
            <x v="28"/>
          </reference>
        </references>
      </pivotArea>
    </format>
    <format dxfId="318">
      <pivotArea dataOnly="0" labelOnly="1" outline="0" fieldPosition="0">
        <references count="3">
          <reference field="0" count="1" selected="0">
            <x v="53"/>
          </reference>
          <reference field="1" count="1" selected="0">
            <x v="4"/>
          </reference>
          <reference field="3" count="1">
            <x v="25"/>
          </reference>
        </references>
      </pivotArea>
    </format>
    <format dxfId="317">
      <pivotArea dataOnly="0" labelOnly="1" outline="0" fieldPosition="0">
        <references count="3">
          <reference field="0" count="1" selected="0">
            <x v="54"/>
          </reference>
          <reference field="1" count="1" selected="0">
            <x v="1"/>
          </reference>
          <reference field="3" count="1">
            <x v="31"/>
          </reference>
        </references>
      </pivotArea>
    </format>
    <format dxfId="316">
      <pivotArea dataOnly="0" labelOnly="1" outline="0" fieldPosition="0">
        <references count="3">
          <reference field="0" count="1" selected="0">
            <x v="55"/>
          </reference>
          <reference field="1" count="1" selected="0">
            <x v="81"/>
          </reference>
          <reference field="3" count="1">
            <x v="25"/>
          </reference>
        </references>
      </pivotArea>
    </format>
    <format dxfId="315">
      <pivotArea dataOnly="0" labelOnly="1" outline="0" fieldPosition="0">
        <references count="3">
          <reference field="0" count="1" selected="0">
            <x v="57"/>
          </reference>
          <reference field="1" count="1" selected="0">
            <x v="83"/>
          </reference>
          <reference field="3" count="1">
            <x v="28"/>
          </reference>
        </references>
      </pivotArea>
    </format>
    <format dxfId="314">
      <pivotArea dataOnly="0" labelOnly="1" outline="0" fieldPosition="0">
        <references count="3">
          <reference field="0" count="1" selected="0">
            <x v="61"/>
          </reference>
          <reference field="1" count="1" selected="0">
            <x v="85"/>
          </reference>
          <reference field="3" count="1">
            <x v="34"/>
          </reference>
        </references>
      </pivotArea>
    </format>
    <format dxfId="313">
      <pivotArea dataOnly="0" labelOnly="1" outline="0" fieldPosition="0">
        <references count="3">
          <reference field="0" count="1" selected="0">
            <x v="62"/>
          </reference>
          <reference field="1" count="1" selected="0">
            <x v="19"/>
          </reference>
          <reference field="3" count="1">
            <x v="28"/>
          </reference>
        </references>
      </pivotArea>
    </format>
    <format dxfId="312">
      <pivotArea dataOnly="0" labelOnly="1" outline="0" fieldPosition="0">
        <references count="3">
          <reference field="0" count="1" selected="0">
            <x v="64"/>
          </reference>
          <reference field="1" count="1" selected="0">
            <x v="2"/>
          </reference>
          <reference field="3" count="1">
            <x v="35"/>
          </reference>
        </references>
      </pivotArea>
    </format>
    <format dxfId="311">
      <pivotArea dataOnly="0" labelOnly="1" outline="0" fieldPosition="0">
        <references count="3">
          <reference field="0" count="1" selected="0">
            <x v="65"/>
          </reference>
          <reference field="1" count="1" selected="0">
            <x v="87"/>
          </reference>
          <reference field="3" count="1">
            <x v="33"/>
          </reference>
        </references>
      </pivotArea>
    </format>
    <format dxfId="310">
      <pivotArea dataOnly="0" labelOnly="1" outline="0" fieldPosition="0">
        <references count="3">
          <reference field="0" count="1" selected="0">
            <x v="66"/>
          </reference>
          <reference field="1" count="1" selected="0">
            <x v="3"/>
          </reference>
          <reference field="3" count="1">
            <x v="36"/>
          </reference>
        </references>
      </pivotArea>
    </format>
    <format dxfId="309">
      <pivotArea dataOnly="0" labelOnly="1" outline="0" fieldPosition="0">
        <references count="3">
          <reference field="0" count="1" selected="0">
            <x v="67"/>
          </reference>
          <reference field="1" count="1" selected="0">
            <x v="88"/>
          </reference>
          <reference field="3" count="1">
            <x v="33"/>
          </reference>
        </references>
      </pivotArea>
    </format>
    <format dxfId="308">
      <pivotArea dataOnly="0" labelOnly="1" outline="0" fieldPosition="0">
        <references count="3">
          <reference field="0" count="1" selected="0">
            <x v="69"/>
          </reference>
          <reference field="1" count="1" selected="0">
            <x v="22"/>
          </reference>
          <reference field="3" count="1">
            <x v="37"/>
          </reference>
        </references>
      </pivotArea>
    </format>
    <format dxfId="307">
      <pivotArea dataOnly="0" labelOnly="1" outline="0" fieldPosition="0">
        <references count="4">
          <reference field="0" count="1" selected="0">
            <x v="0"/>
          </reference>
          <reference field="1" count="1" selected="0">
            <x v="23"/>
          </reference>
          <reference field="3" count="1" selected="0">
            <x v="15"/>
          </reference>
          <reference field="4" count="1">
            <x v="42"/>
          </reference>
        </references>
      </pivotArea>
    </format>
    <format dxfId="306">
      <pivotArea dataOnly="0" labelOnly="1" outline="0" fieldPosition="0">
        <references count="4">
          <reference field="0" count="1" selected="0">
            <x v="7"/>
          </reference>
          <reference field="1" count="1" selected="0">
            <x v="69"/>
          </reference>
          <reference field="3" count="1" selected="0">
            <x v="24"/>
          </reference>
          <reference field="4" count="1">
            <x v="22"/>
          </reference>
        </references>
      </pivotArea>
    </format>
    <format dxfId="305">
      <pivotArea dataOnly="0" labelOnly="1" outline="0" fieldPosition="0">
        <references count="4">
          <reference field="0" count="1" selected="0">
            <x v="12"/>
          </reference>
          <reference field="1" count="1" selected="0">
            <x v="18"/>
          </reference>
          <reference field="3" count="1" selected="0">
            <x v="25"/>
          </reference>
          <reference field="4" count="1">
            <x v="23"/>
          </reference>
        </references>
      </pivotArea>
    </format>
    <format dxfId="304">
      <pivotArea dataOnly="0" labelOnly="1" outline="0" fieldPosition="0">
        <references count="4">
          <reference field="0" count="1" selected="0">
            <x v="22"/>
          </reference>
          <reference field="1" count="1" selected="0">
            <x v="70"/>
          </reference>
          <reference field="3" count="1" selected="0">
            <x v="26"/>
          </reference>
          <reference field="4" count="1">
            <x v="24"/>
          </reference>
        </references>
      </pivotArea>
    </format>
    <format dxfId="303">
      <pivotArea dataOnly="0" labelOnly="1" outline="0" fieldPosition="0">
        <references count="4">
          <reference field="0" count="1" selected="0">
            <x v="28"/>
          </reference>
          <reference field="1" count="1" selected="0">
            <x v="71"/>
          </reference>
          <reference field="3" count="1" selected="0">
            <x v="27"/>
          </reference>
          <reference field="4" count="1">
            <x v="25"/>
          </reference>
        </references>
      </pivotArea>
    </format>
    <format dxfId="302">
      <pivotArea dataOnly="0" labelOnly="1" outline="0" fieldPosition="0">
        <references count="4">
          <reference field="0" count="1" selected="0">
            <x v="32"/>
          </reference>
          <reference field="1" count="1" selected="0">
            <x v="12"/>
          </reference>
          <reference field="3" count="1" selected="0">
            <x v="28"/>
          </reference>
          <reference field="4" count="1">
            <x v="26"/>
          </reference>
        </references>
      </pivotArea>
    </format>
    <format dxfId="301">
      <pivotArea dataOnly="0" labelOnly="1" outline="0" fieldPosition="0">
        <references count="4">
          <reference field="0" count="1" selected="0">
            <x v="38"/>
          </reference>
          <reference field="1" count="1" selected="0">
            <x v="72"/>
          </reference>
          <reference field="3" count="1" selected="0">
            <x v="29"/>
          </reference>
          <reference field="4" count="1">
            <x v="27"/>
          </reference>
        </references>
      </pivotArea>
    </format>
    <format dxfId="300">
      <pivotArea dataOnly="0" labelOnly="1" outline="0" fieldPosition="0">
        <references count="4">
          <reference field="0" count="1" selected="0">
            <x v="40"/>
          </reference>
          <reference field="1" count="1" selected="0">
            <x v="73"/>
          </reference>
          <reference field="3" count="1" selected="0">
            <x v="30"/>
          </reference>
          <reference field="4" count="1">
            <x v="18"/>
          </reference>
        </references>
      </pivotArea>
    </format>
    <format dxfId="299">
      <pivotArea dataOnly="0" labelOnly="1" outline="0" fieldPosition="0">
        <references count="4">
          <reference field="0" count="1" selected="0">
            <x v="45"/>
          </reference>
          <reference field="1" count="1" selected="0">
            <x v="74"/>
          </reference>
          <reference field="3" count="1" selected="0">
            <x v="25"/>
          </reference>
          <reference field="4" count="1">
            <x v="28"/>
          </reference>
        </references>
      </pivotArea>
    </format>
    <format dxfId="298">
      <pivotArea dataOnly="0" labelOnly="1" outline="0" fieldPosition="0">
        <references count="4">
          <reference field="0" count="1" selected="0">
            <x v="47"/>
          </reference>
          <reference field="1" count="1" selected="0">
            <x v="9"/>
          </reference>
          <reference field="3" count="1" selected="0">
            <x v="29"/>
          </reference>
          <reference field="4" count="1">
            <x v="29"/>
          </reference>
        </references>
      </pivotArea>
    </format>
    <format dxfId="297">
      <pivotArea dataOnly="0" labelOnly="1" outline="0" fieldPosition="0">
        <references count="4">
          <reference field="0" count="1" selected="0">
            <x v="49"/>
          </reference>
          <reference field="1" count="1" selected="0">
            <x v="77"/>
          </reference>
          <reference field="3" count="1" selected="0">
            <x v="32"/>
          </reference>
          <reference field="4" count="1">
            <x v="43"/>
          </reference>
        </references>
      </pivotArea>
    </format>
    <format dxfId="296">
      <pivotArea dataOnly="0" labelOnly="1" outline="0" fieldPosition="0">
        <references count="4">
          <reference field="0" count="1" selected="0">
            <x v="50"/>
          </reference>
          <reference field="1" count="1" selected="0">
            <x v="78"/>
          </reference>
          <reference field="3" count="1" selected="0">
            <x v="28"/>
          </reference>
          <reference field="4" count="1">
            <x v="20"/>
          </reference>
        </references>
      </pivotArea>
    </format>
    <format dxfId="295">
      <pivotArea dataOnly="0" labelOnly="1" outline="0" fieldPosition="0">
        <references count="4">
          <reference field="0" count="1" selected="0">
            <x v="51"/>
          </reference>
          <reference field="1" count="1" selected="0">
            <x v="79"/>
          </reference>
          <reference field="3" count="1" selected="0">
            <x v="33"/>
          </reference>
          <reference field="4" count="1">
            <x v="30"/>
          </reference>
        </references>
      </pivotArea>
    </format>
    <format dxfId="294">
      <pivotArea dataOnly="0" labelOnly="1" outline="0" fieldPosition="0">
        <references count="4">
          <reference field="0" count="1" selected="0">
            <x v="52"/>
          </reference>
          <reference field="1" count="1" selected="0">
            <x v="80"/>
          </reference>
          <reference field="3" count="1" selected="0">
            <x v="28"/>
          </reference>
          <reference field="4" count="1">
            <x v="20"/>
          </reference>
        </references>
      </pivotArea>
    </format>
    <format dxfId="293">
      <pivotArea dataOnly="0" labelOnly="1" outline="0" fieldPosition="0">
        <references count="4">
          <reference field="0" count="1" selected="0">
            <x v="53"/>
          </reference>
          <reference field="1" count="1" selected="0">
            <x v="4"/>
          </reference>
          <reference field="3" count="1" selected="0">
            <x v="25"/>
          </reference>
          <reference field="4" count="1">
            <x v="31"/>
          </reference>
        </references>
      </pivotArea>
    </format>
    <format dxfId="292">
      <pivotArea dataOnly="0" labelOnly="1" outline="0" fieldPosition="0">
        <references count="4">
          <reference field="0" count="1" selected="0">
            <x v="55"/>
          </reference>
          <reference field="1" count="1" selected="0">
            <x v="81"/>
          </reference>
          <reference field="3" count="1" selected="0">
            <x v="25"/>
          </reference>
          <reference field="4" count="1">
            <x v="21"/>
          </reference>
        </references>
      </pivotArea>
    </format>
    <format dxfId="291">
      <pivotArea dataOnly="0" labelOnly="1" outline="0" fieldPosition="0">
        <references count="4">
          <reference field="0" count="1" selected="0">
            <x v="56"/>
          </reference>
          <reference field="1" count="1" selected="0">
            <x v="82"/>
          </reference>
          <reference field="3" count="1" selected="0">
            <x v="25"/>
          </reference>
          <reference field="4" count="1">
            <x v="32"/>
          </reference>
        </references>
      </pivotArea>
    </format>
    <format dxfId="290">
      <pivotArea dataOnly="0" labelOnly="1" outline="0" fieldPosition="0">
        <references count="4">
          <reference field="0" count="1" selected="0">
            <x v="59"/>
          </reference>
          <reference field="1" count="1" selected="0">
            <x v="15"/>
          </reference>
          <reference field="3" count="1" selected="0">
            <x v="28"/>
          </reference>
          <reference field="4" count="1">
            <x v="33"/>
          </reference>
        </references>
      </pivotArea>
    </format>
    <format dxfId="289">
      <pivotArea dataOnly="0" labelOnly="1" outline="0" fieldPosition="0">
        <references count="4">
          <reference field="0" count="1" selected="0">
            <x v="62"/>
          </reference>
          <reference field="1" count="1" selected="0">
            <x v="19"/>
          </reference>
          <reference field="3" count="1" selected="0">
            <x v="28"/>
          </reference>
          <reference field="4" count="1">
            <x v="34"/>
          </reference>
        </references>
      </pivotArea>
    </format>
    <format dxfId="288">
      <pivotArea dataOnly="0" labelOnly="1" outline="0" fieldPosition="0">
        <references count="4">
          <reference field="0" count="1" selected="0">
            <x v="65"/>
          </reference>
          <reference field="1" count="1" selected="0">
            <x v="87"/>
          </reference>
          <reference field="3" count="1" selected="0">
            <x v="33"/>
          </reference>
          <reference field="4" count="1">
            <x v="44"/>
          </reference>
        </references>
      </pivotArea>
    </format>
    <format dxfId="287">
      <pivotArea dataOnly="0" labelOnly="1" outline="0" fieldPosition="0">
        <references count="4">
          <reference field="0" count="1" selected="0">
            <x v="66"/>
          </reference>
          <reference field="1" count="1" selected="0">
            <x v="3"/>
          </reference>
          <reference field="3" count="1" selected="0">
            <x v="36"/>
          </reference>
          <reference field="4" count="1">
            <x v="35"/>
          </reference>
        </references>
      </pivotArea>
    </format>
    <format dxfId="286">
      <pivotArea dataOnly="0" labelOnly="1" outline="0" fieldPosition="0">
        <references count="4">
          <reference field="0" count="1" selected="0">
            <x v="67"/>
          </reference>
          <reference field="1" count="1" selected="0">
            <x v="88"/>
          </reference>
          <reference field="3" count="1" selected="0">
            <x v="33"/>
          </reference>
          <reference field="4" count="1">
            <x v="36"/>
          </reference>
        </references>
      </pivotArea>
    </format>
    <format dxfId="285">
      <pivotArea dataOnly="0" labelOnly="1" outline="0" fieldPosition="0">
        <references count="4">
          <reference field="0" count="1" selected="0">
            <x v="69"/>
          </reference>
          <reference field="1" count="1" selected="0">
            <x v="22"/>
          </reference>
          <reference field="3" count="1" selected="0">
            <x v="37"/>
          </reference>
          <reference field="4" count="1">
            <x v="45"/>
          </reference>
        </references>
      </pivotArea>
    </format>
    <format dxfId="284">
      <pivotArea dataOnly="0" labelOnly="1" outline="0" fieldPosition="0">
        <references count="5">
          <reference field="0" count="1" selected="0">
            <x v="0"/>
          </reference>
          <reference field="1" count="1" selected="0">
            <x v="23"/>
          </reference>
          <reference field="3" count="1" selected="0">
            <x v="15"/>
          </reference>
          <reference field="4" count="1" selected="0">
            <x v="42"/>
          </reference>
          <reference field="5" count="1">
            <x v="5"/>
          </reference>
        </references>
      </pivotArea>
    </format>
    <format dxfId="283">
      <pivotArea dataOnly="0" labelOnly="1" outline="0" fieldPosition="0">
        <references count="5">
          <reference field="0" count="1" selected="0">
            <x v="12"/>
          </reference>
          <reference field="1" count="1" selected="0">
            <x v="18"/>
          </reference>
          <reference field="3" count="1" selected="0">
            <x v="25"/>
          </reference>
          <reference field="4" count="1" selected="0">
            <x v="23"/>
          </reference>
          <reference field="5" count="1">
            <x v="3"/>
          </reference>
        </references>
      </pivotArea>
    </format>
    <format dxfId="282">
      <pivotArea dataOnly="0" labelOnly="1" outline="0" fieldPosition="0">
        <references count="5">
          <reference field="0" count="1" selected="0">
            <x v="22"/>
          </reference>
          <reference field="1" count="1" selected="0">
            <x v="70"/>
          </reference>
          <reference field="3" count="1" selected="0">
            <x v="26"/>
          </reference>
          <reference field="4" count="1" selected="0">
            <x v="24"/>
          </reference>
          <reference field="5" count="1">
            <x v="1"/>
          </reference>
        </references>
      </pivotArea>
    </format>
    <format dxfId="281">
      <pivotArea dataOnly="0" labelOnly="1" outline="0" fieldPosition="0">
        <references count="5">
          <reference field="0" count="1" selected="0">
            <x v="28"/>
          </reference>
          <reference field="1" count="1" selected="0">
            <x v="71"/>
          </reference>
          <reference field="3" count="1" selected="0">
            <x v="27"/>
          </reference>
          <reference field="4" count="1" selected="0">
            <x v="25"/>
          </reference>
          <reference field="5" count="1">
            <x v="3"/>
          </reference>
        </references>
      </pivotArea>
    </format>
    <format dxfId="280">
      <pivotArea dataOnly="0" labelOnly="1" outline="0" fieldPosition="0">
        <references count="5">
          <reference field="0" count="1" selected="0">
            <x v="32"/>
          </reference>
          <reference field="1" count="1" selected="0">
            <x v="12"/>
          </reference>
          <reference field="3" count="1" selected="0">
            <x v="28"/>
          </reference>
          <reference field="4" count="1" selected="0">
            <x v="26"/>
          </reference>
          <reference field="5" count="1">
            <x v="0"/>
          </reference>
        </references>
      </pivotArea>
    </format>
    <format dxfId="279">
      <pivotArea dataOnly="0" labelOnly="1" outline="0" fieldPosition="0">
        <references count="5">
          <reference field="0" count="1" selected="0">
            <x v="40"/>
          </reference>
          <reference field="1" count="1" selected="0">
            <x v="73"/>
          </reference>
          <reference field="3" count="1" selected="0">
            <x v="30"/>
          </reference>
          <reference field="4" count="1" selected="0">
            <x v="18"/>
          </reference>
          <reference field="5" count="1">
            <x v="1"/>
          </reference>
        </references>
      </pivotArea>
    </format>
    <format dxfId="278">
      <pivotArea dataOnly="0" labelOnly="1" outline="0" fieldPosition="0">
        <references count="5">
          <reference field="0" count="1" selected="0">
            <x v="45"/>
          </reference>
          <reference field="1" count="1" selected="0">
            <x v="74"/>
          </reference>
          <reference field="3" count="1" selected="0">
            <x v="25"/>
          </reference>
          <reference field="4" count="1" selected="0">
            <x v="28"/>
          </reference>
          <reference field="5" count="1">
            <x v="5"/>
          </reference>
        </references>
      </pivotArea>
    </format>
    <format dxfId="277">
      <pivotArea dataOnly="0" labelOnly="1" outline="0" fieldPosition="0">
        <references count="5">
          <reference field="0" count="1" selected="0">
            <x v="47"/>
          </reference>
          <reference field="1" count="1" selected="0">
            <x v="9"/>
          </reference>
          <reference field="3" count="1" selected="0">
            <x v="29"/>
          </reference>
          <reference field="4" count="1" selected="0">
            <x v="29"/>
          </reference>
          <reference field="5" count="1">
            <x v="1"/>
          </reference>
        </references>
      </pivotArea>
    </format>
    <format dxfId="276">
      <pivotArea dataOnly="0" labelOnly="1" outline="0" fieldPosition="0">
        <references count="5">
          <reference field="0" count="1" selected="0">
            <x v="49"/>
          </reference>
          <reference field="1" count="1" selected="0">
            <x v="77"/>
          </reference>
          <reference field="3" count="1" selected="0">
            <x v="32"/>
          </reference>
          <reference field="4" count="1" selected="0">
            <x v="43"/>
          </reference>
          <reference field="5" count="1">
            <x v="3"/>
          </reference>
        </references>
      </pivotArea>
    </format>
    <format dxfId="275">
      <pivotArea dataOnly="0" labelOnly="1" outline="0" fieldPosition="0">
        <references count="5">
          <reference field="0" count="1" selected="0">
            <x v="50"/>
          </reference>
          <reference field="1" count="1" selected="0">
            <x v="78"/>
          </reference>
          <reference field="3" count="1" selected="0">
            <x v="28"/>
          </reference>
          <reference field="4" count="1" selected="0">
            <x v="20"/>
          </reference>
          <reference field="5" count="1">
            <x v="1"/>
          </reference>
        </references>
      </pivotArea>
    </format>
    <format dxfId="274">
      <pivotArea dataOnly="0" labelOnly="1" outline="0" fieldPosition="0">
        <references count="5">
          <reference field="0" count="1" selected="0">
            <x v="51"/>
          </reference>
          <reference field="1" count="1" selected="0">
            <x v="79"/>
          </reference>
          <reference field="3" count="1" selected="0">
            <x v="33"/>
          </reference>
          <reference field="4" count="1" selected="0">
            <x v="30"/>
          </reference>
          <reference field="5" count="1">
            <x v="5"/>
          </reference>
        </references>
      </pivotArea>
    </format>
    <format dxfId="273">
      <pivotArea dataOnly="0" labelOnly="1" outline="0" fieldPosition="0">
        <references count="5">
          <reference field="0" count="1" selected="0">
            <x v="52"/>
          </reference>
          <reference field="1" count="1" selected="0">
            <x v="80"/>
          </reference>
          <reference field="3" count="1" selected="0">
            <x v="28"/>
          </reference>
          <reference field="4" count="1" selected="0">
            <x v="20"/>
          </reference>
          <reference field="5" count="1">
            <x v="1"/>
          </reference>
        </references>
      </pivotArea>
    </format>
    <format dxfId="272">
      <pivotArea dataOnly="0" labelOnly="1" outline="0" fieldPosition="0">
        <references count="5">
          <reference field="0" count="1" selected="0">
            <x v="53"/>
          </reference>
          <reference field="1" count="1" selected="0">
            <x v="4"/>
          </reference>
          <reference field="3" count="1" selected="0">
            <x v="25"/>
          </reference>
          <reference field="4" count="1" selected="0">
            <x v="31"/>
          </reference>
          <reference field="5" count="1">
            <x v="5"/>
          </reference>
        </references>
      </pivotArea>
    </format>
    <format dxfId="271">
      <pivotArea dataOnly="0" labelOnly="1" outline="0" fieldPosition="0">
        <references count="5">
          <reference field="0" count="1" selected="0">
            <x v="59"/>
          </reference>
          <reference field="1" count="1" selected="0">
            <x v="15"/>
          </reference>
          <reference field="3" count="1" selected="0">
            <x v="28"/>
          </reference>
          <reference field="4" count="1" selected="0">
            <x v="33"/>
          </reference>
          <reference field="5" count="1">
            <x v="6"/>
          </reference>
        </references>
      </pivotArea>
    </format>
    <format dxfId="270">
      <pivotArea dataOnly="0" labelOnly="1" outline="0" fieldPosition="0">
        <references count="5">
          <reference field="0" count="1" selected="0">
            <x v="60"/>
          </reference>
          <reference field="1" count="1" selected="0">
            <x v="84"/>
          </reference>
          <reference field="3" count="1" selected="0">
            <x v="28"/>
          </reference>
          <reference field="4" count="1" selected="0">
            <x v="33"/>
          </reference>
          <reference field="5" count="1">
            <x v="1"/>
          </reference>
        </references>
      </pivotArea>
    </format>
    <format dxfId="269">
      <pivotArea dataOnly="0" labelOnly="1" outline="0" fieldPosition="0">
        <references count="5">
          <reference field="0" count="1" selected="0">
            <x v="62"/>
          </reference>
          <reference field="1" count="1" selected="0">
            <x v="19"/>
          </reference>
          <reference field="3" count="1" selected="0">
            <x v="28"/>
          </reference>
          <reference field="4" count="1" selected="0">
            <x v="34"/>
          </reference>
          <reference field="5" count="1">
            <x v="3"/>
          </reference>
        </references>
      </pivotArea>
    </format>
    <format dxfId="268">
      <pivotArea dataOnly="0" labelOnly="1" outline="0" fieldPosition="0">
        <references count="5">
          <reference field="0" count="1" selected="0">
            <x v="63"/>
          </reference>
          <reference field="1" count="1" selected="0">
            <x v="86"/>
          </reference>
          <reference field="3" count="1" selected="0">
            <x v="28"/>
          </reference>
          <reference field="4" count="1" selected="0">
            <x v="34"/>
          </reference>
          <reference field="5" count="1">
            <x v="1"/>
          </reference>
        </references>
      </pivotArea>
    </format>
    <format dxfId="267">
      <pivotArea dataOnly="0" labelOnly="1" outline="0" fieldPosition="0">
        <references count="5">
          <reference field="0" count="1" selected="0">
            <x v="65"/>
          </reference>
          <reference field="1" count="1" selected="0">
            <x v="87"/>
          </reference>
          <reference field="3" count="1" selected="0">
            <x v="33"/>
          </reference>
          <reference field="4" count="1" selected="0">
            <x v="44"/>
          </reference>
          <reference field="5" count="1">
            <x v="3"/>
          </reference>
        </references>
      </pivotArea>
    </format>
    <format dxfId="266">
      <pivotArea dataOnly="0" labelOnly="1" outline="0" fieldPosition="0">
        <references count="5">
          <reference field="0" count="1" selected="0">
            <x v="66"/>
          </reference>
          <reference field="1" count="1" selected="0">
            <x v="3"/>
          </reference>
          <reference field="3" count="1" selected="0">
            <x v="36"/>
          </reference>
          <reference field="4" count="1" selected="0">
            <x v="35"/>
          </reference>
          <reference field="5" count="1">
            <x v="1"/>
          </reference>
        </references>
      </pivotArea>
    </format>
    <format dxfId="265">
      <pivotArea dataOnly="0" labelOnly="1" outline="0" fieldPosition="0">
        <references count="5">
          <reference field="0" count="1" selected="0">
            <x v="67"/>
          </reference>
          <reference field="1" count="1" selected="0">
            <x v="88"/>
          </reference>
          <reference field="3" count="1" selected="0">
            <x v="33"/>
          </reference>
          <reference field="4" count="1" selected="0">
            <x v="36"/>
          </reference>
          <reference field="5" count="1">
            <x v="3"/>
          </reference>
        </references>
      </pivotArea>
    </format>
    <format dxfId="264">
      <pivotArea dataOnly="0" labelOnly="1" outline="0" fieldPosition="0">
        <references count="5">
          <reference field="0" count="1" selected="0">
            <x v="68"/>
          </reference>
          <reference field="1" count="1" selected="0">
            <x v="89"/>
          </reference>
          <reference field="3" count="1" selected="0">
            <x v="33"/>
          </reference>
          <reference field="4" count="1" selected="0">
            <x v="36"/>
          </reference>
          <reference field="5" count="1">
            <x v="1"/>
          </reference>
        </references>
      </pivotArea>
    </format>
    <format dxfId="263">
      <pivotArea dataOnly="0" labelOnly="1" outline="0" fieldPosition="0">
        <references count="5">
          <reference field="0" count="1" selected="0">
            <x v="69"/>
          </reference>
          <reference field="1" count="1" selected="0">
            <x v="22"/>
          </reference>
          <reference field="3" count="1" selected="0">
            <x v="37"/>
          </reference>
          <reference field="4" count="1" selected="0">
            <x v="45"/>
          </reference>
          <reference field="5" count="1">
            <x v="5"/>
          </reference>
        </references>
      </pivotArea>
    </format>
    <format dxfId="262">
      <pivotArea dataOnly="0" labelOnly="1" outline="0" fieldPosition="0">
        <references count="6">
          <reference field="0" count="1" selected="0">
            <x v="0"/>
          </reference>
          <reference field="1" count="1" selected="0">
            <x v="23"/>
          </reference>
          <reference field="3" count="1" selected="0">
            <x v="15"/>
          </reference>
          <reference field="4" count="1" selected="0">
            <x v="42"/>
          </reference>
          <reference field="5" count="1" selected="0">
            <x v="5"/>
          </reference>
          <reference field="6" count="1">
            <x v="10"/>
          </reference>
        </references>
      </pivotArea>
    </format>
    <format dxfId="261">
      <pivotArea dataOnly="0" labelOnly="1" outline="0" fieldPosition="0">
        <references count="6">
          <reference field="0" count="1" selected="0">
            <x v="7"/>
          </reference>
          <reference field="1" count="1" selected="0">
            <x v="69"/>
          </reference>
          <reference field="3" count="1" selected="0">
            <x v="24"/>
          </reference>
          <reference field="4" count="1" selected="0">
            <x v="22"/>
          </reference>
          <reference field="5" count="1" selected="0">
            <x v="5"/>
          </reference>
          <reference field="6" count="1">
            <x v="39"/>
          </reference>
        </references>
      </pivotArea>
    </format>
    <format dxfId="260">
      <pivotArea dataOnly="0" labelOnly="1" outline="0" fieldPosition="0">
        <references count="6">
          <reference field="0" count="1" selected="0">
            <x v="12"/>
          </reference>
          <reference field="1" count="1" selected="0">
            <x v="18"/>
          </reference>
          <reference field="3" count="1" selected="0">
            <x v="25"/>
          </reference>
          <reference field="4" count="1" selected="0">
            <x v="23"/>
          </reference>
          <reference field="5" count="1" selected="0">
            <x v="3"/>
          </reference>
          <reference field="6" count="1">
            <x v="40"/>
          </reference>
        </references>
      </pivotArea>
    </format>
    <format dxfId="259">
      <pivotArea dataOnly="0" labelOnly="1" outline="0" fieldPosition="0">
        <references count="6">
          <reference field="0" count="1" selected="0">
            <x v="22"/>
          </reference>
          <reference field="1" count="1" selected="0">
            <x v="70"/>
          </reference>
          <reference field="3" count="1" selected="0">
            <x v="26"/>
          </reference>
          <reference field="4" count="1" selected="0">
            <x v="24"/>
          </reference>
          <reference field="5" count="1" selected="0">
            <x v="1"/>
          </reference>
          <reference field="6" count="1">
            <x v="25"/>
          </reference>
        </references>
      </pivotArea>
    </format>
    <format dxfId="258">
      <pivotArea dataOnly="0" labelOnly="1" outline="0" fieldPosition="0">
        <references count="6">
          <reference field="0" count="1" selected="0">
            <x v="32"/>
          </reference>
          <reference field="1" count="1" selected="0">
            <x v="12"/>
          </reference>
          <reference field="3" count="1" selected="0">
            <x v="28"/>
          </reference>
          <reference field="4" count="1" selected="0">
            <x v="26"/>
          </reference>
          <reference field="5" count="1" selected="0">
            <x v="0"/>
          </reference>
          <reference field="6" count="1">
            <x v="41"/>
          </reference>
        </references>
      </pivotArea>
    </format>
    <format dxfId="257">
      <pivotArea dataOnly="0" labelOnly="1" outline="0" fieldPosition="0">
        <references count="6">
          <reference field="0" count="1" selected="0">
            <x v="38"/>
          </reference>
          <reference field="1" count="1" selected="0">
            <x v="72"/>
          </reference>
          <reference field="3" count="1" selected="0">
            <x v="29"/>
          </reference>
          <reference field="4" count="1" selected="0">
            <x v="27"/>
          </reference>
          <reference field="5" count="1" selected="0">
            <x v="0"/>
          </reference>
          <reference field="6" count="1">
            <x v="28"/>
          </reference>
        </references>
      </pivotArea>
    </format>
    <format dxfId="256">
      <pivotArea dataOnly="0" labelOnly="1" outline="0" fieldPosition="0">
        <references count="6">
          <reference field="0" count="1" selected="0">
            <x v="40"/>
          </reference>
          <reference field="1" count="1" selected="0">
            <x v="73"/>
          </reference>
          <reference field="3" count="1" selected="0">
            <x v="30"/>
          </reference>
          <reference field="4" count="1" selected="0">
            <x v="18"/>
          </reference>
          <reference field="5" count="1" selected="0">
            <x v="1"/>
          </reference>
          <reference field="6" count="1">
            <x v="41"/>
          </reference>
        </references>
      </pivotArea>
    </format>
    <format dxfId="255">
      <pivotArea dataOnly="0" labelOnly="1" outline="0" fieldPosition="0">
        <references count="6">
          <reference field="0" count="1" selected="0">
            <x v="45"/>
          </reference>
          <reference field="1" count="1" selected="0">
            <x v="74"/>
          </reference>
          <reference field="3" count="1" selected="0">
            <x v="25"/>
          </reference>
          <reference field="4" count="1" selected="0">
            <x v="28"/>
          </reference>
          <reference field="5" count="1" selected="0">
            <x v="5"/>
          </reference>
          <reference field="6" count="1">
            <x v="26"/>
          </reference>
        </references>
      </pivotArea>
    </format>
    <format dxfId="254">
      <pivotArea dataOnly="0" labelOnly="1" outline="0" fieldPosition="0">
        <references count="6">
          <reference field="0" count="1" selected="0">
            <x v="47"/>
          </reference>
          <reference field="1" count="1" selected="0">
            <x v="9"/>
          </reference>
          <reference field="3" count="1" selected="0">
            <x v="29"/>
          </reference>
          <reference field="4" count="1" selected="0">
            <x v="29"/>
          </reference>
          <reference field="5" count="1" selected="0">
            <x v="1"/>
          </reference>
          <reference field="6" count="1">
            <x v="29"/>
          </reference>
        </references>
      </pivotArea>
    </format>
    <format dxfId="253">
      <pivotArea dataOnly="0" labelOnly="1" outline="0" fieldPosition="0">
        <references count="6">
          <reference field="0" count="1" selected="0">
            <x v="50"/>
          </reference>
          <reference field="1" count="1" selected="0">
            <x v="78"/>
          </reference>
          <reference field="3" count="1" selected="0">
            <x v="28"/>
          </reference>
          <reference field="4" count="1" selected="0">
            <x v="20"/>
          </reference>
          <reference field="5" count="1" selected="0">
            <x v="1"/>
          </reference>
          <reference field="6" count="1">
            <x v="30"/>
          </reference>
        </references>
      </pivotArea>
    </format>
    <format dxfId="252">
      <pivotArea dataOnly="0" labelOnly="1" outline="0" fieldPosition="0">
        <references count="6">
          <reference field="0" count="1" selected="0">
            <x v="51"/>
          </reference>
          <reference field="1" count="1" selected="0">
            <x v="79"/>
          </reference>
          <reference field="3" count="1" selected="0">
            <x v="33"/>
          </reference>
          <reference field="4" count="1" selected="0">
            <x v="30"/>
          </reference>
          <reference field="5" count="1" selected="0">
            <x v="5"/>
          </reference>
          <reference field="6" count="1">
            <x v="29"/>
          </reference>
        </references>
      </pivotArea>
    </format>
    <format dxfId="251">
      <pivotArea dataOnly="0" labelOnly="1" outline="0" fieldPosition="0">
        <references count="6">
          <reference field="0" count="1" selected="0">
            <x v="52"/>
          </reference>
          <reference field="1" count="1" selected="0">
            <x v="80"/>
          </reference>
          <reference field="3" count="1" selected="0">
            <x v="28"/>
          </reference>
          <reference field="4" count="1" selected="0">
            <x v="20"/>
          </reference>
          <reference field="5" count="1" selected="0">
            <x v="1"/>
          </reference>
          <reference field="6" count="1">
            <x v="30"/>
          </reference>
        </references>
      </pivotArea>
    </format>
    <format dxfId="250">
      <pivotArea dataOnly="0" labelOnly="1" outline="0" fieldPosition="0">
        <references count="6">
          <reference field="0" count="1" selected="0">
            <x v="55"/>
          </reference>
          <reference field="1" count="1" selected="0">
            <x v="81"/>
          </reference>
          <reference field="3" count="1" selected="0">
            <x v="25"/>
          </reference>
          <reference field="4" count="1" selected="0">
            <x v="21"/>
          </reference>
          <reference field="5" count="1" selected="0">
            <x v="5"/>
          </reference>
          <reference field="6" count="1">
            <x v="31"/>
          </reference>
        </references>
      </pivotArea>
    </format>
    <format dxfId="249">
      <pivotArea dataOnly="0" labelOnly="1" outline="0" fieldPosition="0">
        <references count="6">
          <reference field="0" count="1" selected="0">
            <x v="56"/>
          </reference>
          <reference field="1" count="1" selected="0">
            <x v="82"/>
          </reference>
          <reference field="3" count="1" selected="0">
            <x v="25"/>
          </reference>
          <reference field="4" count="1" selected="0">
            <x v="32"/>
          </reference>
          <reference field="5" count="1" selected="0">
            <x v="5"/>
          </reference>
          <reference field="6" count="1">
            <x v="42"/>
          </reference>
        </references>
      </pivotArea>
    </format>
    <format dxfId="248">
      <pivotArea dataOnly="0" labelOnly="1" outline="0" fieldPosition="0">
        <references count="6">
          <reference field="0" count="1" selected="0">
            <x v="59"/>
          </reference>
          <reference field="1" count="1" selected="0">
            <x v="15"/>
          </reference>
          <reference field="3" count="1" selected="0">
            <x v="28"/>
          </reference>
          <reference field="4" count="1" selected="0">
            <x v="33"/>
          </reference>
          <reference field="5" count="1" selected="0">
            <x v="6"/>
          </reference>
          <reference field="6" count="1">
            <x v="43"/>
          </reference>
        </references>
      </pivotArea>
    </format>
    <format dxfId="247">
      <pivotArea dataOnly="0" labelOnly="1" outline="0" fieldPosition="0">
        <references count="6">
          <reference field="0" count="1" selected="0">
            <x v="60"/>
          </reference>
          <reference field="1" count="1" selected="0">
            <x v="84"/>
          </reference>
          <reference field="3" count="1" selected="0">
            <x v="28"/>
          </reference>
          <reference field="4" count="1" selected="0">
            <x v="33"/>
          </reference>
          <reference field="5" count="1" selected="0">
            <x v="1"/>
          </reference>
          <reference field="6" count="1">
            <x v="33"/>
          </reference>
        </references>
      </pivotArea>
    </format>
    <format dxfId="246">
      <pivotArea dataOnly="0" labelOnly="1" outline="0" fieldPosition="0">
        <references count="6">
          <reference field="0" count="1" selected="0">
            <x v="63"/>
          </reference>
          <reference field="1" count="1" selected="0">
            <x v="86"/>
          </reference>
          <reference field="3" count="1" selected="0">
            <x v="28"/>
          </reference>
          <reference field="4" count="1" selected="0">
            <x v="34"/>
          </reference>
          <reference field="5" count="1" selected="0">
            <x v="1"/>
          </reference>
          <reference field="6" count="1">
            <x v="34"/>
          </reference>
        </references>
      </pivotArea>
    </format>
    <format dxfId="245">
      <pivotArea dataOnly="0" labelOnly="1" outline="0" fieldPosition="0">
        <references count="6">
          <reference field="0" count="1" selected="0">
            <x v="66"/>
          </reference>
          <reference field="1" count="1" selected="0">
            <x v="3"/>
          </reference>
          <reference field="3" count="1" selected="0">
            <x v="36"/>
          </reference>
          <reference field="4" count="1" selected="0">
            <x v="35"/>
          </reference>
          <reference field="5" count="1" selected="0">
            <x v="1"/>
          </reference>
          <reference field="6" count="1">
            <x v="43"/>
          </reference>
        </references>
      </pivotArea>
    </format>
    <format dxfId="244">
      <pivotArea dataOnly="0" labelOnly="1" outline="0" fieldPosition="0">
        <references count="6">
          <reference field="0" count="1" selected="0">
            <x v="68"/>
          </reference>
          <reference field="1" count="1" selected="0">
            <x v="89"/>
          </reference>
          <reference field="3" count="1" selected="0">
            <x v="33"/>
          </reference>
          <reference field="4" count="1" selected="0">
            <x v="36"/>
          </reference>
          <reference field="5" count="1" selected="0">
            <x v="1"/>
          </reference>
          <reference field="6" count="1">
            <x v="44"/>
          </reference>
        </references>
      </pivotArea>
    </format>
    <format dxfId="243">
      <pivotArea dataOnly="0" labelOnly="1" outline="0" fieldPosition="0">
        <references count="6">
          <reference field="0" count="1" selected="0">
            <x v="69"/>
          </reference>
          <reference field="1" count="1" selected="0">
            <x v="22"/>
          </reference>
          <reference field="3" count="1" selected="0">
            <x v="37"/>
          </reference>
          <reference field="4" count="1" selected="0">
            <x v="45"/>
          </reference>
          <reference field="5" count="1" selected="0">
            <x v="5"/>
          </reference>
          <reference field="6" count="1">
            <x v="36"/>
          </reference>
        </references>
      </pivotArea>
    </format>
    <format dxfId="242">
      <pivotArea dataOnly="0" labelOnly="1" outline="0" fieldPosition="0">
        <references count="7">
          <reference field="0" count="1" selected="0">
            <x v="0"/>
          </reference>
          <reference field="1" count="1" selected="0">
            <x v="23"/>
          </reference>
          <reference field="3" count="1" selected="0">
            <x v="15"/>
          </reference>
          <reference field="4" count="1" selected="0">
            <x v="42"/>
          </reference>
          <reference field="5" count="1" selected="0">
            <x v="5"/>
          </reference>
          <reference field="6" count="1" selected="0">
            <x v="10"/>
          </reference>
          <reference field="7" count="1">
            <x v="1"/>
          </reference>
        </references>
      </pivotArea>
    </format>
    <format dxfId="241">
      <pivotArea dataOnly="0" labelOnly="1" outline="0" fieldPosition="0">
        <references count="7">
          <reference field="0" count="1" selected="0">
            <x v="22"/>
          </reference>
          <reference field="1" count="1" selected="0">
            <x v="70"/>
          </reference>
          <reference field="3" count="1" selected="0">
            <x v="26"/>
          </reference>
          <reference field="4" count="1" selected="0">
            <x v="24"/>
          </reference>
          <reference field="5" count="1" selected="0">
            <x v="1"/>
          </reference>
          <reference field="6" count="1" selected="0">
            <x v="25"/>
          </reference>
          <reference field="7" count="1">
            <x v="0"/>
          </reference>
        </references>
      </pivotArea>
    </format>
    <format dxfId="240">
      <pivotArea dataOnly="0" labelOnly="1" outline="0" fieldPosition="0">
        <references count="7">
          <reference field="0" count="1" selected="0">
            <x v="28"/>
          </reference>
          <reference field="1" count="1" selected="0">
            <x v="71"/>
          </reference>
          <reference field="3" count="1" selected="0">
            <x v="27"/>
          </reference>
          <reference field="4" count="1" selected="0">
            <x v="25"/>
          </reference>
          <reference field="5" count="1" selected="0">
            <x v="3"/>
          </reference>
          <reference field="6" count="1" selected="0">
            <x v="25"/>
          </reference>
          <reference field="7" count="1">
            <x v="1"/>
          </reference>
        </references>
      </pivotArea>
    </format>
    <format dxfId="239">
      <pivotArea dataOnly="0" labelOnly="1" outline="0" fieldPosition="0">
        <references count="7">
          <reference field="0" count="1" selected="0">
            <x v="32"/>
          </reference>
          <reference field="1" count="1" selected="0">
            <x v="12"/>
          </reference>
          <reference field="3" count="1" selected="0">
            <x v="28"/>
          </reference>
          <reference field="4" count="1" selected="0">
            <x v="26"/>
          </reference>
          <reference field="5" count="1" selected="0">
            <x v="0"/>
          </reference>
          <reference field="6" count="1" selected="0">
            <x v="41"/>
          </reference>
          <reference field="7" count="1">
            <x v="4"/>
          </reference>
        </references>
      </pivotArea>
    </format>
    <format dxfId="238">
      <pivotArea dataOnly="0" labelOnly="1" outline="0" fieldPosition="0">
        <references count="7">
          <reference field="0" count="1" selected="0">
            <x v="38"/>
          </reference>
          <reference field="1" count="1" selected="0">
            <x v="72"/>
          </reference>
          <reference field="3" count="1" selected="0">
            <x v="29"/>
          </reference>
          <reference field="4" count="1" selected="0">
            <x v="27"/>
          </reference>
          <reference field="5" count="1" selected="0">
            <x v="0"/>
          </reference>
          <reference field="6" count="1" selected="0">
            <x v="28"/>
          </reference>
          <reference field="7" count="1">
            <x v="0"/>
          </reference>
        </references>
      </pivotArea>
    </format>
    <format dxfId="237">
      <pivotArea dataOnly="0" labelOnly="1" outline="0" fieldPosition="0">
        <references count="7">
          <reference field="0" count="1" selected="0">
            <x v="40"/>
          </reference>
          <reference field="1" count="1" selected="0">
            <x v="73"/>
          </reference>
          <reference field="3" count="1" selected="0">
            <x v="30"/>
          </reference>
          <reference field="4" count="1" selected="0">
            <x v="18"/>
          </reference>
          <reference field="5" count="1" selected="0">
            <x v="1"/>
          </reference>
          <reference field="6" count="1" selected="0">
            <x v="41"/>
          </reference>
          <reference field="7" count="1">
            <x v="1"/>
          </reference>
        </references>
      </pivotArea>
    </format>
    <format dxfId="236">
      <pivotArea dataOnly="0" labelOnly="1" outline="0" fieldPosition="0">
        <references count="7">
          <reference field="0" count="1" selected="0">
            <x v="45"/>
          </reference>
          <reference field="1" count="1" selected="0">
            <x v="74"/>
          </reference>
          <reference field="3" count="1" selected="0">
            <x v="25"/>
          </reference>
          <reference field="4" count="1" selected="0">
            <x v="28"/>
          </reference>
          <reference field="5" count="1" selected="0">
            <x v="5"/>
          </reference>
          <reference field="6" count="1" selected="0">
            <x v="26"/>
          </reference>
          <reference field="7" count="1">
            <x v="2"/>
          </reference>
        </references>
      </pivotArea>
    </format>
    <format dxfId="235">
      <pivotArea dataOnly="0" labelOnly="1" outline="0" fieldPosition="0">
        <references count="8">
          <reference field="0" count="1" selected="0">
            <x v="0"/>
          </reference>
          <reference field="1" count="1" selected="0">
            <x v="23"/>
          </reference>
          <reference field="3" count="1" selected="0">
            <x v="15"/>
          </reference>
          <reference field="4" count="1" selected="0">
            <x v="42"/>
          </reference>
          <reference field="5" count="1" selected="0">
            <x v="5"/>
          </reference>
          <reference field="6" count="1" selected="0">
            <x v="10"/>
          </reference>
          <reference field="7" count="1" selected="0">
            <x v="1"/>
          </reference>
          <reference field="8" count="1">
            <x v="3"/>
          </reference>
        </references>
      </pivotArea>
    </format>
    <format dxfId="234">
      <pivotArea dataOnly="0" labelOnly="1" outline="0" fieldPosition="0">
        <references count="8">
          <reference field="0" count="1" selected="0">
            <x v="7"/>
          </reference>
          <reference field="1" count="1" selected="0">
            <x v="69"/>
          </reference>
          <reference field="3" count="1" selected="0">
            <x v="24"/>
          </reference>
          <reference field="4" count="1" selected="0">
            <x v="22"/>
          </reference>
          <reference field="5" count="1" selected="0">
            <x v="5"/>
          </reference>
          <reference field="6" count="1" selected="0">
            <x v="39"/>
          </reference>
          <reference field="7" count="1" selected="0">
            <x v="1"/>
          </reference>
          <reference field="8" count="1">
            <x v="3"/>
          </reference>
        </references>
      </pivotArea>
    </format>
    <format dxfId="233">
      <pivotArea dataOnly="0" labelOnly="1" outline="0" fieldPosition="0">
        <references count="8">
          <reference field="0" count="1" selected="0">
            <x v="12"/>
          </reference>
          <reference field="1" count="1" selected="0">
            <x v="18"/>
          </reference>
          <reference field="3" count="1" selected="0">
            <x v="25"/>
          </reference>
          <reference field="4" count="1" selected="0">
            <x v="23"/>
          </reference>
          <reference field="5" count="1" selected="0">
            <x v="3"/>
          </reference>
          <reference field="6" count="1" selected="0">
            <x v="40"/>
          </reference>
          <reference field="7" count="1" selected="0">
            <x v="1"/>
          </reference>
          <reference field="8" count="1">
            <x v="8"/>
          </reference>
        </references>
      </pivotArea>
    </format>
    <format dxfId="232">
      <pivotArea dataOnly="0" labelOnly="1" outline="0" fieldPosition="0">
        <references count="8">
          <reference field="0" count="1" selected="0">
            <x v="22"/>
          </reference>
          <reference field="1" count="1" selected="0">
            <x v="70"/>
          </reference>
          <reference field="3" count="1" selected="0">
            <x v="26"/>
          </reference>
          <reference field="4" count="1" selected="0">
            <x v="24"/>
          </reference>
          <reference field="5" count="1" selected="0">
            <x v="1"/>
          </reference>
          <reference field="6" count="1" selected="0">
            <x v="25"/>
          </reference>
          <reference field="7" count="1" selected="0">
            <x v="0"/>
          </reference>
          <reference field="8" count="1">
            <x v="5"/>
          </reference>
        </references>
      </pivotArea>
    </format>
    <format dxfId="231">
      <pivotArea dataOnly="0" labelOnly="1" outline="0" fieldPosition="0">
        <references count="8">
          <reference field="0" count="1" selected="0">
            <x v="28"/>
          </reference>
          <reference field="1" count="1" selected="0">
            <x v="71"/>
          </reference>
          <reference field="3" count="1" selected="0">
            <x v="27"/>
          </reference>
          <reference field="4" count="1" selected="0">
            <x v="25"/>
          </reference>
          <reference field="5" count="1" selected="0">
            <x v="3"/>
          </reference>
          <reference field="6" count="1" selected="0">
            <x v="25"/>
          </reference>
          <reference field="7" count="1" selected="0">
            <x v="1"/>
          </reference>
          <reference field="8" count="1">
            <x v="8"/>
          </reference>
        </references>
      </pivotArea>
    </format>
    <format dxfId="230">
      <pivotArea dataOnly="0" labelOnly="1" outline="0" fieldPosition="0">
        <references count="8">
          <reference field="0" count="1" selected="0">
            <x v="32"/>
          </reference>
          <reference field="1" count="1" selected="0">
            <x v="12"/>
          </reference>
          <reference field="3" count="1" selected="0">
            <x v="28"/>
          </reference>
          <reference field="4" count="1" selected="0">
            <x v="26"/>
          </reference>
          <reference field="5" count="1" selected="0">
            <x v="0"/>
          </reference>
          <reference field="6" count="1" selected="0">
            <x v="41"/>
          </reference>
          <reference field="7" count="1" selected="0">
            <x v="4"/>
          </reference>
          <reference field="8" count="1">
            <x v="7"/>
          </reference>
        </references>
      </pivotArea>
    </format>
    <format dxfId="229">
      <pivotArea dataOnly="0" labelOnly="1" outline="0" fieldPosition="0">
        <references count="8">
          <reference field="0" count="1" selected="0">
            <x v="38"/>
          </reference>
          <reference field="1" count="1" selected="0">
            <x v="72"/>
          </reference>
          <reference field="3" count="1" selected="0">
            <x v="29"/>
          </reference>
          <reference field="4" count="1" selected="0">
            <x v="27"/>
          </reference>
          <reference field="5" count="1" selected="0">
            <x v="0"/>
          </reference>
          <reference field="6" count="1" selected="0">
            <x v="28"/>
          </reference>
          <reference field="7" count="1" selected="0">
            <x v="0"/>
          </reference>
          <reference field="8" count="1">
            <x v="1"/>
          </reference>
        </references>
      </pivotArea>
    </format>
    <format dxfId="228">
      <pivotArea dataOnly="0" labelOnly="1" outline="0" fieldPosition="0">
        <references count="8">
          <reference field="0" count="1" selected="0">
            <x v="40"/>
          </reference>
          <reference field="1" count="1" selected="0">
            <x v="73"/>
          </reference>
          <reference field="3" count="1" selected="0">
            <x v="30"/>
          </reference>
          <reference field="4" count="1" selected="0">
            <x v="18"/>
          </reference>
          <reference field="5" count="1" selected="0">
            <x v="1"/>
          </reference>
          <reference field="6" count="1" selected="0">
            <x v="41"/>
          </reference>
          <reference field="7" count="1" selected="0">
            <x v="1"/>
          </reference>
          <reference field="8" count="1">
            <x v="2"/>
          </reference>
        </references>
      </pivotArea>
    </format>
    <format dxfId="227">
      <pivotArea dataOnly="0" labelOnly="1" outline="0" fieldPosition="0">
        <references count="8">
          <reference field="0" count="1" selected="0">
            <x v="45"/>
          </reference>
          <reference field="1" count="1" selected="0">
            <x v="74"/>
          </reference>
          <reference field="3" count="1" selected="0">
            <x v="25"/>
          </reference>
          <reference field="4" count="1" selected="0">
            <x v="28"/>
          </reference>
          <reference field="5" count="1" selected="0">
            <x v="5"/>
          </reference>
          <reference field="6" count="1" selected="0">
            <x v="26"/>
          </reference>
          <reference field="7" count="1" selected="0">
            <x v="2"/>
          </reference>
          <reference field="8" count="1">
            <x v="0"/>
          </reference>
        </references>
      </pivotArea>
    </format>
    <format dxfId="226">
      <pivotArea dataOnly="0" labelOnly="1" outline="0" fieldPosition="0">
        <references count="8">
          <reference field="0" count="1" selected="0">
            <x v="46"/>
          </reference>
          <reference field="1" count="1" selected="0">
            <x v="75"/>
          </reference>
          <reference field="3" count="1" selected="0">
            <x v="29"/>
          </reference>
          <reference field="4" count="1" selected="0">
            <x v="28"/>
          </reference>
          <reference field="5" count="1" selected="0">
            <x v="5"/>
          </reference>
          <reference field="6" count="1" selected="0">
            <x v="26"/>
          </reference>
          <reference field="7" count="1" selected="0">
            <x v="2"/>
          </reference>
          <reference field="8" count="1">
            <x v="0"/>
          </reference>
        </references>
      </pivotArea>
    </format>
    <format dxfId="225">
      <pivotArea dataOnly="0" labelOnly="1" outline="0" fieldPosition="0">
        <references count="8">
          <reference field="0" count="1" selected="0">
            <x v="47"/>
          </reference>
          <reference field="1" count="1" selected="0">
            <x v="9"/>
          </reference>
          <reference field="3" count="1" selected="0">
            <x v="29"/>
          </reference>
          <reference field="4" count="1" selected="0">
            <x v="29"/>
          </reference>
          <reference field="5" count="1" selected="0">
            <x v="1"/>
          </reference>
          <reference field="6" count="1" selected="0">
            <x v="29"/>
          </reference>
          <reference field="7" count="1" selected="0">
            <x v="2"/>
          </reference>
          <reference field="8" count="1">
            <x v="0"/>
          </reference>
        </references>
      </pivotArea>
    </format>
    <format dxfId="224">
      <pivotArea dataOnly="0" labelOnly="1" outline="0" fieldPosition="0">
        <references count="8">
          <reference field="0" count="1" selected="0">
            <x v="48"/>
          </reference>
          <reference field="1" count="1" selected="0">
            <x v="76"/>
          </reference>
          <reference field="3" count="1" selected="0">
            <x v="31"/>
          </reference>
          <reference field="4" count="1" selected="0">
            <x v="29"/>
          </reference>
          <reference field="5" count="1" selected="0">
            <x v="1"/>
          </reference>
          <reference field="6" count="1" selected="0">
            <x v="29"/>
          </reference>
          <reference field="7" count="1" selected="0">
            <x v="2"/>
          </reference>
          <reference field="8" count="1">
            <x v="0"/>
          </reference>
        </references>
      </pivotArea>
    </format>
    <format dxfId="223">
      <pivotArea dataOnly="0" labelOnly="1" outline="0" fieldPosition="0">
        <references count="8">
          <reference field="0" count="1" selected="0">
            <x v="49"/>
          </reference>
          <reference field="1" count="1" selected="0">
            <x v="77"/>
          </reference>
          <reference field="3" count="1" selected="0">
            <x v="32"/>
          </reference>
          <reference field="4" count="1" selected="0">
            <x v="43"/>
          </reference>
          <reference field="5" count="1" selected="0">
            <x v="3"/>
          </reference>
          <reference field="6" count="1" selected="0">
            <x v="29"/>
          </reference>
          <reference field="7" count="1" selected="0">
            <x v="2"/>
          </reference>
          <reference field="8" count="1">
            <x v="0"/>
          </reference>
        </references>
      </pivotArea>
    </format>
    <format dxfId="222">
      <pivotArea dataOnly="0" labelOnly="1" outline="0" fieldPosition="0">
        <references count="8">
          <reference field="0" count="1" selected="0">
            <x v="50"/>
          </reference>
          <reference field="1" count="1" selected="0">
            <x v="78"/>
          </reference>
          <reference field="3" count="1" selected="0">
            <x v="28"/>
          </reference>
          <reference field="4" count="1" selected="0">
            <x v="20"/>
          </reference>
          <reference field="5" count="1" selected="0">
            <x v="1"/>
          </reference>
          <reference field="6" count="1" selected="0">
            <x v="30"/>
          </reference>
          <reference field="7" count="1" selected="0">
            <x v="2"/>
          </reference>
          <reference field="8" count="1">
            <x v="0"/>
          </reference>
        </references>
      </pivotArea>
    </format>
    <format dxfId="221">
      <pivotArea dataOnly="0" labelOnly="1" outline="0" fieldPosition="0">
        <references count="8">
          <reference field="0" count="1" selected="0">
            <x v="51"/>
          </reference>
          <reference field="1" count="1" selected="0">
            <x v="79"/>
          </reference>
          <reference field="3" count="1" selected="0">
            <x v="33"/>
          </reference>
          <reference field="4" count="1" selected="0">
            <x v="30"/>
          </reference>
          <reference field="5" count="1" selected="0">
            <x v="5"/>
          </reference>
          <reference field="6" count="1" selected="0">
            <x v="29"/>
          </reference>
          <reference field="7" count="1" selected="0">
            <x v="2"/>
          </reference>
          <reference field="8" count="1">
            <x v="0"/>
          </reference>
        </references>
      </pivotArea>
    </format>
    <format dxfId="220">
      <pivotArea dataOnly="0" labelOnly="1" outline="0" fieldPosition="0">
        <references count="8">
          <reference field="0" count="1" selected="0">
            <x v="52"/>
          </reference>
          <reference field="1" count="1" selected="0">
            <x v="80"/>
          </reference>
          <reference field="3" count="1" selected="0">
            <x v="28"/>
          </reference>
          <reference field="4" count="1" selected="0">
            <x v="20"/>
          </reference>
          <reference field="5" count="1" selected="0">
            <x v="1"/>
          </reference>
          <reference field="6" count="1" selected="0">
            <x v="30"/>
          </reference>
          <reference field="7" count="1" selected="0">
            <x v="2"/>
          </reference>
          <reference field="8" count="1">
            <x v="0"/>
          </reference>
        </references>
      </pivotArea>
    </format>
    <format dxfId="219">
      <pivotArea dataOnly="0" labelOnly="1" outline="0" fieldPosition="0">
        <references count="8">
          <reference field="0" count="1" selected="0">
            <x v="53"/>
          </reference>
          <reference field="1" count="1" selected="0">
            <x v="4"/>
          </reference>
          <reference field="3" count="1" selected="0">
            <x v="25"/>
          </reference>
          <reference field="4" count="1" selected="0">
            <x v="31"/>
          </reference>
          <reference field="5" count="1" selected="0">
            <x v="5"/>
          </reference>
          <reference field="6" count="1" selected="0">
            <x v="30"/>
          </reference>
          <reference field="7" count="1" selected="0">
            <x v="2"/>
          </reference>
          <reference field="8" count="1">
            <x v="0"/>
          </reference>
        </references>
      </pivotArea>
    </format>
    <format dxfId="218">
      <pivotArea dataOnly="0" labelOnly="1" outline="0" fieldPosition="0">
        <references count="8">
          <reference field="0" count="1" selected="0">
            <x v="54"/>
          </reference>
          <reference field="1" count="1" selected="0">
            <x v="1"/>
          </reference>
          <reference field="3" count="1" selected="0">
            <x v="31"/>
          </reference>
          <reference field="4" count="1" selected="0">
            <x v="31"/>
          </reference>
          <reference field="5" count="1" selected="0">
            <x v="5"/>
          </reference>
          <reference field="6" count="1" selected="0">
            <x v="30"/>
          </reference>
          <reference field="7" count="1" selected="0">
            <x v="2"/>
          </reference>
          <reference field="8" count="1">
            <x v="0"/>
          </reference>
        </references>
      </pivotArea>
    </format>
    <format dxfId="217">
      <pivotArea dataOnly="0" labelOnly="1" outline="0" fieldPosition="0">
        <references count="8">
          <reference field="0" count="1" selected="0">
            <x v="55"/>
          </reference>
          <reference field="1" count="1" selected="0">
            <x v="81"/>
          </reference>
          <reference field="3" count="1" selected="0">
            <x v="25"/>
          </reference>
          <reference field="4" count="1" selected="0">
            <x v="21"/>
          </reference>
          <reference field="5" count="1" selected="0">
            <x v="5"/>
          </reference>
          <reference field="6" count="1" selected="0">
            <x v="31"/>
          </reference>
          <reference field="7" count="1" selected="0">
            <x v="2"/>
          </reference>
          <reference field="8" count="1">
            <x v="0"/>
          </reference>
        </references>
      </pivotArea>
    </format>
    <format dxfId="216">
      <pivotArea dataOnly="0" labelOnly="1" outline="0" fieldPosition="0">
        <references count="8">
          <reference field="0" count="1" selected="0">
            <x v="56"/>
          </reference>
          <reference field="1" count="1" selected="0">
            <x v="82"/>
          </reference>
          <reference field="3" count="1" selected="0">
            <x v="25"/>
          </reference>
          <reference field="4" count="1" selected="0">
            <x v="32"/>
          </reference>
          <reference field="5" count="1" selected="0">
            <x v="5"/>
          </reference>
          <reference field="6" count="1" selected="0">
            <x v="42"/>
          </reference>
          <reference field="7" count="1" selected="0">
            <x v="2"/>
          </reference>
          <reference field="8" count="1">
            <x v="0"/>
          </reference>
        </references>
      </pivotArea>
    </format>
    <format dxfId="215">
      <pivotArea dataOnly="0" labelOnly="1" outline="0" fieldPosition="0">
        <references count="8">
          <reference field="0" count="1" selected="0">
            <x v="57"/>
          </reference>
          <reference field="1" count="1" selected="0">
            <x v="83"/>
          </reference>
          <reference field="3" count="1" selected="0">
            <x v="28"/>
          </reference>
          <reference field="4" count="1" selected="0">
            <x v="32"/>
          </reference>
          <reference field="5" count="1" selected="0">
            <x v="5"/>
          </reference>
          <reference field="6" count="1" selected="0">
            <x v="42"/>
          </reference>
          <reference field="7" count="1" selected="0">
            <x v="2"/>
          </reference>
          <reference field="8" count="1">
            <x v="0"/>
          </reference>
        </references>
      </pivotArea>
    </format>
    <format dxfId="214">
      <pivotArea dataOnly="0" labelOnly="1" outline="0" fieldPosition="0">
        <references count="8">
          <reference field="0" count="1" selected="0">
            <x v="58"/>
          </reference>
          <reference field="1" count="1" selected="0">
            <x v="6"/>
          </reference>
          <reference field="3" count="1" selected="0">
            <x v="28"/>
          </reference>
          <reference field="4" count="1" selected="0">
            <x v="32"/>
          </reference>
          <reference field="5" count="1" selected="0">
            <x v="5"/>
          </reference>
          <reference field="6" count="1" selected="0">
            <x v="42"/>
          </reference>
          <reference field="7" count="1" selected="0">
            <x v="2"/>
          </reference>
          <reference field="8" count="1">
            <x v="0"/>
          </reference>
        </references>
      </pivotArea>
    </format>
    <format dxfId="213">
      <pivotArea dataOnly="0" labelOnly="1" outline="0" fieldPosition="0">
        <references count="8">
          <reference field="0" count="1" selected="0">
            <x v="59"/>
          </reference>
          <reference field="1" count="1" selected="0">
            <x v="15"/>
          </reference>
          <reference field="3" count="1" selected="0">
            <x v="28"/>
          </reference>
          <reference field="4" count="1" selected="0">
            <x v="33"/>
          </reference>
          <reference field="5" count="1" selected="0">
            <x v="6"/>
          </reference>
          <reference field="6" count="1" selected="0">
            <x v="43"/>
          </reference>
          <reference field="7" count="1" selected="0">
            <x v="2"/>
          </reference>
          <reference field="8" count="1">
            <x v="0"/>
          </reference>
        </references>
      </pivotArea>
    </format>
    <format dxfId="212">
      <pivotArea dataOnly="0" labelOnly="1" outline="0" fieldPosition="0">
        <references count="8">
          <reference field="0" count="1" selected="0">
            <x v="60"/>
          </reference>
          <reference field="1" count="1" selected="0">
            <x v="84"/>
          </reference>
          <reference field="3" count="1" selected="0">
            <x v="28"/>
          </reference>
          <reference field="4" count="1" selected="0">
            <x v="33"/>
          </reference>
          <reference field="5" count="1" selected="0">
            <x v="1"/>
          </reference>
          <reference field="6" count="1" selected="0">
            <x v="33"/>
          </reference>
          <reference field="7" count="1" selected="0">
            <x v="2"/>
          </reference>
          <reference field="8" count="1">
            <x v="0"/>
          </reference>
        </references>
      </pivotArea>
    </format>
    <format dxfId="211">
      <pivotArea dataOnly="0" labelOnly="1" outline="0" fieldPosition="0">
        <references count="8">
          <reference field="0" count="1" selected="0">
            <x v="61"/>
          </reference>
          <reference field="1" count="1" selected="0">
            <x v="85"/>
          </reference>
          <reference field="3" count="1" selected="0">
            <x v="34"/>
          </reference>
          <reference field="4" count="1" selected="0">
            <x v="33"/>
          </reference>
          <reference field="5" count="1" selected="0">
            <x v="1"/>
          </reference>
          <reference field="6" count="1" selected="0">
            <x v="33"/>
          </reference>
          <reference field="7" count="1" selected="0">
            <x v="2"/>
          </reference>
          <reference field="8" count="1">
            <x v="0"/>
          </reference>
        </references>
      </pivotArea>
    </format>
    <format dxfId="210">
      <pivotArea dataOnly="0" labelOnly="1" outline="0" fieldPosition="0">
        <references count="8">
          <reference field="0" count="1" selected="0">
            <x v="62"/>
          </reference>
          <reference field="1" count="1" selected="0">
            <x v="19"/>
          </reference>
          <reference field="3" count="1" selected="0">
            <x v="28"/>
          </reference>
          <reference field="4" count="1" selected="0">
            <x v="34"/>
          </reference>
          <reference field="5" count="1" selected="0">
            <x v="3"/>
          </reference>
          <reference field="6" count="1" selected="0">
            <x v="33"/>
          </reference>
          <reference field="7" count="1" selected="0">
            <x v="2"/>
          </reference>
          <reference field="8" count="1">
            <x v="0"/>
          </reference>
        </references>
      </pivotArea>
    </format>
    <format dxfId="209">
      <pivotArea dataOnly="0" labelOnly="1" outline="0" fieldPosition="0">
        <references count="8">
          <reference field="0" count="1" selected="0">
            <x v="63"/>
          </reference>
          <reference field="1" count="1" selected="0">
            <x v="86"/>
          </reference>
          <reference field="3" count="1" selected="0">
            <x v="28"/>
          </reference>
          <reference field="4" count="1" selected="0">
            <x v="34"/>
          </reference>
          <reference field="5" count="1" selected="0">
            <x v="1"/>
          </reference>
          <reference field="6" count="1" selected="0">
            <x v="34"/>
          </reference>
          <reference field="7" count="1" selected="0">
            <x v="2"/>
          </reference>
          <reference field="8" count="1">
            <x v="0"/>
          </reference>
        </references>
      </pivotArea>
    </format>
    <format dxfId="208">
      <pivotArea dataOnly="0" labelOnly="1" outline="0" fieldPosition="0">
        <references count="8">
          <reference field="0" count="1" selected="0">
            <x v="64"/>
          </reference>
          <reference field="1" count="1" selected="0">
            <x v="2"/>
          </reference>
          <reference field="3" count="1" selected="0">
            <x v="35"/>
          </reference>
          <reference field="4" count="1" selected="0">
            <x v="34"/>
          </reference>
          <reference field="5" count="1" selected="0">
            <x v="1"/>
          </reference>
          <reference field="6" count="1" selected="0">
            <x v="34"/>
          </reference>
          <reference field="7" count="1" selected="0">
            <x v="2"/>
          </reference>
          <reference field="8" count="1">
            <x v="0"/>
          </reference>
        </references>
      </pivotArea>
    </format>
    <format dxfId="207">
      <pivotArea dataOnly="0" labelOnly="1" outline="0" fieldPosition="0">
        <references count="8">
          <reference field="0" count="1" selected="0">
            <x v="65"/>
          </reference>
          <reference field="1" count="1" selected="0">
            <x v="87"/>
          </reference>
          <reference field="3" count="1" selected="0">
            <x v="33"/>
          </reference>
          <reference field="4" count="1" selected="0">
            <x v="44"/>
          </reference>
          <reference field="5" count="1" selected="0">
            <x v="3"/>
          </reference>
          <reference field="6" count="1" selected="0">
            <x v="34"/>
          </reference>
          <reference field="7" count="1" selected="0">
            <x v="2"/>
          </reference>
          <reference field="8" count="1">
            <x v="0"/>
          </reference>
        </references>
      </pivotArea>
    </format>
    <format dxfId="206">
      <pivotArea dataOnly="0" labelOnly="1" outline="0" fieldPosition="0">
        <references count="8">
          <reference field="0" count="1" selected="0">
            <x v="66"/>
          </reference>
          <reference field="1" count="1" selected="0">
            <x v="3"/>
          </reference>
          <reference field="3" count="1" selected="0">
            <x v="36"/>
          </reference>
          <reference field="4" count="1" selected="0">
            <x v="35"/>
          </reference>
          <reference field="5" count="1" selected="0">
            <x v="1"/>
          </reference>
          <reference field="6" count="1" selected="0">
            <x v="43"/>
          </reference>
          <reference field="7" count="1" selected="0">
            <x v="2"/>
          </reference>
          <reference field="8" count="1">
            <x v="0"/>
          </reference>
        </references>
      </pivotArea>
    </format>
    <format dxfId="205">
      <pivotArea dataOnly="0" labelOnly="1" outline="0" fieldPosition="0">
        <references count="8">
          <reference field="0" count="1" selected="0">
            <x v="67"/>
          </reference>
          <reference field="1" count="1" selected="0">
            <x v="88"/>
          </reference>
          <reference field="3" count="1" selected="0">
            <x v="33"/>
          </reference>
          <reference field="4" count="1" selected="0">
            <x v="36"/>
          </reference>
          <reference field="5" count="1" selected="0">
            <x v="3"/>
          </reference>
          <reference field="6" count="1" selected="0">
            <x v="43"/>
          </reference>
          <reference field="7" count="1" selected="0">
            <x v="2"/>
          </reference>
          <reference field="8" count="1">
            <x v="0"/>
          </reference>
        </references>
      </pivotArea>
    </format>
    <format dxfId="204">
      <pivotArea dataOnly="0" labelOnly="1" outline="0" fieldPosition="0">
        <references count="8">
          <reference field="0" count="1" selected="0">
            <x v="68"/>
          </reference>
          <reference field="1" count="1" selected="0">
            <x v="89"/>
          </reference>
          <reference field="3" count="1" selected="0">
            <x v="33"/>
          </reference>
          <reference field="4" count="1" selected="0">
            <x v="36"/>
          </reference>
          <reference field="5" count="1" selected="0">
            <x v="1"/>
          </reference>
          <reference field="6" count="1" selected="0">
            <x v="44"/>
          </reference>
          <reference field="7" count="1" selected="0">
            <x v="2"/>
          </reference>
          <reference field="8" count="1">
            <x v="0"/>
          </reference>
        </references>
      </pivotArea>
    </format>
    <format dxfId="203">
      <pivotArea dataOnly="0" labelOnly="1" outline="0" fieldPosition="0">
        <references count="8">
          <reference field="0" count="1" selected="0">
            <x v="69"/>
          </reference>
          <reference field="1" count="1" selected="0">
            <x v="22"/>
          </reference>
          <reference field="3" count="1" selected="0">
            <x v="37"/>
          </reference>
          <reference field="4" count="1" selected="0">
            <x v="45"/>
          </reference>
          <reference field="5" count="1" selected="0">
            <x v="5"/>
          </reference>
          <reference field="6" count="1" selected="0">
            <x v="36"/>
          </reference>
          <reference field="7" count="1" selected="0">
            <x v="2"/>
          </reference>
          <reference field="8" count="1">
            <x v="0"/>
          </reference>
        </references>
      </pivotArea>
    </format>
    <format dxfId="202">
      <pivotArea type="all" dataOnly="0" outline="0" fieldPosition="0"/>
    </format>
    <format dxfId="201">
      <pivotArea field="0" type="button" dataOnly="0" labelOnly="1" outline="0" axis="axisRow" fieldPosition="0"/>
    </format>
    <format dxfId="200">
      <pivotArea field="1" type="button" dataOnly="0" labelOnly="1" outline="0" axis="axisRow" fieldPosition="1"/>
    </format>
    <format dxfId="199">
      <pivotArea field="3" type="button" dataOnly="0" labelOnly="1" outline="0" axis="axisRow" fieldPosition="2"/>
    </format>
    <format dxfId="198">
      <pivotArea field="4" type="button" dataOnly="0" labelOnly="1" outline="0" axis="axisRow" fieldPosition="3"/>
    </format>
    <format dxfId="197">
      <pivotArea field="5" type="button" dataOnly="0" labelOnly="1" outline="0" axis="axisRow" fieldPosition="4"/>
    </format>
    <format dxfId="196">
      <pivotArea field="6" type="button" dataOnly="0" labelOnly="1" outline="0" axis="axisRow" fieldPosition="5"/>
    </format>
    <format dxfId="195">
      <pivotArea field="7" type="button" dataOnly="0" labelOnly="1" outline="0" axis="axisRow" fieldPosition="6"/>
    </format>
    <format dxfId="194">
      <pivotArea field="8" type="button" dataOnly="0" labelOnly="1" outline="0" axis="axisRow" fieldPosition="7"/>
    </format>
    <format dxfId="193">
      <pivotArea dataOnly="0" labelOnly="1" outline="0" fieldPosition="0">
        <references count="1">
          <reference field="0" count="0"/>
        </references>
      </pivotArea>
    </format>
    <format dxfId="192">
      <pivotArea dataOnly="0" labelOnly="1" grandRow="1" outline="0" fieldPosition="0"/>
    </format>
    <format dxfId="191">
      <pivotArea dataOnly="0" labelOnly="1" outline="0" fieldPosition="0">
        <references count="2">
          <reference field="0" count="1" selected="0">
            <x v="0"/>
          </reference>
          <reference field="1" count="1">
            <x v="23"/>
          </reference>
        </references>
      </pivotArea>
    </format>
    <format dxfId="190">
      <pivotArea dataOnly="0" labelOnly="1" outline="0" fieldPosition="0">
        <references count="2">
          <reference field="0" count="1" selected="0">
            <x v="7"/>
          </reference>
          <reference field="1" count="1">
            <x v="69"/>
          </reference>
        </references>
      </pivotArea>
    </format>
    <format dxfId="189">
      <pivotArea dataOnly="0" labelOnly="1" outline="0" fieldPosition="0">
        <references count="2">
          <reference field="0" count="1" selected="0">
            <x v="12"/>
          </reference>
          <reference field="1" count="1">
            <x v="18"/>
          </reference>
        </references>
      </pivotArea>
    </format>
    <format dxfId="188">
      <pivotArea dataOnly="0" labelOnly="1" outline="0" fieldPosition="0">
        <references count="2">
          <reference field="0" count="1" selected="0">
            <x v="22"/>
          </reference>
          <reference field="1" count="1">
            <x v="70"/>
          </reference>
        </references>
      </pivotArea>
    </format>
    <format dxfId="187">
      <pivotArea dataOnly="0" labelOnly="1" outline="0" fieldPosition="0">
        <references count="2">
          <reference field="0" count="1" selected="0">
            <x v="28"/>
          </reference>
          <reference field="1" count="1">
            <x v="71"/>
          </reference>
        </references>
      </pivotArea>
    </format>
    <format dxfId="186">
      <pivotArea dataOnly="0" labelOnly="1" outline="0" fieldPosition="0">
        <references count="2">
          <reference field="0" count="1" selected="0">
            <x v="32"/>
          </reference>
          <reference field="1" count="1">
            <x v="12"/>
          </reference>
        </references>
      </pivotArea>
    </format>
    <format dxfId="185">
      <pivotArea dataOnly="0" labelOnly="1" outline="0" fieldPosition="0">
        <references count="2">
          <reference field="0" count="1" selected="0">
            <x v="38"/>
          </reference>
          <reference field="1" count="1">
            <x v="72"/>
          </reference>
        </references>
      </pivotArea>
    </format>
    <format dxfId="184">
      <pivotArea dataOnly="0" labelOnly="1" outline="0" fieldPosition="0">
        <references count="2">
          <reference field="0" count="1" selected="0">
            <x v="40"/>
          </reference>
          <reference field="1" count="1">
            <x v="73"/>
          </reference>
        </references>
      </pivotArea>
    </format>
    <format dxfId="183">
      <pivotArea dataOnly="0" labelOnly="1" outline="0" fieldPosition="0">
        <references count="2">
          <reference field="0" count="1" selected="0">
            <x v="45"/>
          </reference>
          <reference field="1" count="1">
            <x v="74"/>
          </reference>
        </references>
      </pivotArea>
    </format>
    <format dxfId="182">
      <pivotArea dataOnly="0" labelOnly="1" outline="0" fieldPosition="0">
        <references count="2">
          <reference field="0" count="1" selected="0">
            <x v="46"/>
          </reference>
          <reference field="1" count="1">
            <x v="75"/>
          </reference>
        </references>
      </pivotArea>
    </format>
    <format dxfId="181">
      <pivotArea dataOnly="0" labelOnly="1" outline="0" fieldPosition="0">
        <references count="2">
          <reference field="0" count="1" selected="0">
            <x v="47"/>
          </reference>
          <reference field="1" count="1">
            <x v="9"/>
          </reference>
        </references>
      </pivotArea>
    </format>
    <format dxfId="180">
      <pivotArea dataOnly="0" labelOnly="1" outline="0" fieldPosition="0">
        <references count="2">
          <reference field="0" count="1" selected="0">
            <x v="48"/>
          </reference>
          <reference field="1" count="1">
            <x v="76"/>
          </reference>
        </references>
      </pivotArea>
    </format>
    <format dxfId="179">
      <pivotArea dataOnly="0" labelOnly="1" outline="0" fieldPosition="0">
        <references count="2">
          <reference field="0" count="1" selected="0">
            <x v="49"/>
          </reference>
          <reference field="1" count="1">
            <x v="77"/>
          </reference>
        </references>
      </pivotArea>
    </format>
    <format dxfId="178">
      <pivotArea dataOnly="0" labelOnly="1" outline="0" fieldPosition="0">
        <references count="2">
          <reference field="0" count="1" selected="0">
            <x v="50"/>
          </reference>
          <reference field="1" count="1">
            <x v="78"/>
          </reference>
        </references>
      </pivotArea>
    </format>
    <format dxfId="177">
      <pivotArea dataOnly="0" labelOnly="1" outline="0" fieldPosition="0">
        <references count="2">
          <reference field="0" count="1" selected="0">
            <x v="51"/>
          </reference>
          <reference field="1" count="1">
            <x v="79"/>
          </reference>
        </references>
      </pivotArea>
    </format>
    <format dxfId="176">
      <pivotArea dataOnly="0" labelOnly="1" outline="0" fieldPosition="0">
        <references count="2">
          <reference field="0" count="1" selected="0">
            <x v="52"/>
          </reference>
          <reference field="1" count="1">
            <x v="80"/>
          </reference>
        </references>
      </pivotArea>
    </format>
    <format dxfId="175">
      <pivotArea dataOnly="0" labelOnly="1" outline="0" fieldPosition="0">
        <references count="2">
          <reference field="0" count="1" selected="0">
            <x v="53"/>
          </reference>
          <reference field="1" count="1">
            <x v="4"/>
          </reference>
        </references>
      </pivotArea>
    </format>
    <format dxfId="174">
      <pivotArea dataOnly="0" labelOnly="1" outline="0" fieldPosition="0">
        <references count="2">
          <reference field="0" count="1" selected="0">
            <x v="54"/>
          </reference>
          <reference field="1" count="1">
            <x v="1"/>
          </reference>
        </references>
      </pivotArea>
    </format>
    <format dxfId="173">
      <pivotArea dataOnly="0" labelOnly="1" outline="0" fieldPosition="0">
        <references count="2">
          <reference field="0" count="1" selected="0">
            <x v="55"/>
          </reference>
          <reference field="1" count="1">
            <x v="81"/>
          </reference>
        </references>
      </pivotArea>
    </format>
    <format dxfId="172">
      <pivotArea dataOnly="0" labelOnly="1" outline="0" fieldPosition="0">
        <references count="2">
          <reference field="0" count="1" selected="0">
            <x v="56"/>
          </reference>
          <reference field="1" count="1">
            <x v="82"/>
          </reference>
        </references>
      </pivotArea>
    </format>
    <format dxfId="171">
      <pivotArea dataOnly="0" labelOnly="1" outline="0" fieldPosition="0">
        <references count="2">
          <reference field="0" count="1" selected="0">
            <x v="57"/>
          </reference>
          <reference field="1" count="1">
            <x v="83"/>
          </reference>
        </references>
      </pivotArea>
    </format>
    <format dxfId="170">
      <pivotArea dataOnly="0" labelOnly="1" outline="0" fieldPosition="0">
        <references count="2">
          <reference field="0" count="1" selected="0">
            <x v="58"/>
          </reference>
          <reference field="1" count="1">
            <x v="6"/>
          </reference>
        </references>
      </pivotArea>
    </format>
    <format dxfId="169">
      <pivotArea dataOnly="0" labelOnly="1" outline="0" fieldPosition="0">
        <references count="2">
          <reference field="0" count="1" selected="0">
            <x v="59"/>
          </reference>
          <reference field="1" count="1">
            <x v="15"/>
          </reference>
        </references>
      </pivotArea>
    </format>
    <format dxfId="168">
      <pivotArea dataOnly="0" labelOnly="1" outline="0" fieldPosition="0">
        <references count="2">
          <reference field="0" count="1" selected="0">
            <x v="60"/>
          </reference>
          <reference field="1" count="1">
            <x v="84"/>
          </reference>
        </references>
      </pivotArea>
    </format>
    <format dxfId="167">
      <pivotArea dataOnly="0" labelOnly="1" outline="0" fieldPosition="0">
        <references count="2">
          <reference field="0" count="1" selected="0">
            <x v="61"/>
          </reference>
          <reference field="1" count="1">
            <x v="85"/>
          </reference>
        </references>
      </pivotArea>
    </format>
    <format dxfId="166">
      <pivotArea dataOnly="0" labelOnly="1" outline="0" fieldPosition="0">
        <references count="2">
          <reference field="0" count="1" selected="0">
            <x v="62"/>
          </reference>
          <reference field="1" count="1">
            <x v="19"/>
          </reference>
        </references>
      </pivotArea>
    </format>
    <format dxfId="165">
      <pivotArea dataOnly="0" labelOnly="1" outline="0" fieldPosition="0">
        <references count="2">
          <reference field="0" count="1" selected="0">
            <x v="63"/>
          </reference>
          <reference field="1" count="1">
            <x v="86"/>
          </reference>
        </references>
      </pivotArea>
    </format>
    <format dxfId="164">
      <pivotArea dataOnly="0" labelOnly="1" outline="0" fieldPosition="0">
        <references count="2">
          <reference field="0" count="1" selected="0">
            <x v="64"/>
          </reference>
          <reference field="1" count="1">
            <x v="2"/>
          </reference>
        </references>
      </pivotArea>
    </format>
    <format dxfId="163">
      <pivotArea dataOnly="0" labelOnly="1" outline="0" fieldPosition="0">
        <references count="2">
          <reference field="0" count="1" selected="0">
            <x v="65"/>
          </reference>
          <reference field="1" count="1">
            <x v="87"/>
          </reference>
        </references>
      </pivotArea>
    </format>
    <format dxfId="162">
      <pivotArea dataOnly="0" labelOnly="1" outline="0" fieldPosition="0">
        <references count="2">
          <reference field="0" count="1" selected="0">
            <x v="66"/>
          </reference>
          <reference field="1" count="1">
            <x v="3"/>
          </reference>
        </references>
      </pivotArea>
    </format>
    <format dxfId="161">
      <pivotArea dataOnly="0" labelOnly="1" outline="0" fieldPosition="0">
        <references count="2">
          <reference field="0" count="1" selected="0">
            <x v="67"/>
          </reference>
          <reference field="1" count="1">
            <x v="88"/>
          </reference>
        </references>
      </pivotArea>
    </format>
    <format dxfId="160">
      <pivotArea dataOnly="0" labelOnly="1" outline="0" fieldPosition="0">
        <references count="2">
          <reference field="0" count="1" selected="0">
            <x v="68"/>
          </reference>
          <reference field="1" count="1">
            <x v="89"/>
          </reference>
        </references>
      </pivotArea>
    </format>
    <format dxfId="159">
      <pivotArea dataOnly="0" labelOnly="1" outline="0" fieldPosition="0">
        <references count="2">
          <reference field="0" count="1" selected="0">
            <x v="69"/>
          </reference>
          <reference field="1" count="1">
            <x v="22"/>
          </reference>
        </references>
      </pivotArea>
    </format>
    <format dxfId="158">
      <pivotArea dataOnly="0" labelOnly="1" outline="0" fieldPosition="0">
        <references count="3">
          <reference field="0" count="1" selected="0">
            <x v="0"/>
          </reference>
          <reference field="1" count="1" selected="0">
            <x v="23"/>
          </reference>
          <reference field="3" count="1">
            <x v="15"/>
          </reference>
        </references>
      </pivotArea>
    </format>
    <format dxfId="157">
      <pivotArea dataOnly="0" labelOnly="1" outline="0" fieldPosition="0">
        <references count="3">
          <reference field="0" count="1" selected="0">
            <x v="7"/>
          </reference>
          <reference field="1" count="1" selected="0">
            <x v="69"/>
          </reference>
          <reference field="3" count="1">
            <x v="24"/>
          </reference>
        </references>
      </pivotArea>
    </format>
    <format dxfId="156">
      <pivotArea dataOnly="0" labelOnly="1" outline="0" fieldPosition="0">
        <references count="3">
          <reference field="0" count="1" selected="0">
            <x v="12"/>
          </reference>
          <reference field="1" count="1" selected="0">
            <x v="18"/>
          </reference>
          <reference field="3" count="1">
            <x v="25"/>
          </reference>
        </references>
      </pivotArea>
    </format>
    <format dxfId="155">
      <pivotArea dataOnly="0" labelOnly="1" outline="0" fieldPosition="0">
        <references count="3">
          <reference field="0" count="1" selected="0">
            <x v="22"/>
          </reference>
          <reference field="1" count="1" selected="0">
            <x v="70"/>
          </reference>
          <reference field="3" count="1">
            <x v="26"/>
          </reference>
        </references>
      </pivotArea>
    </format>
    <format dxfId="154">
      <pivotArea dataOnly="0" labelOnly="1" outline="0" fieldPosition="0">
        <references count="3">
          <reference field="0" count="1" selected="0">
            <x v="28"/>
          </reference>
          <reference field="1" count="1" selected="0">
            <x v="71"/>
          </reference>
          <reference field="3" count="1">
            <x v="27"/>
          </reference>
        </references>
      </pivotArea>
    </format>
    <format dxfId="153">
      <pivotArea dataOnly="0" labelOnly="1" outline="0" fieldPosition="0">
        <references count="3">
          <reference field="0" count="1" selected="0">
            <x v="32"/>
          </reference>
          <reference field="1" count="1" selected="0">
            <x v="12"/>
          </reference>
          <reference field="3" count="1">
            <x v="28"/>
          </reference>
        </references>
      </pivotArea>
    </format>
    <format dxfId="152">
      <pivotArea dataOnly="0" labelOnly="1" outline="0" fieldPosition="0">
        <references count="3">
          <reference field="0" count="1" selected="0">
            <x v="38"/>
          </reference>
          <reference field="1" count="1" selected="0">
            <x v="72"/>
          </reference>
          <reference field="3" count="1">
            <x v="29"/>
          </reference>
        </references>
      </pivotArea>
    </format>
    <format dxfId="151">
      <pivotArea dataOnly="0" labelOnly="1" outline="0" fieldPosition="0">
        <references count="3">
          <reference field="0" count="1" selected="0">
            <x v="40"/>
          </reference>
          <reference field="1" count="1" selected="0">
            <x v="73"/>
          </reference>
          <reference field="3" count="1">
            <x v="30"/>
          </reference>
        </references>
      </pivotArea>
    </format>
    <format dxfId="150">
      <pivotArea dataOnly="0" labelOnly="1" outline="0" fieldPosition="0">
        <references count="3">
          <reference field="0" count="1" selected="0">
            <x v="45"/>
          </reference>
          <reference field="1" count="1" selected="0">
            <x v="74"/>
          </reference>
          <reference field="3" count="1">
            <x v="25"/>
          </reference>
        </references>
      </pivotArea>
    </format>
    <format dxfId="149">
      <pivotArea dataOnly="0" labelOnly="1" outline="0" fieldPosition="0">
        <references count="3">
          <reference field="0" count="1" selected="0">
            <x v="46"/>
          </reference>
          <reference field="1" count="1" selected="0">
            <x v="75"/>
          </reference>
          <reference field="3" count="1">
            <x v="29"/>
          </reference>
        </references>
      </pivotArea>
    </format>
    <format dxfId="148">
      <pivotArea dataOnly="0" labelOnly="1" outline="0" fieldPosition="0">
        <references count="3">
          <reference field="0" count="1" selected="0">
            <x v="48"/>
          </reference>
          <reference field="1" count="1" selected="0">
            <x v="76"/>
          </reference>
          <reference field="3" count="1">
            <x v="31"/>
          </reference>
        </references>
      </pivotArea>
    </format>
    <format dxfId="147">
      <pivotArea dataOnly="0" labelOnly="1" outline="0" fieldPosition="0">
        <references count="3">
          <reference field="0" count="1" selected="0">
            <x v="49"/>
          </reference>
          <reference field="1" count="1" selected="0">
            <x v="77"/>
          </reference>
          <reference field="3" count="1">
            <x v="32"/>
          </reference>
        </references>
      </pivotArea>
    </format>
    <format dxfId="146">
      <pivotArea dataOnly="0" labelOnly="1" outline="0" fieldPosition="0">
        <references count="3">
          <reference field="0" count="1" selected="0">
            <x v="50"/>
          </reference>
          <reference field="1" count="1" selected="0">
            <x v="78"/>
          </reference>
          <reference field="3" count="1">
            <x v="28"/>
          </reference>
        </references>
      </pivotArea>
    </format>
    <format dxfId="145">
      <pivotArea dataOnly="0" labelOnly="1" outline="0" fieldPosition="0">
        <references count="3">
          <reference field="0" count="1" selected="0">
            <x v="51"/>
          </reference>
          <reference field="1" count="1" selected="0">
            <x v="79"/>
          </reference>
          <reference field="3" count="1">
            <x v="33"/>
          </reference>
        </references>
      </pivotArea>
    </format>
    <format dxfId="144">
      <pivotArea dataOnly="0" labelOnly="1" outline="0" fieldPosition="0">
        <references count="3">
          <reference field="0" count="1" selected="0">
            <x v="52"/>
          </reference>
          <reference field="1" count="1" selected="0">
            <x v="80"/>
          </reference>
          <reference field="3" count="1">
            <x v="28"/>
          </reference>
        </references>
      </pivotArea>
    </format>
    <format dxfId="143">
      <pivotArea dataOnly="0" labelOnly="1" outline="0" fieldPosition="0">
        <references count="3">
          <reference field="0" count="1" selected="0">
            <x v="53"/>
          </reference>
          <reference field="1" count="1" selected="0">
            <x v="4"/>
          </reference>
          <reference field="3" count="1">
            <x v="25"/>
          </reference>
        </references>
      </pivotArea>
    </format>
    <format dxfId="142">
      <pivotArea dataOnly="0" labelOnly="1" outline="0" fieldPosition="0">
        <references count="3">
          <reference field="0" count="1" selected="0">
            <x v="54"/>
          </reference>
          <reference field="1" count="1" selected="0">
            <x v="1"/>
          </reference>
          <reference field="3" count="1">
            <x v="31"/>
          </reference>
        </references>
      </pivotArea>
    </format>
    <format dxfId="141">
      <pivotArea dataOnly="0" labelOnly="1" outline="0" fieldPosition="0">
        <references count="3">
          <reference field="0" count="1" selected="0">
            <x v="55"/>
          </reference>
          <reference field="1" count="1" selected="0">
            <x v="81"/>
          </reference>
          <reference field="3" count="1">
            <x v="25"/>
          </reference>
        </references>
      </pivotArea>
    </format>
    <format dxfId="140">
      <pivotArea dataOnly="0" labelOnly="1" outline="0" fieldPosition="0">
        <references count="3">
          <reference field="0" count="1" selected="0">
            <x v="57"/>
          </reference>
          <reference field="1" count="1" selected="0">
            <x v="83"/>
          </reference>
          <reference field="3" count="1">
            <x v="28"/>
          </reference>
        </references>
      </pivotArea>
    </format>
    <format dxfId="139">
      <pivotArea dataOnly="0" labelOnly="1" outline="0" fieldPosition="0">
        <references count="3">
          <reference field="0" count="1" selected="0">
            <x v="61"/>
          </reference>
          <reference field="1" count="1" selected="0">
            <x v="85"/>
          </reference>
          <reference field="3" count="1">
            <x v="34"/>
          </reference>
        </references>
      </pivotArea>
    </format>
    <format dxfId="138">
      <pivotArea dataOnly="0" labelOnly="1" outline="0" fieldPosition="0">
        <references count="3">
          <reference field="0" count="1" selected="0">
            <x v="62"/>
          </reference>
          <reference field="1" count="1" selected="0">
            <x v="19"/>
          </reference>
          <reference field="3" count="1">
            <x v="28"/>
          </reference>
        </references>
      </pivotArea>
    </format>
    <format dxfId="137">
      <pivotArea dataOnly="0" labelOnly="1" outline="0" fieldPosition="0">
        <references count="3">
          <reference field="0" count="1" selected="0">
            <x v="64"/>
          </reference>
          <reference field="1" count="1" selected="0">
            <x v="2"/>
          </reference>
          <reference field="3" count="1">
            <x v="35"/>
          </reference>
        </references>
      </pivotArea>
    </format>
    <format dxfId="136">
      <pivotArea dataOnly="0" labelOnly="1" outline="0" fieldPosition="0">
        <references count="3">
          <reference field="0" count="1" selected="0">
            <x v="65"/>
          </reference>
          <reference field="1" count="1" selected="0">
            <x v="87"/>
          </reference>
          <reference field="3" count="1">
            <x v="33"/>
          </reference>
        </references>
      </pivotArea>
    </format>
    <format dxfId="135">
      <pivotArea dataOnly="0" labelOnly="1" outline="0" fieldPosition="0">
        <references count="3">
          <reference field="0" count="1" selected="0">
            <x v="66"/>
          </reference>
          <reference field="1" count="1" selected="0">
            <x v="3"/>
          </reference>
          <reference field="3" count="1">
            <x v="36"/>
          </reference>
        </references>
      </pivotArea>
    </format>
    <format dxfId="134">
      <pivotArea dataOnly="0" labelOnly="1" outline="0" fieldPosition="0">
        <references count="3">
          <reference field="0" count="1" selected="0">
            <x v="67"/>
          </reference>
          <reference field="1" count="1" selected="0">
            <x v="88"/>
          </reference>
          <reference field="3" count="1">
            <x v="33"/>
          </reference>
        </references>
      </pivotArea>
    </format>
    <format dxfId="133">
      <pivotArea dataOnly="0" labelOnly="1" outline="0" fieldPosition="0">
        <references count="3">
          <reference field="0" count="1" selected="0">
            <x v="69"/>
          </reference>
          <reference field="1" count="1" selected="0">
            <x v="22"/>
          </reference>
          <reference field="3" count="1">
            <x v="37"/>
          </reference>
        </references>
      </pivotArea>
    </format>
    <format dxfId="132">
      <pivotArea dataOnly="0" labelOnly="1" outline="0" fieldPosition="0">
        <references count="4">
          <reference field="0" count="1" selected="0">
            <x v="0"/>
          </reference>
          <reference field="1" count="1" selected="0">
            <x v="23"/>
          </reference>
          <reference field="3" count="1" selected="0">
            <x v="15"/>
          </reference>
          <reference field="4" count="1">
            <x v="42"/>
          </reference>
        </references>
      </pivotArea>
    </format>
    <format dxfId="131">
      <pivotArea dataOnly="0" labelOnly="1" outline="0" fieldPosition="0">
        <references count="4">
          <reference field="0" count="1" selected="0">
            <x v="7"/>
          </reference>
          <reference field="1" count="1" selected="0">
            <x v="69"/>
          </reference>
          <reference field="3" count="1" selected="0">
            <x v="24"/>
          </reference>
          <reference field="4" count="1">
            <x v="22"/>
          </reference>
        </references>
      </pivotArea>
    </format>
    <format dxfId="130">
      <pivotArea dataOnly="0" labelOnly="1" outline="0" fieldPosition="0">
        <references count="4">
          <reference field="0" count="1" selected="0">
            <x v="12"/>
          </reference>
          <reference field="1" count="1" selected="0">
            <x v="18"/>
          </reference>
          <reference field="3" count="1" selected="0">
            <x v="25"/>
          </reference>
          <reference field="4" count="1">
            <x v="23"/>
          </reference>
        </references>
      </pivotArea>
    </format>
    <format dxfId="129">
      <pivotArea dataOnly="0" labelOnly="1" outline="0" fieldPosition="0">
        <references count="4">
          <reference field="0" count="1" selected="0">
            <x v="22"/>
          </reference>
          <reference field="1" count="1" selected="0">
            <x v="70"/>
          </reference>
          <reference field="3" count="1" selected="0">
            <x v="26"/>
          </reference>
          <reference field="4" count="1">
            <x v="24"/>
          </reference>
        </references>
      </pivotArea>
    </format>
    <format dxfId="128">
      <pivotArea dataOnly="0" labelOnly="1" outline="0" fieldPosition="0">
        <references count="4">
          <reference field="0" count="1" selected="0">
            <x v="28"/>
          </reference>
          <reference field="1" count="1" selected="0">
            <x v="71"/>
          </reference>
          <reference field="3" count="1" selected="0">
            <x v="27"/>
          </reference>
          <reference field="4" count="1">
            <x v="25"/>
          </reference>
        </references>
      </pivotArea>
    </format>
    <format dxfId="127">
      <pivotArea dataOnly="0" labelOnly="1" outline="0" fieldPosition="0">
        <references count="4">
          <reference field="0" count="1" selected="0">
            <x v="32"/>
          </reference>
          <reference field="1" count="1" selected="0">
            <x v="12"/>
          </reference>
          <reference field="3" count="1" selected="0">
            <x v="28"/>
          </reference>
          <reference field="4" count="1">
            <x v="26"/>
          </reference>
        </references>
      </pivotArea>
    </format>
    <format dxfId="126">
      <pivotArea dataOnly="0" labelOnly="1" outline="0" fieldPosition="0">
        <references count="4">
          <reference field="0" count="1" selected="0">
            <x v="38"/>
          </reference>
          <reference field="1" count="1" selected="0">
            <x v="72"/>
          </reference>
          <reference field="3" count="1" selected="0">
            <x v="29"/>
          </reference>
          <reference field="4" count="1">
            <x v="27"/>
          </reference>
        </references>
      </pivotArea>
    </format>
    <format dxfId="125">
      <pivotArea dataOnly="0" labelOnly="1" outline="0" fieldPosition="0">
        <references count="4">
          <reference field="0" count="1" selected="0">
            <x v="40"/>
          </reference>
          <reference field="1" count="1" selected="0">
            <x v="73"/>
          </reference>
          <reference field="3" count="1" selected="0">
            <x v="30"/>
          </reference>
          <reference field="4" count="1">
            <x v="18"/>
          </reference>
        </references>
      </pivotArea>
    </format>
    <format dxfId="124">
      <pivotArea dataOnly="0" labelOnly="1" outline="0" fieldPosition="0">
        <references count="4">
          <reference field="0" count="1" selected="0">
            <x v="45"/>
          </reference>
          <reference field="1" count="1" selected="0">
            <x v="74"/>
          </reference>
          <reference field="3" count="1" selected="0">
            <x v="25"/>
          </reference>
          <reference field="4" count="1">
            <x v="28"/>
          </reference>
        </references>
      </pivotArea>
    </format>
    <format dxfId="123">
      <pivotArea dataOnly="0" labelOnly="1" outline="0" fieldPosition="0">
        <references count="4">
          <reference field="0" count="1" selected="0">
            <x v="47"/>
          </reference>
          <reference field="1" count="1" selected="0">
            <x v="9"/>
          </reference>
          <reference field="3" count="1" selected="0">
            <x v="29"/>
          </reference>
          <reference field="4" count="1">
            <x v="29"/>
          </reference>
        </references>
      </pivotArea>
    </format>
    <format dxfId="122">
      <pivotArea dataOnly="0" labelOnly="1" outline="0" fieldPosition="0">
        <references count="4">
          <reference field="0" count="1" selected="0">
            <x v="49"/>
          </reference>
          <reference field="1" count="1" selected="0">
            <x v="77"/>
          </reference>
          <reference field="3" count="1" selected="0">
            <x v="32"/>
          </reference>
          <reference field="4" count="1">
            <x v="43"/>
          </reference>
        </references>
      </pivotArea>
    </format>
    <format dxfId="121">
      <pivotArea dataOnly="0" labelOnly="1" outline="0" fieldPosition="0">
        <references count="4">
          <reference field="0" count="1" selected="0">
            <x v="50"/>
          </reference>
          <reference field="1" count="1" selected="0">
            <x v="78"/>
          </reference>
          <reference field="3" count="1" selected="0">
            <x v="28"/>
          </reference>
          <reference field="4" count="1">
            <x v="20"/>
          </reference>
        </references>
      </pivotArea>
    </format>
    <format dxfId="120">
      <pivotArea dataOnly="0" labelOnly="1" outline="0" fieldPosition="0">
        <references count="4">
          <reference field="0" count="1" selected="0">
            <x v="51"/>
          </reference>
          <reference field="1" count="1" selected="0">
            <x v="79"/>
          </reference>
          <reference field="3" count="1" selected="0">
            <x v="33"/>
          </reference>
          <reference field="4" count="1">
            <x v="30"/>
          </reference>
        </references>
      </pivotArea>
    </format>
    <format dxfId="119">
      <pivotArea dataOnly="0" labelOnly="1" outline="0" fieldPosition="0">
        <references count="4">
          <reference field="0" count="1" selected="0">
            <x v="52"/>
          </reference>
          <reference field="1" count="1" selected="0">
            <x v="80"/>
          </reference>
          <reference field="3" count="1" selected="0">
            <x v="28"/>
          </reference>
          <reference field="4" count="1">
            <x v="20"/>
          </reference>
        </references>
      </pivotArea>
    </format>
    <format dxfId="118">
      <pivotArea dataOnly="0" labelOnly="1" outline="0" fieldPosition="0">
        <references count="4">
          <reference field="0" count="1" selected="0">
            <x v="53"/>
          </reference>
          <reference field="1" count="1" selected="0">
            <x v="4"/>
          </reference>
          <reference field="3" count="1" selected="0">
            <x v="25"/>
          </reference>
          <reference field="4" count="1">
            <x v="31"/>
          </reference>
        </references>
      </pivotArea>
    </format>
    <format dxfId="117">
      <pivotArea dataOnly="0" labelOnly="1" outline="0" fieldPosition="0">
        <references count="4">
          <reference field="0" count="1" selected="0">
            <x v="55"/>
          </reference>
          <reference field="1" count="1" selected="0">
            <x v="81"/>
          </reference>
          <reference field="3" count="1" selected="0">
            <x v="25"/>
          </reference>
          <reference field="4" count="1">
            <x v="21"/>
          </reference>
        </references>
      </pivotArea>
    </format>
    <format dxfId="116">
      <pivotArea dataOnly="0" labelOnly="1" outline="0" fieldPosition="0">
        <references count="4">
          <reference field="0" count="1" selected="0">
            <x v="56"/>
          </reference>
          <reference field="1" count="1" selected="0">
            <x v="82"/>
          </reference>
          <reference field="3" count="1" selected="0">
            <x v="25"/>
          </reference>
          <reference field="4" count="1">
            <x v="32"/>
          </reference>
        </references>
      </pivotArea>
    </format>
    <format dxfId="115">
      <pivotArea dataOnly="0" labelOnly="1" outline="0" fieldPosition="0">
        <references count="4">
          <reference field="0" count="1" selected="0">
            <x v="59"/>
          </reference>
          <reference field="1" count="1" selected="0">
            <x v="15"/>
          </reference>
          <reference field="3" count="1" selected="0">
            <x v="28"/>
          </reference>
          <reference field="4" count="1">
            <x v="33"/>
          </reference>
        </references>
      </pivotArea>
    </format>
    <format dxfId="114">
      <pivotArea dataOnly="0" labelOnly="1" outline="0" fieldPosition="0">
        <references count="4">
          <reference field="0" count="1" selected="0">
            <x v="62"/>
          </reference>
          <reference field="1" count="1" selected="0">
            <x v="19"/>
          </reference>
          <reference field="3" count="1" selected="0">
            <x v="28"/>
          </reference>
          <reference field="4" count="1">
            <x v="34"/>
          </reference>
        </references>
      </pivotArea>
    </format>
    <format dxfId="113">
      <pivotArea dataOnly="0" labelOnly="1" outline="0" fieldPosition="0">
        <references count="4">
          <reference field="0" count="1" selected="0">
            <x v="65"/>
          </reference>
          <reference field="1" count="1" selected="0">
            <x v="87"/>
          </reference>
          <reference field="3" count="1" selected="0">
            <x v="33"/>
          </reference>
          <reference field="4" count="1">
            <x v="44"/>
          </reference>
        </references>
      </pivotArea>
    </format>
    <format dxfId="112">
      <pivotArea dataOnly="0" labelOnly="1" outline="0" fieldPosition="0">
        <references count="4">
          <reference field="0" count="1" selected="0">
            <x v="66"/>
          </reference>
          <reference field="1" count="1" selected="0">
            <x v="3"/>
          </reference>
          <reference field="3" count="1" selected="0">
            <x v="36"/>
          </reference>
          <reference field="4" count="1">
            <x v="35"/>
          </reference>
        </references>
      </pivotArea>
    </format>
    <format dxfId="111">
      <pivotArea dataOnly="0" labelOnly="1" outline="0" fieldPosition="0">
        <references count="4">
          <reference field="0" count="1" selected="0">
            <x v="67"/>
          </reference>
          <reference field="1" count="1" selected="0">
            <x v="88"/>
          </reference>
          <reference field="3" count="1" selected="0">
            <x v="33"/>
          </reference>
          <reference field="4" count="1">
            <x v="36"/>
          </reference>
        </references>
      </pivotArea>
    </format>
    <format dxfId="110">
      <pivotArea dataOnly="0" labelOnly="1" outline="0" fieldPosition="0">
        <references count="4">
          <reference field="0" count="1" selected="0">
            <x v="69"/>
          </reference>
          <reference field="1" count="1" selected="0">
            <x v="22"/>
          </reference>
          <reference field="3" count="1" selected="0">
            <x v="37"/>
          </reference>
          <reference field="4" count="1">
            <x v="45"/>
          </reference>
        </references>
      </pivotArea>
    </format>
    <format dxfId="109">
      <pivotArea dataOnly="0" labelOnly="1" outline="0" fieldPosition="0">
        <references count="5">
          <reference field="0" count="1" selected="0">
            <x v="0"/>
          </reference>
          <reference field="1" count="1" selected="0">
            <x v="23"/>
          </reference>
          <reference field="3" count="1" selected="0">
            <x v="15"/>
          </reference>
          <reference field="4" count="1" selected="0">
            <x v="42"/>
          </reference>
          <reference field="5" count="1">
            <x v="5"/>
          </reference>
        </references>
      </pivotArea>
    </format>
    <format dxfId="108">
      <pivotArea dataOnly="0" labelOnly="1" outline="0" fieldPosition="0">
        <references count="5">
          <reference field="0" count="1" selected="0">
            <x v="12"/>
          </reference>
          <reference field="1" count="1" selected="0">
            <x v="18"/>
          </reference>
          <reference field="3" count="1" selected="0">
            <x v="25"/>
          </reference>
          <reference field="4" count="1" selected="0">
            <x v="23"/>
          </reference>
          <reference field="5" count="1">
            <x v="3"/>
          </reference>
        </references>
      </pivotArea>
    </format>
    <format dxfId="107">
      <pivotArea dataOnly="0" labelOnly="1" outline="0" fieldPosition="0">
        <references count="5">
          <reference field="0" count="1" selected="0">
            <x v="22"/>
          </reference>
          <reference field="1" count="1" selected="0">
            <x v="70"/>
          </reference>
          <reference field="3" count="1" selected="0">
            <x v="26"/>
          </reference>
          <reference field="4" count="1" selected="0">
            <x v="24"/>
          </reference>
          <reference field="5" count="1">
            <x v="1"/>
          </reference>
        </references>
      </pivotArea>
    </format>
    <format dxfId="106">
      <pivotArea dataOnly="0" labelOnly="1" outline="0" fieldPosition="0">
        <references count="5">
          <reference field="0" count="1" selected="0">
            <x v="28"/>
          </reference>
          <reference field="1" count="1" selected="0">
            <x v="71"/>
          </reference>
          <reference field="3" count="1" selected="0">
            <x v="27"/>
          </reference>
          <reference field="4" count="1" selected="0">
            <x v="25"/>
          </reference>
          <reference field="5" count="1">
            <x v="3"/>
          </reference>
        </references>
      </pivotArea>
    </format>
    <format dxfId="105">
      <pivotArea dataOnly="0" labelOnly="1" outline="0" fieldPosition="0">
        <references count="5">
          <reference field="0" count="1" selected="0">
            <x v="32"/>
          </reference>
          <reference field="1" count="1" selected="0">
            <x v="12"/>
          </reference>
          <reference field="3" count="1" selected="0">
            <x v="28"/>
          </reference>
          <reference field="4" count="1" selected="0">
            <x v="26"/>
          </reference>
          <reference field="5" count="1">
            <x v="0"/>
          </reference>
        </references>
      </pivotArea>
    </format>
    <format dxfId="104">
      <pivotArea dataOnly="0" labelOnly="1" outline="0" fieldPosition="0">
        <references count="5">
          <reference field="0" count="1" selected="0">
            <x v="40"/>
          </reference>
          <reference field="1" count="1" selected="0">
            <x v="73"/>
          </reference>
          <reference field="3" count="1" selected="0">
            <x v="30"/>
          </reference>
          <reference field="4" count="1" selected="0">
            <x v="18"/>
          </reference>
          <reference field="5" count="1">
            <x v="1"/>
          </reference>
        </references>
      </pivotArea>
    </format>
    <format dxfId="103">
      <pivotArea dataOnly="0" labelOnly="1" outline="0" fieldPosition="0">
        <references count="5">
          <reference field="0" count="1" selected="0">
            <x v="45"/>
          </reference>
          <reference field="1" count="1" selected="0">
            <x v="74"/>
          </reference>
          <reference field="3" count="1" selected="0">
            <x v="25"/>
          </reference>
          <reference field="4" count="1" selected="0">
            <x v="28"/>
          </reference>
          <reference field="5" count="1">
            <x v="5"/>
          </reference>
        </references>
      </pivotArea>
    </format>
    <format dxfId="102">
      <pivotArea dataOnly="0" labelOnly="1" outline="0" fieldPosition="0">
        <references count="5">
          <reference field="0" count="1" selected="0">
            <x v="47"/>
          </reference>
          <reference field="1" count="1" selected="0">
            <x v="9"/>
          </reference>
          <reference field="3" count="1" selected="0">
            <x v="29"/>
          </reference>
          <reference field="4" count="1" selected="0">
            <x v="29"/>
          </reference>
          <reference field="5" count="1">
            <x v="1"/>
          </reference>
        </references>
      </pivotArea>
    </format>
    <format dxfId="101">
      <pivotArea dataOnly="0" labelOnly="1" outline="0" fieldPosition="0">
        <references count="5">
          <reference field="0" count="1" selected="0">
            <x v="49"/>
          </reference>
          <reference field="1" count="1" selected="0">
            <x v="77"/>
          </reference>
          <reference field="3" count="1" selected="0">
            <x v="32"/>
          </reference>
          <reference field="4" count="1" selected="0">
            <x v="43"/>
          </reference>
          <reference field="5" count="1">
            <x v="3"/>
          </reference>
        </references>
      </pivotArea>
    </format>
    <format dxfId="100">
      <pivotArea dataOnly="0" labelOnly="1" outline="0" fieldPosition="0">
        <references count="5">
          <reference field="0" count="1" selected="0">
            <x v="50"/>
          </reference>
          <reference field="1" count="1" selected="0">
            <x v="78"/>
          </reference>
          <reference field="3" count="1" selected="0">
            <x v="28"/>
          </reference>
          <reference field="4" count="1" selected="0">
            <x v="20"/>
          </reference>
          <reference field="5" count="1">
            <x v="1"/>
          </reference>
        </references>
      </pivotArea>
    </format>
    <format dxfId="99">
      <pivotArea dataOnly="0" labelOnly="1" outline="0" fieldPosition="0">
        <references count="5">
          <reference field="0" count="1" selected="0">
            <x v="51"/>
          </reference>
          <reference field="1" count="1" selected="0">
            <x v="79"/>
          </reference>
          <reference field="3" count="1" selected="0">
            <x v="33"/>
          </reference>
          <reference field="4" count="1" selected="0">
            <x v="30"/>
          </reference>
          <reference field="5" count="1">
            <x v="5"/>
          </reference>
        </references>
      </pivotArea>
    </format>
    <format dxfId="98">
      <pivotArea dataOnly="0" labelOnly="1" outline="0" fieldPosition="0">
        <references count="5">
          <reference field="0" count="1" selected="0">
            <x v="52"/>
          </reference>
          <reference field="1" count="1" selected="0">
            <x v="80"/>
          </reference>
          <reference field="3" count="1" selected="0">
            <x v="28"/>
          </reference>
          <reference field="4" count="1" selected="0">
            <x v="20"/>
          </reference>
          <reference field="5" count="1">
            <x v="1"/>
          </reference>
        </references>
      </pivotArea>
    </format>
    <format dxfId="97">
      <pivotArea dataOnly="0" labelOnly="1" outline="0" fieldPosition="0">
        <references count="5">
          <reference field="0" count="1" selected="0">
            <x v="53"/>
          </reference>
          <reference field="1" count="1" selected="0">
            <x v="4"/>
          </reference>
          <reference field="3" count="1" selected="0">
            <x v="25"/>
          </reference>
          <reference field="4" count="1" selected="0">
            <x v="31"/>
          </reference>
          <reference field="5" count="1">
            <x v="5"/>
          </reference>
        </references>
      </pivotArea>
    </format>
    <format dxfId="96">
      <pivotArea dataOnly="0" labelOnly="1" outline="0" fieldPosition="0">
        <references count="5">
          <reference field="0" count="1" selected="0">
            <x v="59"/>
          </reference>
          <reference field="1" count="1" selected="0">
            <x v="15"/>
          </reference>
          <reference field="3" count="1" selected="0">
            <x v="28"/>
          </reference>
          <reference field="4" count="1" selected="0">
            <x v="33"/>
          </reference>
          <reference field="5" count="1">
            <x v="6"/>
          </reference>
        </references>
      </pivotArea>
    </format>
    <format dxfId="95">
      <pivotArea dataOnly="0" labelOnly="1" outline="0" fieldPosition="0">
        <references count="5">
          <reference field="0" count="1" selected="0">
            <x v="60"/>
          </reference>
          <reference field="1" count="1" selected="0">
            <x v="84"/>
          </reference>
          <reference field="3" count="1" selected="0">
            <x v="28"/>
          </reference>
          <reference field="4" count="1" selected="0">
            <x v="33"/>
          </reference>
          <reference field="5" count="1">
            <x v="1"/>
          </reference>
        </references>
      </pivotArea>
    </format>
    <format dxfId="94">
      <pivotArea dataOnly="0" labelOnly="1" outline="0" fieldPosition="0">
        <references count="5">
          <reference field="0" count="1" selected="0">
            <x v="62"/>
          </reference>
          <reference field="1" count="1" selected="0">
            <x v="19"/>
          </reference>
          <reference field="3" count="1" selected="0">
            <x v="28"/>
          </reference>
          <reference field="4" count="1" selected="0">
            <x v="34"/>
          </reference>
          <reference field="5" count="1">
            <x v="3"/>
          </reference>
        </references>
      </pivotArea>
    </format>
    <format dxfId="93">
      <pivotArea dataOnly="0" labelOnly="1" outline="0" fieldPosition="0">
        <references count="5">
          <reference field="0" count="1" selected="0">
            <x v="63"/>
          </reference>
          <reference field="1" count="1" selected="0">
            <x v="86"/>
          </reference>
          <reference field="3" count="1" selected="0">
            <x v="28"/>
          </reference>
          <reference field="4" count="1" selected="0">
            <x v="34"/>
          </reference>
          <reference field="5" count="1">
            <x v="1"/>
          </reference>
        </references>
      </pivotArea>
    </format>
    <format dxfId="92">
      <pivotArea dataOnly="0" labelOnly="1" outline="0" fieldPosition="0">
        <references count="5">
          <reference field="0" count="1" selected="0">
            <x v="65"/>
          </reference>
          <reference field="1" count="1" selected="0">
            <x v="87"/>
          </reference>
          <reference field="3" count="1" selected="0">
            <x v="33"/>
          </reference>
          <reference field="4" count="1" selected="0">
            <x v="44"/>
          </reference>
          <reference field="5" count="1">
            <x v="3"/>
          </reference>
        </references>
      </pivotArea>
    </format>
    <format dxfId="91">
      <pivotArea dataOnly="0" labelOnly="1" outline="0" fieldPosition="0">
        <references count="5">
          <reference field="0" count="1" selected="0">
            <x v="66"/>
          </reference>
          <reference field="1" count="1" selected="0">
            <x v="3"/>
          </reference>
          <reference field="3" count="1" selected="0">
            <x v="36"/>
          </reference>
          <reference field="4" count="1" selected="0">
            <x v="35"/>
          </reference>
          <reference field="5" count="1">
            <x v="1"/>
          </reference>
        </references>
      </pivotArea>
    </format>
    <format dxfId="90">
      <pivotArea dataOnly="0" labelOnly="1" outline="0" fieldPosition="0">
        <references count="5">
          <reference field="0" count="1" selected="0">
            <x v="67"/>
          </reference>
          <reference field="1" count="1" selected="0">
            <x v="88"/>
          </reference>
          <reference field="3" count="1" selected="0">
            <x v="33"/>
          </reference>
          <reference field="4" count="1" selected="0">
            <x v="36"/>
          </reference>
          <reference field="5" count="1">
            <x v="3"/>
          </reference>
        </references>
      </pivotArea>
    </format>
    <format dxfId="89">
      <pivotArea dataOnly="0" labelOnly="1" outline="0" fieldPosition="0">
        <references count="5">
          <reference field="0" count="1" selected="0">
            <x v="68"/>
          </reference>
          <reference field="1" count="1" selected="0">
            <x v="89"/>
          </reference>
          <reference field="3" count="1" selected="0">
            <x v="33"/>
          </reference>
          <reference field="4" count="1" selected="0">
            <x v="36"/>
          </reference>
          <reference field="5" count="1">
            <x v="1"/>
          </reference>
        </references>
      </pivotArea>
    </format>
    <format dxfId="88">
      <pivotArea dataOnly="0" labelOnly="1" outline="0" fieldPosition="0">
        <references count="5">
          <reference field="0" count="1" selected="0">
            <x v="69"/>
          </reference>
          <reference field="1" count="1" selected="0">
            <x v="22"/>
          </reference>
          <reference field="3" count="1" selected="0">
            <x v="37"/>
          </reference>
          <reference field="4" count="1" selected="0">
            <x v="45"/>
          </reference>
          <reference field="5" count="1">
            <x v="5"/>
          </reference>
        </references>
      </pivotArea>
    </format>
    <format dxfId="87">
      <pivotArea dataOnly="0" labelOnly="1" outline="0" fieldPosition="0">
        <references count="6">
          <reference field="0" count="1" selected="0">
            <x v="0"/>
          </reference>
          <reference field="1" count="1" selected="0">
            <x v="23"/>
          </reference>
          <reference field="3" count="1" selected="0">
            <x v="15"/>
          </reference>
          <reference field="4" count="1" selected="0">
            <x v="42"/>
          </reference>
          <reference field="5" count="1" selected="0">
            <x v="5"/>
          </reference>
          <reference field="6" count="1">
            <x v="10"/>
          </reference>
        </references>
      </pivotArea>
    </format>
    <format dxfId="86">
      <pivotArea dataOnly="0" labelOnly="1" outline="0" fieldPosition="0">
        <references count="6">
          <reference field="0" count="1" selected="0">
            <x v="7"/>
          </reference>
          <reference field="1" count="1" selected="0">
            <x v="69"/>
          </reference>
          <reference field="3" count="1" selected="0">
            <x v="24"/>
          </reference>
          <reference field="4" count="1" selected="0">
            <x v="22"/>
          </reference>
          <reference field="5" count="1" selected="0">
            <x v="5"/>
          </reference>
          <reference field="6" count="1">
            <x v="39"/>
          </reference>
        </references>
      </pivotArea>
    </format>
    <format dxfId="85">
      <pivotArea dataOnly="0" labelOnly="1" outline="0" fieldPosition="0">
        <references count="6">
          <reference field="0" count="1" selected="0">
            <x v="12"/>
          </reference>
          <reference field="1" count="1" selected="0">
            <x v="18"/>
          </reference>
          <reference field="3" count="1" selected="0">
            <x v="25"/>
          </reference>
          <reference field="4" count="1" selected="0">
            <x v="23"/>
          </reference>
          <reference field="5" count="1" selected="0">
            <x v="3"/>
          </reference>
          <reference field="6" count="1">
            <x v="40"/>
          </reference>
        </references>
      </pivotArea>
    </format>
    <format dxfId="84">
      <pivotArea dataOnly="0" labelOnly="1" outline="0" fieldPosition="0">
        <references count="6">
          <reference field="0" count="1" selected="0">
            <x v="22"/>
          </reference>
          <reference field="1" count="1" selected="0">
            <x v="70"/>
          </reference>
          <reference field="3" count="1" selected="0">
            <x v="26"/>
          </reference>
          <reference field="4" count="1" selected="0">
            <x v="24"/>
          </reference>
          <reference field="5" count="1" selected="0">
            <x v="1"/>
          </reference>
          <reference field="6" count="1">
            <x v="25"/>
          </reference>
        </references>
      </pivotArea>
    </format>
    <format dxfId="83">
      <pivotArea dataOnly="0" labelOnly="1" outline="0" fieldPosition="0">
        <references count="6">
          <reference field="0" count="1" selected="0">
            <x v="32"/>
          </reference>
          <reference field="1" count="1" selected="0">
            <x v="12"/>
          </reference>
          <reference field="3" count="1" selected="0">
            <x v="28"/>
          </reference>
          <reference field="4" count="1" selected="0">
            <x v="26"/>
          </reference>
          <reference field="5" count="1" selected="0">
            <x v="0"/>
          </reference>
          <reference field="6" count="1">
            <x v="41"/>
          </reference>
        </references>
      </pivotArea>
    </format>
    <format dxfId="82">
      <pivotArea dataOnly="0" labelOnly="1" outline="0" fieldPosition="0">
        <references count="6">
          <reference field="0" count="1" selected="0">
            <x v="38"/>
          </reference>
          <reference field="1" count="1" selected="0">
            <x v="72"/>
          </reference>
          <reference field="3" count="1" selected="0">
            <x v="29"/>
          </reference>
          <reference field="4" count="1" selected="0">
            <x v="27"/>
          </reference>
          <reference field="5" count="1" selected="0">
            <x v="0"/>
          </reference>
          <reference field="6" count="1">
            <x v="28"/>
          </reference>
        </references>
      </pivotArea>
    </format>
    <format dxfId="81">
      <pivotArea dataOnly="0" labelOnly="1" outline="0" fieldPosition="0">
        <references count="6">
          <reference field="0" count="1" selected="0">
            <x v="40"/>
          </reference>
          <reference field="1" count="1" selected="0">
            <x v="73"/>
          </reference>
          <reference field="3" count="1" selected="0">
            <x v="30"/>
          </reference>
          <reference field="4" count="1" selected="0">
            <x v="18"/>
          </reference>
          <reference field="5" count="1" selected="0">
            <x v="1"/>
          </reference>
          <reference field="6" count="1">
            <x v="41"/>
          </reference>
        </references>
      </pivotArea>
    </format>
    <format dxfId="80">
      <pivotArea dataOnly="0" labelOnly="1" outline="0" fieldPosition="0">
        <references count="6">
          <reference field="0" count="1" selected="0">
            <x v="45"/>
          </reference>
          <reference field="1" count="1" selected="0">
            <x v="74"/>
          </reference>
          <reference field="3" count="1" selected="0">
            <x v="25"/>
          </reference>
          <reference field="4" count="1" selected="0">
            <x v="28"/>
          </reference>
          <reference field="5" count="1" selected="0">
            <x v="5"/>
          </reference>
          <reference field="6" count="1">
            <x v="26"/>
          </reference>
        </references>
      </pivotArea>
    </format>
    <format dxfId="79">
      <pivotArea dataOnly="0" labelOnly="1" outline="0" fieldPosition="0">
        <references count="6">
          <reference field="0" count="1" selected="0">
            <x v="47"/>
          </reference>
          <reference field="1" count="1" selected="0">
            <x v="9"/>
          </reference>
          <reference field="3" count="1" selected="0">
            <x v="29"/>
          </reference>
          <reference field="4" count="1" selected="0">
            <x v="29"/>
          </reference>
          <reference field="5" count="1" selected="0">
            <x v="1"/>
          </reference>
          <reference field="6" count="1">
            <x v="29"/>
          </reference>
        </references>
      </pivotArea>
    </format>
    <format dxfId="78">
      <pivotArea dataOnly="0" labelOnly="1" outline="0" fieldPosition="0">
        <references count="6">
          <reference field="0" count="1" selected="0">
            <x v="50"/>
          </reference>
          <reference field="1" count="1" selected="0">
            <x v="78"/>
          </reference>
          <reference field="3" count="1" selected="0">
            <x v="28"/>
          </reference>
          <reference field="4" count="1" selected="0">
            <x v="20"/>
          </reference>
          <reference field="5" count="1" selected="0">
            <x v="1"/>
          </reference>
          <reference field="6" count="1">
            <x v="30"/>
          </reference>
        </references>
      </pivotArea>
    </format>
    <format dxfId="77">
      <pivotArea dataOnly="0" labelOnly="1" outline="0" fieldPosition="0">
        <references count="6">
          <reference field="0" count="1" selected="0">
            <x v="51"/>
          </reference>
          <reference field="1" count="1" selected="0">
            <x v="79"/>
          </reference>
          <reference field="3" count="1" selected="0">
            <x v="33"/>
          </reference>
          <reference field="4" count="1" selected="0">
            <x v="30"/>
          </reference>
          <reference field="5" count="1" selected="0">
            <x v="5"/>
          </reference>
          <reference field="6" count="1">
            <x v="29"/>
          </reference>
        </references>
      </pivotArea>
    </format>
    <format dxfId="76">
      <pivotArea dataOnly="0" labelOnly="1" outline="0" fieldPosition="0">
        <references count="6">
          <reference field="0" count="1" selected="0">
            <x v="52"/>
          </reference>
          <reference field="1" count="1" selected="0">
            <x v="80"/>
          </reference>
          <reference field="3" count="1" selected="0">
            <x v="28"/>
          </reference>
          <reference field="4" count="1" selected="0">
            <x v="20"/>
          </reference>
          <reference field="5" count="1" selected="0">
            <x v="1"/>
          </reference>
          <reference field="6" count="1">
            <x v="30"/>
          </reference>
        </references>
      </pivotArea>
    </format>
    <format dxfId="75">
      <pivotArea dataOnly="0" labelOnly="1" outline="0" fieldPosition="0">
        <references count="6">
          <reference field="0" count="1" selected="0">
            <x v="55"/>
          </reference>
          <reference field="1" count="1" selected="0">
            <x v="81"/>
          </reference>
          <reference field="3" count="1" selected="0">
            <x v="25"/>
          </reference>
          <reference field="4" count="1" selected="0">
            <x v="21"/>
          </reference>
          <reference field="5" count="1" selected="0">
            <x v="5"/>
          </reference>
          <reference field="6" count="1">
            <x v="31"/>
          </reference>
        </references>
      </pivotArea>
    </format>
    <format dxfId="74">
      <pivotArea dataOnly="0" labelOnly="1" outline="0" fieldPosition="0">
        <references count="6">
          <reference field="0" count="1" selected="0">
            <x v="56"/>
          </reference>
          <reference field="1" count="1" selected="0">
            <x v="82"/>
          </reference>
          <reference field="3" count="1" selected="0">
            <x v="25"/>
          </reference>
          <reference field="4" count="1" selected="0">
            <x v="32"/>
          </reference>
          <reference field="5" count="1" selected="0">
            <x v="5"/>
          </reference>
          <reference field="6" count="1">
            <x v="42"/>
          </reference>
        </references>
      </pivotArea>
    </format>
    <format dxfId="73">
      <pivotArea dataOnly="0" labelOnly="1" outline="0" fieldPosition="0">
        <references count="6">
          <reference field="0" count="1" selected="0">
            <x v="59"/>
          </reference>
          <reference field="1" count="1" selected="0">
            <x v="15"/>
          </reference>
          <reference field="3" count="1" selected="0">
            <x v="28"/>
          </reference>
          <reference field="4" count="1" selected="0">
            <x v="33"/>
          </reference>
          <reference field="5" count="1" selected="0">
            <x v="6"/>
          </reference>
          <reference field="6" count="1">
            <x v="43"/>
          </reference>
        </references>
      </pivotArea>
    </format>
    <format dxfId="72">
      <pivotArea dataOnly="0" labelOnly="1" outline="0" fieldPosition="0">
        <references count="6">
          <reference field="0" count="1" selected="0">
            <x v="60"/>
          </reference>
          <reference field="1" count="1" selected="0">
            <x v="84"/>
          </reference>
          <reference field="3" count="1" selected="0">
            <x v="28"/>
          </reference>
          <reference field="4" count="1" selected="0">
            <x v="33"/>
          </reference>
          <reference field="5" count="1" selected="0">
            <x v="1"/>
          </reference>
          <reference field="6" count="1">
            <x v="33"/>
          </reference>
        </references>
      </pivotArea>
    </format>
    <format dxfId="71">
      <pivotArea dataOnly="0" labelOnly="1" outline="0" fieldPosition="0">
        <references count="6">
          <reference field="0" count="1" selected="0">
            <x v="63"/>
          </reference>
          <reference field="1" count="1" selected="0">
            <x v="86"/>
          </reference>
          <reference field="3" count="1" selected="0">
            <x v="28"/>
          </reference>
          <reference field="4" count="1" selected="0">
            <x v="34"/>
          </reference>
          <reference field="5" count="1" selected="0">
            <x v="1"/>
          </reference>
          <reference field="6" count="1">
            <x v="34"/>
          </reference>
        </references>
      </pivotArea>
    </format>
    <format dxfId="70">
      <pivotArea dataOnly="0" labelOnly="1" outline="0" fieldPosition="0">
        <references count="6">
          <reference field="0" count="1" selected="0">
            <x v="66"/>
          </reference>
          <reference field="1" count="1" selected="0">
            <x v="3"/>
          </reference>
          <reference field="3" count="1" selected="0">
            <x v="36"/>
          </reference>
          <reference field="4" count="1" selected="0">
            <x v="35"/>
          </reference>
          <reference field="5" count="1" selected="0">
            <x v="1"/>
          </reference>
          <reference field="6" count="1">
            <x v="43"/>
          </reference>
        </references>
      </pivotArea>
    </format>
    <format dxfId="69">
      <pivotArea dataOnly="0" labelOnly="1" outline="0" fieldPosition="0">
        <references count="6">
          <reference field="0" count="1" selected="0">
            <x v="68"/>
          </reference>
          <reference field="1" count="1" selected="0">
            <x v="89"/>
          </reference>
          <reference field="3" count="1" selected="0">
            <x v="33"/>
          </reference>
          <reference field="4" count="1" selected="0">
            <x v="36"/>
          </reference>
          <reference field="5" count="1" selected="0">
            <x v="1"/>
          </reference>
          <reference field="6" count="1">
            <x v="44"/>
          </reference>
        </references>
      </pivotArea>
    </format>
    <format dxfId="68">
      <pivotArea dataOnly="0" labelOnly="1" outline="0" fieldPosition="0">
        <references count="6">
          <reference field="0" count="1" selected="0">
            <x v="69"/>
          </reference>
          <reference field="1" count="1" selected="0">
            <x v="22"/>
          </reference>
          <reference field="3" count="1" selected="0">
            <x v="37"/>
          </reference>
          <reference field="4" count="1" selected="0">
            <x v="45"/>
          </reference>
          <reference field="5" count="1" selected="0">
            <x v="5"/>
          </reference>
          <reference field="6" count="1">
            <x v="36"/>
          </reference>
        </references>
      </pivotArea>
    </format>
    <format dxfId="67">
      <pivotArea dataOnly="0" labelOnly="1" outline="0" fieldPosition="0">
        <references count="7">
          <reference field="0" count="1" selected="0">
            <x v="0"/>
          </reference>
          <reference field="1" count="1" selected="0">
            <x v="23"/>
          </reference>
          <reference field="3" count="1" selected="0">
            <x v="15"/>
          </reference>
          <reference field="4" count="1" selected="0">
            <x v="42"/>
          </reference>
          <reference field="5" count="1" selected="0">
            <x v="5"/>
          </reference>
          <reference field="6" count="1" selected="0">
            <x v="10"/>
          </reference>
          <reference field="7" count="1">
            <x v="1"/>
          </reference>
        </references>
      </pivotArea>
    </format>
    <format dxfId="66">
      <pivotArea dataOnly="0" labelOnly="1" outline="0" fieldPosition="0">
        <references count="7">
          <reference field="0" count="1" selected="0">
            <x v="22"/>
          </reference>
          <reference field="1" count="1" selected="0">
            <x v="70"/>
          </reference>
          <reference field="3" count="1" selected="0">
            <x v="26"/>
          </reference>
          <reference field="4" count="1" selected="0">
            <x v="24"/>
          </reference>
          <reference field="5" count="1" selected="0">
            <x v="1"/>
          </reference>
          <reference field="6" count="1" selected="0">
            <x v="25"/>
          </reference>
          <reference field="7" count="1">
            <x v="0"/>
          </reference>
        </references>
      </pivotArea>
    </format>
    <format dxfId="65">
      <pivotArea dataOnly="0" labelOnly="1" outline="0" fieldPosition="0">
        <references count="7">
          <reference field="0" count="1" selected="0">
            <x v="28"/>
          </reference>
          <reference field="1" count="1" selected="0">
            <x v="71"/>
          </reference>
          <reference field="3" count="1" selected="0">
            <x v="27"/>
          </reference>
          <reference field="4" count="1" selected="0">
            <x v="25"/>
          </reference>
          <reference field="5" count="1" selected="0">
            <x v="3"/>
          </reference>
          <reference field="6" count="1" selected="0">
            <x v="25"/>
          </reference>
          <reference field="7" count="1">
            <x v="1"/>
          </reference>
        </references>
      </pivotArea>
    </format>
    <format dxfId="64">
      <pivotArea dataOnly="0" labelOnly="1" outline="0" fieldPosition="0">
        <references count="7">
          <reference field="0" count="1" selected="0">
            <x v="32"/>
          </reference>
          <reference field="1" count="1" selected="0">
            <x v="12"/>
          </reference>
          <reference field="3" count="1" selected="0">
            <x v="28"/>
          </reference>
          <reference field="4" count="1" selected="0">
            <x v="26"/>
          </reference>
          <reference field="5" count="1" selected="0">
            <x v="0"/>
          </reference>
          <reference field="6" count="1" selected="0">
            <x v="41"/>
          </reference>
          <reference field="7" count="1">
            <x v="4"/>
          </reference>
        </references>
      </pivotArea>
    </format>
    <format dxfId="63">
      <pivotArea dataOnly="0" labelOnly="1" outline="0" fieldPosition="0">
        <references count="7">
          <reference field="0" count="1" selected="0">
            <x v="38"/>
          </reference>
          <reference field="1" count="1" selected="0">
            <x v="72"/>
          </reference>
          <reference field="3" count="1" selected="0">
            <x v="29"/>
          </reference>
          <reference field="4" count="1" selected="0">
            <x v="27"/>
          </reference>
          <reference field="5" count="1" selected="0">
            <x v="0"/>
          </reference>
          <reference field="6" count="1" selected="0">
            <x v="28"/>
          </reference>
          <reference field="7" count="1">
            <x v="0"/>
          </reference>
        </references>
      </pivotArea>
    </format>
    <format dxfId="62">
      <pivotArea dataOnly="0" labelOnly="1" outline="0" fieldPosition="0">
        <references count="7">
          <reference field="0" count="1" selected="0">
            <x v="40"/>
          </reference>
          <reference field="1" count="1" selected="0">
            <x v="73"/>
          </reference>
          <reference field="3" count="1" selected="0">
            <x v="30"/>
          </reference>
          <reference field="4" count="1" selected="0">
            <x v="18"/>
          </reference>
          <reference field="5" count="1" selected="0">
            <x v="1"/>
          </reference>
          <reference field="6" count="1" selected="0">
            <x v="41"/>
          </reference>
          <reference field="7" count="1">
            <x v="1"/>
          </reference>
        </references>
      </pivotArea>
    </format>
    <format dxfId="61">
      <pivotArea dataOnly="0" labelOnly="1" outline="0" fieldPosition="0">
        <references count="7">
          <reference field="0" count="1" selected="0">
            <x v="45"/>
          </reference>
          <reference field="1" count="1" selected="0">
            <x v="74"/>
          </reference>
          <reference field="3" count="1" selected="0">
            <x v="25"/>
          </reference>
          <reference field="4" count="1" selected="0">
            <x v="28"/>
          </reference>
          <reference field="5" count="1" selected="0">
            <x v="5"/>
          </reference>
          <reference field="6" count="1" selected="0">
            <x v="26"/>
          </reference>
          <reference field="7" count="1">
            <x v="2"/>
          </reference>
        </references>
      </pivotArea>
    </format>
    <format dxfId="60">
      <pivotArea dataOnly="0" labelOnly="1" outline="0" fieldPosition="0">
        <references count="8">
          <reference field="0" count="1" selected="0">
            <x v="0"/>
          </reference>
          <reference field="1" count="1" selected="0">
            <x v="23"/>
          </reference>
          <reference field="3" count="1" selected="0">
            <x v="15"/>
          </reference>
          <reference field="4" count="1" selected="0">
            <x v="42"/>
          </reference>
          <reference field="5" count="1" selected="0">
            <x v="5"/>
          </reference>
          <reference field="6" count="1" selected="0">
            <x v="10"/>
          </reference>
          <reference field="7" count="1" selected="0">
            <x v="1"/>
          </reference>
          <reference field="8" count="1">
            <x v="3"/>
          </reference>
        </references>
      </pivotArea>
    </format>
    <format dxfId="59">
      <pivotArea dataOnly="0" labelOnly="1" outline="0" fieldPosition="0">
        <references count="8">
          <reference field="0" count="1" selected="0">
            <x v="7"/>
          </reference>
          <reference field="1" count="1" selected="0">
            <x v="69"/>
          </reference>
          <reference field="3" count="1" selected="0">
            <x v="24"/>
          </reference>
          <reference field="4" count="1" selected="0">
            <x v="22"/>
          </reference>
          <reference field="5" count="1" selected="0">
            <x v="5"/>
          </reference>
          <reference field="6" count="1" selected="0">
            <x v="39"/>
          </reference>
          <reference field="7" count="1" selected="0">
            <x v="1"/>
          </reference>
          <reference field="8" count="1">
            <x v="3"/>
          </reference>
        </references>
      </pivotArea>
    </format>
    <format dxfId="58">
      <pivotArea dataOnly="0" labelOnly="1" outline="0" fieldPosition="0">
        <references count="8">
          <reference field="0" count="1" selected="0">
            <x v="12"/>
          </reference>
          <reference field="1" count="1" selected="0">
            <x v="18"/>
          </reference>
          <reference field="3" count="1" selected="0">
            <x v="25"/>
          </reference>
          <reference field="4" count="1" selected="0">
            <x v="23"/>
          </reference>
          <reference field="5" count="1" selected="0">
            <x v="3"/>
          </reference>
          <reference field="6" count="1" selected="0">
            <x v="40"/>
          </reference>
          <reference field="7" count="1" selected="0">
            <x v="1"/>
          </reference>
          <reference field="8" count="1">
            <x v="8"/>
          </reference>
        </references>
      </pivotArea>
    </format>
    <format dxfId="57">
      <pivotArea dataOnly="0" labelOnly="1" outline="0" fieldPosition="0">
        <references count="8">
          <reference field="0" count="1" selected="0">
            <x v="22"/>
          </reference>
          <reference field="1" count="1" selected="0">
            <x v="70"/>
          </reference>
          <reference field="3" count="1" selected="0">
            <x v="26"/>
          </reference>
          <reference field="4" count="1" selected="0">
            <x v="24"/>
          </reference>
          <reference field="5" count="1" selected="0">
            <x v="1"/>
          </reference>
          <reference field="6" count="1" selected="0">
            <x v="25"/>
          </reference>
          <reference field="7" count="1" selected="0">
            <x v="0"/>
          </reference>
          <reference field="8" count="1">
            <x v="5"/>
          </reference>
        </references>
      </pivotArea>
    </format>
    <format dxfId="56">
      <pivotArea dataOnly="0" labelOnly="1" outline="0" fieldPosition="0">
        <references count="8">
          <reference field="0" count="1" selected="0">
            <x v="28"/>
          </reference>
          <reference field="1" count="1" selected="0">
            <x v="71"/>
          </reference>
          <reference field="3" count="1" selected="0">
            <x v="27"/>
          </reference>
          <reference field="4" count="1" selected="0">
            <x v="25"/>
          </reference>
          <reference field="5" count="1" selected="0">
            <x v="3"/>
          </reference>
          <reference field="6" count="1" selected="0">
            <x v="25"/>
          </reference>
          <reference field="7" count="1" selected="0">
            <x v="1"/>
          </reference>
          <reference field="8" count="1">
            <x v="8"/>
          </reference>
        </references>
      </pivotArea>
    </format>
    <format dxfId="55">
      <pivotArea dataOnly="0" labelOnly="1" outline="0" fieldPosition="0">
        <references count="8">
          <reference field="0" count="1" selected="0">
            <x v="32"/>
          </reference>
          <reference field="1" count="1" selected="0">
            <x v="12"/>
          </reference>
          <reference field="3" count="1" selected="0">
            <x v="28"/>
          </reference>
          <reference field="4" count="1" selected="0">
            <x v="26"/>
          </reference>
          <reference field="5" count="1" selected="0">
            <x v="0"/>
          </reference>
          <reference field="6" count="1" selected="0">
            <x v="41"/>
          </reference>
          <reference field="7" count="1" selected="0">
            <x v="4"/>
          </reference>
          <reference field="8" count="1">
            <x v="7"/>
          </reference>
        </references>
      </pivotArea>
    </format>
    <format dxfId="54">
      <pivotArea dataOnly="0" labelOnly="1" outline="0" fieldPosition="0">
        <references count="8">
          <reference field="0" count="1" selected="0">
            <x v="38"/>
          </reference>
          <reference field="1" count="1" selected="0">
            <x v="72"/>
          </reference>
          <reference field="3" count="1" selected="0">
            <x v="29"/>
          </reference>
          <reference field="4" count="1" selected="0">
            <x v="27"/>
          </reference>
          <reference field="5" count="1" selected="0">
            <x v="0"/>
          </reference>
          <reference field="6" count="1" selected="0">
            <x v="28"/>
          </reference>
          <reference field="7" count="1" selected="0">
            <x v="0"/>
          </reference>
          <reference field="8" count="1">
            <x v="1"/>
          </reference>
        </references>
      </pivotArea>
    </format>
    <format dxfId="53">
      <pivotArea dataOnly="0" labelOnly="1" outline="0" fieldPosition="0">
        <references count="8">
          <reference field="0" count="1" selected="0">
            <x v="40"/>
          </reference>
          <reference field="1" count="1" selected="0">
            <x v="73"/>
          </reference>
          <reference field="3" count="1" selected="0">
            <x v="30"/>
          </reference>
          <reference field="4" count="1" selected="0">
            <x v="18"/>
          </reference>
          <reference field="5" count="1" selected="0">
            <x v="1"/>
          </reference>
          <reference field="6" count="1" selected="0">
            <x v="41"/>
          </reference>
          <reference field="7" count="1" selected="0">
            <x v="1"/>
          </reference>
          <reference field="8" count="1">
            <x v="2"/>
          </reference>
        </references>
      </pivotArea>
    </format>
    <format dxfId="52">
      <pivotArea dataOnly="0" labelOnly="1" outline="0" fieldPosition="0">
        <references count="8">
          <reference field="0" count="1" selected="0">
            <x v="45"/>
          </reference>
          <reference field="1" count="1" selected="0">
            <x v="74"/>
          </reference>
          <reference field="3" count="1" selected="0">
            <x v="25"/>
          </reference>
          <reference field="4" count="1" selected="0">
            <x v="28"/>
          </reference>
          <reference field="5" count="1" selected="0">
            <x v="5"/>
          </reference>
          <reference field="6" count="1" selected="0">
            <x v="26"/>
          </reference>
          <reference field="7" count="1" selected="0">
            <x v="2"/>
          </reference>
          <reference field="8" count="1">
            <x v="0"/>
          </reference>
        </references>
      </pivotArea>
    </format>
    <format dxfId="51">
      <pivotArea dataOnly="0" labelOnly="1" outline="0" fieldPosition="0">
        <references count="8">
          <reference field="0" count="1" selected="0">
            <x v="46"/>
          </reference>
          <reference field="1" count="1" selected="0">
            <x v="75"/>
          </reference>
          <reference field="3" count="1" selected="0">
            <x v="29"/>
          </reference>
          <reference field="4" count="1" selected="0">
            <x v="28"/>
          </reference>
          <reference field="5" count="1" selected="0">
            <x v="5"/>
          </reference>
          <reference field="6" count="1" selected="0">
            <x v="26"/>
          </reference>
          <reference field="7" count="1" selected="0">
            <x v="2"/>
          </reference>
          <reference field="8" count="1">
            <x v="0"/>
          </reference>
        </references>
      </pivotArea>
    </format>
    <format dxfId="50">
      <pivotArea dataOnly="0" labelOnly="1" outline="0" fieldPosition="0">
        <references count="8">
          <reference field="0" count="1" selected="0">
            <x v="47"/>
          </reference>
          <reference field="1" count="1" selected="0">
            <x v="9"/>
          </reference>
          <reference field="3" count="1" selected="0">
            <x v="29"/>
          </reference>
          <reference field="4" count="1" selected="0">
            <x v="29"/>
          </reference>
          <reference field="5" count="1" selected="0">
            <x v="1"/>
          </reference>
          <reference field="6" count="1" selected="0">
            <x v="29"/>
          </reference>
          <reference field="7" count="1" selected="0">
            <x v="2"/>
          </reference>
          <reference field="8" count="1">
            <x v="0"/>
          </reference>
        </references>
      </pivotArea>
    </format>
    <format dxfId="49">
      <pivotArea dataOnly="0" labelOnly="1" outline="0" fieldPosition="0">
        <references count="8">
          <reference field="0" count="1" selected="0">
            <x v="48"/>
          </reference>
          <reference field="1" count="1" selected="0">
            <x v="76"/>
          </reference>
          <reference field="3" count="1" selected="0">
            <x v="31"/>
          </reference>
          <reference field="4" count="1" selected="0">
            <x v="29"/>
          </reference>
          <reference field="5" count="1" selected="0">
            <x v="1"/>
          </reference>
          <reference field="6" count="1" selected="0">
            <x v="29"/>
          </reference>
          <reference field="7" count="1" selected="0">
            <x v="2"/>
          </reference>
          <reference field="8" count="1">
            <x v="0"/>
          </reference>
        </references>
      </pivotArea>
    </format>
    <format dxfId="48">
      <pivotArea dataOnly="0" labelOnly="1" outline="0" fieldPosition="0">
        <references count="8">
          <reference field="0" count="1" selected="0">
            <x v="49"/>
          </reference>
          <reference field="1" count="1" selected="0">
            <x v="77"/>
          </reference>
          <reference field="3" count="1" selected="0">
            <x v="32"/>
          </reference>
          <reference field="4" count="1" selected="0">
            <x v="43"/>
          </reference>
          <reference field="5" count="1" selected="0">
            <x v="3"/>
          </reference>
          <reference field="6" count="1" selected="0">
            <x v="29"/>
          </reference>
          <reference field="7" count="1" selected="0">
            <x v="2"/>
          </reference>
          <reference field="8" count="1">
            <x v="0"/>
          </reference>
        </references>
      </pivotArea>
    </format>
    <format dxfId="47">
      <pivotArea dataOnly="0" labelOnly="1" outline="0" fieldPosition="0">
        <references count="8">
          <reference field="0" count="1" selected="0">
            <x v="50"/>
          </reference>
          <reference field="1" count="1" selected="0">
            <x v="78"/>
          </reference>
          <reference field="3" count="1" selected="0">
            <x v="28"/>
          </reference>
          <reference field="4" count="1" selected="0">
            <x v="20"/>
          </reference>
          <reference field="5" count="1" selected="0">
            <x v="1"/>
          </reference>
          <reference field="6" count="1" selected="0">
            <x v="30"/>
          </reference>
          <reference field="7" count="1" selected="0">
            <x v="2"/>
          </reference>
          <reference field="8" count="1">
            <x v="0"/>
          </reference>
        </references>
      </pivotArea>
    </format>
    <format dxfId="46">
      <pivotArea dataOnly="0" labelOnly="1" outline="0" fieldPosition="0">
        <references count="8">
          <reference field="0" count="1" selected="0">
            <x v="51"/>
          </reference>
          <reference field="1" count="1" selected="0">
            <x v="79"/>
          </reference>
          <reference field="3" count="1" selected="0">
            <x v="33"/>
          </reference>
          <reference field="4" count="1" selected="0">
            <x v="30"/>
          </reference>
          <reference field="5" count="1" selected="0">
            <x v="5"/>
          </reference>
          <reference field="6" count="1" selected="0">
            <x v="29"/>
          </reference>
          <reference field="7" count="1" selected="0">
            <x v="2"/>
          </reference>
          <reference field="8" count="1">
            <x v="0"/>
          </reference>
        </references>
      </pivotArea>
    </format>
    <format dxfId="45">
      <pivotArea dataOnly="0" labelOnly="1" outline="0" fieldPosition="0">
        <references count="8">
          <reference field="0" count="1" selected="0">
            <x v="52"/>
          </reference>
          <reference field="1" count="1" selected="0">
            <x v="80"/>
          </reference>
          <reference field="3" count="1" selected="0">
            <x v="28"/>
          </reference>
          <reference field="4" count="1" selected="0">
            <x v="20"/>
          </reference>
          <reference field="5" count="1" selected="0">
            <x v="1"/>
          </reference>
          <reference field="6" count="1" selected="0">
            <x v="30"/>
          </reference>
          <reference field="7" count="1" selected="0">
            <x v="2"/>
          </reference>
          <reference field="8" count="1">
            <x v="0"/>
          </reference>
        </references>
      </pivotArea>
    </format>
    <format dxfId="44">
      <pivotArea dataOnly="0" labelOnly="1" outline="0" fieldPosition="0">
        <references count="8">
          <reference field="0" count="1" selected="0">
            <x v="53"/>
          </reference>
          <reference field="1" count="1" selected="0">
            <x v="4"/>
          </reference>
          <reference field="3" count="1" selected="0">
            <x v="25"/>
          </reference>
          <reference field="4" count="1" selected="0">
            <x v="31"/>
          </reference>
          <reference field="5" count="1" selected="0">
            <x v="5"/>
          </reference>
          <reference field="6" count="1" selected="0">
            <x v="30"/>
          </reference>
          <reference field="7" count="1" selected="0">
            <x v="2"/>
          </reference>
          <reference field="8" count="1">
            <x v="0"/>
          </reference>
        </references>
      </pivotArea>
    </format>
    <format dxfId="43">
      <pivotArea dataOnly="0" labelOnly="1" outline="0" fieldPosition="0">
        <references count="8">
          <reference field="0" count="1" selected="0">
            <x v="54"/>
          </reference>
          <reference field="1" count="1" selected="0">
            <x v="1"/>
          </reference>
          <reference field="3" count="1" selected="0">
            <x v="31"/>
          </reference>
          <reference field="4" count="1" selected="0">
            <x v="31"/>
          </reference>
          <reference field="5" count="1" selected="0">
            <x v="5"/>
          </reference>
          <reference field="6" count="1" selected="0">
            <x v="30"/>
          </reference>
          <reference field="7" count="1" selected="0">
            <x v="2"/>
          </reference>
          <reference field="8" count="1">
            <x v="0"/>
          </reference>
        </references>
      </pivotArea>
    </format>
    <format dxfId="42">
      <pivotArea dataOnly="0" labelOnly="1" outline="0" fieldPosition="0">
        <references count="8">
          <reference field="0" count="1" selected="0">
            <x v="55"/>
          </reference>
          <reference field="1" count="1" selected="0">
            <x v="81"/>
          </reference>
          <reference field="3" count="1" selected="0">
            <x v="25"/>
          </reference>
          <reference field="4" count="1" selected="0">
            <x v="21"/>
          </reference>
          <reference field="5" count="1" selected="0">
            <x v="5"/>
          </reference>
          <reference field="6" count="1" selected="0">
            <x v="31"/>
          </reference>
          <reference field="7" count="1" selected="0">
            <x v="2"/>
          </reference>
          <reference field="8" count="1">
            <x v="0"/>
          </reference>
        </references>
      </pivotArea>
    </format>
    <format dxfId="41">
      <pivotArea dataOnly="0" labelOnly="1" outline="0" fieldPosition="0">
        <references count="8">
          <reference field="0" count="1" selected="0">
            <x v="56"/>
          </reference>
          <reference field="1" count="1" selected="0">
            <x v="82"/>
          </reference>
          <reference field="3" count="1" selected="0">
            <x v="25"/>
          </reference>
          <reference field="4" count="1" selected="0">
            <x v="32"/>
          </reference>
          <reference field="5" count="1" selected="0">
            <x v="5"/>
          </reference>
          <reference field="6" count="1" selected="0">
            <x v="42"/>
          </reference>
          <reference field="7" count="1" selected="0">
            <x v="2"/>
          </reference>
          <reference field="8" count="1">
            <x v="0"/>
          </reference>
        </references>
      </pivotArea>
    </format>
    <format dxfId="40">
      <pivotArea dataOnly="0" labelOnly="1" outline="0" fieldPosition="0">
        <references count="8">
          <reference field="0" count="1" selected="0">
            <x v="57"/>
          </reference>
          <reference field="1" count="1" selected="0">
            <x v="83"/>
          </reference>
          <reference field="3" count="1" selected="0">
            <x v="28"/>
          </reference>
          <reference field="4" count="1" selected="0">
            <x v="32"/>
          </reference>
          <reference field="5" count="1" selected="0">
            <x v="5"/>
          </reference>
          <reference field="6" count="1" selected="0">
            <x v="42"/>
          </reference>
          <reference field="7" count="1" selected="0">
            <x v="2"/>
          </reference>
          <reference field="8" count="1">
            <x v="0"/>
          </reference>
        </references>
      </pivotArea>
    </format>
    <format dxfId="39">
      <pivotArea dataOnly="0" labelOnly="1" outline="0" fieldPosition="0">
        <references count="8">
          <reference field="0" count="1" selected="0">
            <x v="58"/>
          </reference>
          <reference field="1" count="1" selected="0">
            <x v="6"/>
          </reference>
          <reference field="3" count="1" selected="0">
            <x v="28"/>
          </reference>
          <reference field="4" count="1" selected="0">
            <x v="32"/>
          </reference>
          <reference field="5" count="1" selected="0">
            <x v="5"/>
          </reference>
          <reference field="6" count="1" selected="0">
            <x v="42"/>
          </reference>
          <reference field="7" count="1" selected="0">
            <x v="2"/>
          </reference>
          <reference field="8" count="1">
            <x v="0"/>
          </reference>
        </references>
      </pivotArea>
    </format>
    <format dxfId="38">
      <pivotArea dataOnly="0" labelOnly="1" outline="0" fieldPosition="0">
        <references count="8">
          <reference field="0" count="1" selected="0">
            <x v="59"/>
          </reference>
          <reference field="1" count="1" selected="0">
            <x v="15"/>
          </reference>
          <reference field="3" count="1" selected="0">
            <x v="28"/>
          </reference>
          <reference field="4" count="1" selected="0">
            <x v="33"/>
          </reference>
          <reference field="5" count="1" selected="0">
            <x v="6"/>
          </reference>
          <reference field="6" count="1" selected="0">
            <x v="43"/>
          </reference>
          <reference field="7" count="1" selected="0">
            <x v="2"/>
          </reference>
          <reference field="8" count="1">
            <x v="0"/>
          </reference>
        </references>
      </pivotArea>
    </format>
    <format dxfId="37">
      <pivotArea dataOnly="0" labelOnly="1" outline="0" fieldPosition="0">
        <references count="8">
          <reference field="0" count="1" selected="0">
            <x v="60"/>
          </reference>
          <reference field="1" count="1" selected="0">
            <x v="84"/>
          </reference>
          <reference field="3" count="1" selected="0">
            <x v="28"/>
          </reference>
          <reference field="4" count="1" selected="0">
            <x v="33"/>
          </reference>
          <reference field="5" count="1" selected="0">
            <x v="1"/>
          </reference>
          <reference field="6" count="1" selected="0">
            <x v="33"/>
          </reference>
          <reference field="7" count="1" selected="0">
            <x v="2"/>
          </reference>
          <reference field="8" count="1">
            <x v="0"/>
          </reference>
        </references>
      </pivotArea>
    </format>
    <format dxfId="36">
      <pivotArea dataOnly="0" labelOnly="1" outline="0" fieldPosition="0">
        <references count="8">
          <reference field="0" count="1" selected="0">
            <x v="61"/>
          </reference>
          <reference field="1" count="1" selected="0">
            <x v="85"/>
          </reference>
          <reference field="3" count="1" selected="0">
            <x v="34"/>
          </reference>
          <reference field="4" count="1" selected="0">
            <x v="33"/>
          </reference>
          <reference field="5" count="1" selected="0">
            <x v="1"/>
          </reference>
          <reference field="6" count="1" selected="0">
            <x v="33"/>
          </reference>
          <reference field="7" count="1" selected="0">
            <x v="2"/>
          </reference>
          <reference field="8" count="1">
            <x v="0"/>
          </reference>
        </references>
      </pivotArea>
    </format>
    <format dxfId="35">
      <pivotArea dataOnly="0" labelOnly="1" outline="0" fieldPosition="0">
        <references count="8">
          <reference field="0" count="1" selected="0">
            <x v="62"/>
          </reference>
          <reference field="1" count="1" selected="0">
            <x v="19"/>
          </reference>
          <reference field="3" count="1" selected="0">
            <x v="28"/>
          </reference>
          <reference field="4" count="1" selected="0">
            <x v="34"/>
          </reference>
          <reference field="5" count="1" selected="0">
            <x v="3"/>
          </reference>
          <reference field="6" count="1" selected="0">
            <x v="33"/>
          </reference>
          <reference field="7" count="1" selected="0">
            <x v="2"/>
          </reference>
          <reference field="8" count="1">
            <x v="0"/>
          </reference>
        </references>
      </pivotArea>
    </format>
    <format dxfId="34">
      <pivotArea dataOnly="0" labelOnly="1" outline="0" fieldPosition="0">
        <references count="8">
          <reference field="0" count="1" selected="0">
            <x v="63"/>
          </reference>
          <reference field="1" count="1" selected="0">
            <x v="86"/>
          </reference>
          <reference field="3" count="1" selected="0">
            <x v="28"/>
          </reference>
          <reference field="4" count="1" selected="0">
            <x v="34"/>
          </reference>
          <reference field="5" count="1" selected="0">
            <x v="1"/>
          </reference>
          <reference field="6" count="1" selected="0">
            <x v="34"/>
          </reference>
          <reference field="7" count="1" selected="0">
            <x v="2"/>
          </reference>
          <reference field="8" count="1">
            <x v="0"/>
          </reference>
        </references>
      </pivotArea>
    </format>
    <format dxfId="33">
      <pivotArea dataOnly="0" labelOnly="1" outline="0" fieldPosition="0">
        <references count="8">
          <reference field="0" count="1" selected="0">
            <x v="64"/>
          </reference>
          <reference field="1" count="1" selected="0">
            <x v="2"/>
          </reference>
          <reference field="3" count="1" selected="0">
            <x v="35"/>
          </reference>
          <reference field="4" count="1" selected="0">
            <x v="34"/>
          </reference>
          <reference field="5" count="1" selected="0">
            <x v="1"/>
          </reference>
          <reference field="6" count="1" selected="0">
            <x v="34"/>
          </reference>
          <reference field="7" count="1" selected="0">
            <x v="2"/>
          </reference>
          <reference field="8" count="1">
            <x v="0"/>
          </reference>
        </references>
      </pivotArea>
    </format>
    <format dxfId="32">
      <pivotArea dataOnly="0" labelOnly="1" outline="0" fieldPosition="0">
        <references count="8">
          <reference field="0" count="1" selected="0">
            <x v="65"/>
          </reference>
          <reference field="1" count="1" selected="0">
            <x v="87"/>
          </reference>
          <reference field="3" count="1" selected="0">
            <x v="33"/>
          </reference>
          <reference field="4" count="1" selected="0">
            <x v="44"/>
          </reference>
          <reference field="5" count="1" selected="0">
            <x v="3"/>
          </reference>
          <reference field="6" count="1" selected="0">
            <x v="34"/>
          </reference>
          <reference field="7" count="1" selected="0">
            <x v="2"/>
          </reference>
          <reference field="8" count="1">
            <x v="0"/>
          </reference>
        </references>
      </pivotArea>
    </format>
    <format dxfId="31">
      <pivotArea dataOnly="0" labelOnly="1" outline="0" fieldPosition="0">
        <references count="8">
          <reference field="0" count="1" selected="0">
            <x v="66"/>
          </reference>
          <reference field="1" count="1" selected="0">
            <x v="3"/>
          </reference>
          <reference field="3" count="1" selected="0">
            <x v="36"/>
          </reference>
          <reference field="4" count="1" selected="0">
            <x v="35"/>
          </reference>
          <reference field="5" count="1" selected="0">
            <x v="1"/>
          </reference>
          <reference field="6" count="1" selected="0">
            <x v="43"/>
          </reference>
          <reference field="7" count="1" selected="0">
            <x v="2"/>
          </reference>
          <reference field="8" count="1">
            <x v="0"/>
          </reference>
        </references>
      </pivotArea>
    </format>
    <format dxfId="30">
      <pivotArea dataOnly="0" labelOnly="1" outline="0" fieldPosition="0">
        <references count="8">
          <reference field="0" count="1" selected="0">
            <x v="67"/>
          </reference>
          <reference field="1" count="1" selected="0">
            <x v="88"/>
          </reference>
          <reference field="3" count="1" selected="0">
            <x v="33"/>
          </reference>
          <reference field="4" count="1" selected="0">
            <x v="36"/>
          </reference>
          <reference field="5" count="1" selected="0">
            <x v="3"/>
          </reference>
          <reference field="6" count="1" selected="0">
            <x v="43"/>
          </reference>
          <reference field="7" count="1" selected="0">
            <x v="2"/>
          </reference>
          <reference field="8" count="1">
            <x v="0"/>
          </reference>
        </references>
      </pivotArea>
    </format>
    <format dxfId="29">
      <pivotArea dataOnly="0" labelOnly="1" outline="0" fieldPosition="0">
        <references count="8">
          <reference field="0" count="1" selected="0">
            <x v="68"/>
          </reference>
          <reference field="1" count="1" selected="0">
            <x v="89"/>
          </reference>
          <reference field="3" count="1" selected="0">
            <x v="33"/>
          </reference>
          <reference field="4" count="1" selected="0">
            <x v="36"/>
          </reference>
          <reference field="5" count="1" selected="0">
            <x v="1"/>
          </reference>
          <reference field="6" count="1" selected="0">
            <x v="44"/>
          </reference>
          <reference field="7" count="1" selected="0">
            <x v="2"/>
          </reference>
          <reference field="8" count="1">
            <x v="0"/>
          </reference>
        </references>
      </pivotArea>
    </format>
    <format dxfId="28">
      <pivotArea dataOnly="0" labelOnly="1" outline="0" fieldPosition="0">
        <references count="8">
          <reference field="0" count="1" selected="0">
            <x v="69"/>
          </reference>
          <reference field="1" count="1" selected="0">
            <x v="22"/>
          </reference>
          <reference field="3" count="1" selected="0">
            <x v="37"/>
          </reference>
          <reference field="4" count="1" selected="0">
            <x v="45"/>
          </reference>
          <reference field="5" count="1" selected="0">
            <x v="5"/>
          </reference>
          <reference field="6" count="1" selected="0">
            <x v="36"/>
          </reference>
          <reference field="7" count="1" selected="0">
            <x v="2"/>
          </reference>
          <reference field="8" count="1">
            <x v="0"/>
          </reference>
        </references>
      </pivotArea>
    </format>
    <format dxfId="27">
      <pivotArea dataOnly="0" labelOnly="1" outline="0" fieldPosition="0">
        <references count="3">
          <reference field="0" count="1" selected="0">
            <x v="22"/>
          </reference>
          <reference field="1" count="1" selected="0">
            <x v="70"/>
          </reference>
          <reference field="3" count="1">
            <x v="26"/>
          </reference>
        </references>
      </pivotArea>
    </format>
  </formats>
  <pivotTableStyleInfo name="PivotStyleLight16" showRowHeaders="0"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C85CF9F-1649-4CD5-9F5D-54DAFAADA308}" name="NumberOfTasks"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B6:B7" firstHeaderRow="1" firstDataRow="1" firstDataCol="0"/>
  <pivotFields count="9">
    <pivotField dataField="1" numFmtId="1" showAll="0"/>
    <pivotField showAll="0"/>
    <pivotField showAll="0"/>
    <pivotField showAll="0"/>
    <pivotField numFmtId="14" showAll="0"/>
    <pivotField numFmtId="1" showAll="0"/>
    <pivotField numFmtId="14" showAll="0"/>
    <pivotField numFmtId="1" showAll="0"/>
    <pivotField numFmtId="10" showAll="0"/>
  </pivotFields>
  <rowItems count="1">
    <i/>
  </rowItems>
  <colItems count="1">
    <i/>
  </colItems>
  <dataFields count="1">
    <dataField name="Count of  REF" fld="0" subtotal="count" baseField="0" baseItem="0"/>
  </dataFields>
  <formats count="3">
    <format dxfId="16">
      <pivotArea dataOnly="0" labelOnly="1" outline="0" axis="axisValues" fieldPosition="0"/>
    </format>
    <format dxfId="15">
      <pivotArea dataOnly="0" labelOnly="1" outline="0" axis="axisValues" fieldPosition="0"/>
    </format>
    <format dxfId="14">
      <pivotArea dataOnly="0" labelOnly="1" outline="0" axis="axisValues" fieldPosition="0"/>
    </format>
  </formats>
  <chartFormats count="2">
    <chartFormat chart="4" format="6" series="1">
      <pivotArea type="data" outline="0" fieldPosition="0">
        <references count="1">
          <reference field="4294967294" count="1" selected="0">
            <x v="0"/>
          </reference>
        </references>
      </pivotArea>
    </chartFormat>
    <chartFormat chart="4" format="7">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4EA5516-F663-48D5-B8C4-E4CB76C5CBBE}" name="PivotTable7" cacheId="2" dataOnRows="1" applyNumberFormats="0" applyBorderFormats="0" applyFontFormats="0" applyPatternFormats="0" applyAlignmentFormats="0" applyWidthHeightFormats="1" dataCaption="Project Days" updatedVersion="6" minRefreshableVersion="3" useAutoFormatting="1" itemPrintTitles="1" createdVersion="6" indent="0" outline="1" outlineData="1" multipleFieldFilters="0" chartFormat="3">
  <location ref="I6:J8" firstHeaderRow="1" firstDataRow="1" firstDataCol="1"/>
  <pivotFields count="9">
    <pivotField numFmtId="1" showAll="0"/>
    <pivotField showAll="0"/>
    <pivotField showAll="0"/>
    <pivotField showAll="0"/>
    <pivotField numFmtId="14" showAll="0"/>
    <pivotField dataField="1" numFmtId="1" showAll="0"/>
    <pivotField numFmtId="14" showAll="0"/>
    <pivotField dataField="1" numFmtId="1" showAll="0"/>
    <pivotField numFmtId="10" showAll="0"/>
  </pivotFields>
  <rowFields count="1">
    <field x="-2"/>
  </rowFields>
  <rowItems count="2">
    <i>
      <x/>
    </i>
    <i i="1">
      <x v="1"/>
    </i>
  </rowItems>
  <colItems count="1">
    <i/>
  </colItems>
  <dataFields count="2">
    <dataField name="Completed Work Days" fld="7" baseField="0" baseItem="0"/>
    <dataField name="Total Work Days" fld="5" baseField="0" baseItem="0"/>
  </dataFields>
  <formats count="6">
    <format dxfId="22">
      <pivotArea field="-2" type="button" dataOnly="0" labelOnly="1" outline="0" axis="axisRow" fieldPosition="0"/>
    </format>
    <format dxfId="21">
      <pivotArea dataOnly="0" labelOnly="1" grandCol="1" outline="0" axis="axisCol" fieldPosition="0"/>
    </format>
    <format dxfId="20">
      <pivotArea field="-2" type="button" dataOnly="0" labelOnly="1" outline="0" axis="axisRow" fieldPosition="0"/>
    </format>
    <format dxfId="19">
      <pivotArea dataOnly="0" labelOnly="1" grandCol="1" outline="0" axis="axisCol" fieldPosition="0"/>
    </format>
    <format dxfId="18">
      <pivotArea field="-2" type="button" dataOnly="0" labelOnly="1" outline="0" axis="axisRow" fieldPosition="0"/>
    </format>
    <format dxfId="17">
      <pivotArea dataOnly="0" labelOnly="1" grandCol="1" outline="0" axis="axisCol" fieldPosition="0"/>
    </format>
  </formats>
  <chartFormats count="3">
    <chartFormat chart="2" format="6" series="1">
      <pivotArea type="data" outline="0" fieldPosition="0">
        <references count="1">
          <reference field="4294967294" count="1" selected="0">
            <x v="0"/>
          </reference>
        </references>
      </pivotArea>
    </chartFormat>
    <chartFormat chart="2" format="7">
      <pivotArea type="data" outline="0" fieldPosition="0">
        <references count="1">
          <reference field="4294967294" count="1" selected="0">
            <x v="0"/>
          </reference>
        </references>
      </pivotArea>
    </chartFormat>
    <chartFormat chart="2" format="8">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A4B3FC2-87C4-469D-8802-B4CEEA42C620}" name="TaskStatus"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3" rowHeaderCaption="Task Status">
  <location ref="E13:F18" firstHeaderRow="1" firstDataRow="1" firstDataCol="1"/>
  <pivotFields count="2">
    <pivotField axis="axisRow" showAll="0" defaultSubtotal="0">
      <items count="5">
        <item x="4"/>
        <item x="2"/>
        <item x="3"/>
        <item x="0"/>
        <item x="1"/>
      </items>
    </pivotField>
    <pivotField dataField="1" showAll="0" defaultSubtotal="0"/>
  </pivotFields>
  <rowFields count="1">
    <field x="0"/>
  </rowFields>
  <rowItems count="5">
    <i>
      <x/>
    </i>
    <i>
      <x v="1"/>
    </i>
    <i>
      <x v="2"/>
    </i>
    <i>
      <x v="3"/>
    </i>
    <i>
      <x v="4"/>
    </i>
  </rowItems>
  <colItems count="1">
    <i/>
  </colItems>
  <dataFields count="1">
    <dataField name="Sum of Task Progress" fld="1" baseField="0" baseItem="0"/>
  </dataFields>
  <formats count="4">
    <format dxfId="26">
      <pivotArea field="0" type="button" dataOnly="0" labelOnly="1" outline="0" axis="axisRow" fieldPosition="0"/>
    </format>
    <format dxfId="25">
      <pivotArea dataOnly="0" labelOnly="1" outline="0" axis="axisValues" fieldPosition="0"/>
    </format>
    <format dxfId="24">
      <pivotArea grandRow="1" outline="0" collapsedLevelsAreSubtotals="1" fieldPosition="0"/>
    </format>
    <format dxfId="23">
      <pivotArea dataOnly="0" labelOnly="1" grandRow="1" outline="0" fieldPosition="0"/>
    </format>
  </formats>
  <chartFormats count="6">
    <chartFormat chart="2" format="12" series="1">
      <pivotArea type="data" outline="0" fieldPosition="0">
        <references count="1">
          <reference field="4294967294" count="1" selected="0">
            <x v="0"/>
          </reference>
        </references>
      </pivotArea>
    </chartFormat>
    <chartFormat chart="2" format="13">
      <pivotArea type="data" outline="0" fieldPosition="0">
        <references count="2">
          <reference field="4294967294" count="1" selected="0">
            <x v="0"/>
          </reference>
          <reference field="0" count="1" selected="0">
            <x v="0"/>
          </reference>
        </references>
      </pivotArea>
    </chartFormat>
    <chartFormat chart="2" format="14">
      <pivotArea type="data" outline="0" fieldPosition="0">
        <references count="2">
          <reference field="4294967294" count="1" selected="0">
            <x v="0"/>
          </reference>
          <reference field="0" count="1" selected="0">
            <x v="1"/>
          </reference>
        </references>
      </pivotArea>
    </chartFormat>
    <chartFormat chart="2" format="15">
      <pivotArea type="data" outline="0" fieldPosition="0">
        <references count="2">
          <reference field="4294967294" count="1" selected="0">
            <x v="0"/>
          </reference>
          <reference field="0" count="1" selected="0">
            <x v="2"/>
          </reference>
        </references>
      </pivotArea>
    </chartFormat>
    <chartFormat chart="2" format="16">
      <pivotArea type="data" outline="0" fieldPosition="0">
        <references count="2">
          <reference field="4294967294" count="1" selected="0">
            <x v="0"/>
          </reference>
          <reference field="0" count="1" selected="0">
            <x v="3"/>
          </reference>
        </references>
      </pivotArea>
    </chartFormat>
    <chartFormat chart="2" format="17">
      <pivotArea type="data" outline="0" fieldPosition="0">
        <references count="2">
          <reference field="4294967294" count="1" selected="0">
            <x v="0"/>
          </reference>
          <reference field="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698E36B-EE77-4E10-B09C-7C443499FB45}" name="PivotTable12" cacheId="1" dataOnRows="1" applyNumberFormats="0" applyBorderFormats="0" applyFontFormats="0" applyPatternFormats="0" applyAlignmentFormats="0" applyWidthHeightFormats="1" dataCaption="Values" updatedVersion="6" minRefreshableVersion="3" showDrill="0" useAutoFormatting="1" rowGrandTotals="0" colGrandTotals="0" itemPrintTitles="1" createdVersion="6" indent="0" compact="0" compactData="0" multipleFieldFilters="0" chartFormat="3">
  <location ref="L6:M9" firstHeaderRow="1" firstDataRow="1" firstDataCol="1"/>
  <pivotFields count="4">
    <pivotField compact="0" outline="0" subtotalTop="0" showAll="0" defaultSubtotal="0"/>
    <pivotField dataField="1" compact="0" numFmtId="165" outline="0" showAll="0" defaultSubtotal="0"/>
    <pivotField dataField="1" compact="0" numFmtId="165" outline="0" showAll="0" defaultSubtotal="0"/>
    <pivotField dataField="1" compact="0" numFmtId="165" outline="0" showAll="0" defaultSubtotal="0"/>
  </pivotFields>
  <rowFields count="1">
    <field x="-2"/>
  </rowFields>
  <rowItems count="3">
    <i>
      <x/>
    </i>
    <i i="1">
      <x v="1"/>
    </i>
    <i i="2">
      <x v="2"/>
    </i>
  </rowItems>
  <colItems count="1">
    <i/>
  </colItems>
  <dataFields count="3">
    <dataField name="Spent to date " fld="2" baseField="0" baseItem="110621384" numFmtId="3"/>
    <dataField name="Budget remaining " fld="3" baseField="0" baseItem="450874296" numFmtId="3"/>
    <dataField name="Budget " fld="1" baseField="0" baseItem="943968072" numFmtId="3"/>
  </dataFields>
  <formats count="4">
    <format dxfId="3">
      <pivotArea field="-2" type="button" dataOnly="0" labelOnly="1" outline="0" axis="axisRow" fieldPosition="0"/>
    </format>
    <format dxfId="2">
      <pivotArea dataOnly="0" labelOnly="1" grandCol="1" outline="0" axis="axisCol" fieldPosition="0"/>
    </format>
    <format dxfId="1">
      <pivotArea field="-2" type="button" dataOnly="0" labelOnly="1" outline="0" axis="axisRow" fieldPosition="0"/>
    </format>
    <format dxfId="0">
      <pivotArea dataOnly="0" labelOnly="1" grandCol="1" outline="0" axis="axisCol" fieldPosition="0"/>
    </format>
  </formats>
  <chartFormats count="4">
    <chartFormat chart="2" format="23" series="1">
      <pivotArea type="data" outline="0" fieldPosition="0">
        <references count="1">
          <reference field="4294967294" count="1" selected="0">
            <x v="0"/>
          </reference>
        </references>
      </pivotArea>
    </chartFormat>
    <chartFormat chart="2" format="24">
      <pivotArea type="data" outline="0" fieldPosition="0">
        <references count="1">
          <reference field="4294967294" count="1" selected="0">
            <x v="0"/>
          </reference>
        </references>
      </pivotArea>
    </chartFormat>
    <chartFormat chart="2" format="25">
      <pivotArea type="data" outline="0" fieldPosition="0">
        <references count="1">
          <reference field="4294967294" count="1" selected="0">
            <x v="1"/>
          </reference>
        </references>
      </pivotArea>
    </chartFormat>
    <chartFormat chart="2" format="26">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6233D1E-F447-4293-9602-BF8DE99B6152}" name="PivotTable11" cacheId="1" applyNumberFormats="0" applyBorderFormats="0" applyFontFormats="0" applyPatternFormats="0" applyAlignmentFormats="0" applyWidthHeightFormats="1" dataCaption="Values" updatedVersion="6" minRefreshableVersion="3" useAutoFormatting="1" itemPrintTitles="1" createdVersion="6" indent="0" compact="0" compactData="0" multipleFieldFilters="0" chartFormat="6">
  <location ref="B6:E18" firstHeaderRow="0" firstDataRow="1" firstDataCol="1"/>
  <pivotFields count="4">
    <pivotField axis="axisRow" compact="0" outline="0" subtotalTop="0" showAll="0" defaultSubtotal="0">
      <items count="11">
        <item x="10"/>
        <item x="4"/>
        <item x="3"/>
        <item x="7"/>
        <item x="9"/>
        <item x="0"/>
        <item x="8"/>
        <item x="5"/>
        <item x="6"/>
        <item x="1"/>
        <item x="2"/>
      </items>
    </pivotField>
    <pivotField dataField="1" compact="0" numFmtId="166" outline="0" showAll="0" defaultSubtotal="0"/>
    <pivotField dataField="1" compact="0" numFmtId="166" outline="0" showAll="0" defaultSubtotal="0"/>
    <pivotField dataField="1" compact="0" numFmtId="166" outline="0" showAll="0" defaultSubtotal="0"/>
  </pivotFields>
  <rowFields count="1">
    <field x="0"/>
  </rowFields>
  <rowItems count="12">
    <i>
      <x/>
    </i>
    <i>
      <x v="1"/>
    </i>
    <i>
      <x v="2"/>
    </i>
    <i>
      <x v="3"/>
    </i>
    <i>
      <x v="4"/>
    </i>
    <i>
      <x v="5"/>
    </i>
    <i>
      <x v="6"/>
    </i>
    <i>
      <x v="7"/>
    </i>
    <i>
      <x v="8"/>
    </i>
    <i>
      <x v="9"/>
    </i>
    <i>
      <x v="10"/>
    </i>
    <i t="grand">
      <x/>
    </i>
  </rowItems>
  <colFields count="1">
    <field x="-2"/>
  </colFields>
  <colItems count="3">
    <i>
      <x/>
    </i>
    <i i="1">
      <x v="1"/>
    </i>
    <i i="2">
      <x v="2"/>
    </i>
  </colItems>
  <dataFields count="3">
    <dataField name="Budget " fld="1" baseField="0" baseItem="0" numFmtId="3"/>
    <dataField name="Spent to date " fld="2" baseField="0" baseItem="0" numFmtId="3"/>
    <dataField name="Budget remaining " fld="3" baseField="0" baseItem="0" numFmtId="3"/>
  </dataFields>
  <formats count="10">
    <format dxfId="13">
      <pivotArea dataOnly="0" labelOnly="1" outline="0" fieldPosition="0">
        <references count="1">
          <reference field="4294967294" count="3">
            <x v="0"/>
            <x v="1"/>
            <x v="2"/>
          </reference>
        </references>
      </pivotArea>
    </format>
    <format dxfId="12">
      <pivotArea dataOnly="0" labelOnly="1" outline="0" fieldPosition="0">
        <references count="1">
          <reference field="4294967294" count="3">
            <x v="0"/>
            <x v="1"/>
            <x v="2"/>
          </reference>
        </references>
      </pivotArea>
    </format>
    <format dxfId="11">
      <pivotArea grandRow="1" outline="0" collapsedLevelsAreSubtotals="1" fieldPosition="0"/>
    </format>
    <format dxfId="10">
      <pivotArea dataOnly="0" labelOnly="1" grandRow="1" outline="0" fieldPosition="0"/>
    </format>
    <format dxfId="9">
      <pivotArea grandRow="1" outline="0" collapsedLevelsAreSubtotals="1" fieldPosition="0"/>
    </format>
    <format dxfId="8">
      <pivotArea dataOnly="0" labelOnly="1" grandRow="1" outline="0" fieldPosition="0"/>
    </format>
    <format dxfId="7">
      <pivotArea outline="0" fieldPosition="0">
        <references count="1">
          <reference field="4294967294" count="1">
            <x v="1"/>
          </reference>
        </references>
      </pivotArea>
    </format>
    <format dxfId="6">
      <pivotArea outline="0" fieldPosition="0">
        <references count="1">
          <reference field="4294967294" count="1">
            <x v="2"/>
          </reference>
        </references>
      </pivotArea>
    </format>
    <format dxfId="5">
      <pivotArea field="0" type="button" dataOnly="0" labelOnly="1" outline="0" axis="axisRow" fieldPosition="0"/>
    </format>
    <format dxfId="4">
      <pivotArea field="0" type="button" dataOnly="0" labelOnly="1" outline="0" axis="axisRow" fieldPosition="0"/>
    </format>
  </formats>
  <chartFormats count="6">
    <chartFormat chart="4"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1"/>
          </reference>
        </references>
      </pivotArea>
    </chartFormat>
    <chartFormat chart="4" format="5" series="1">
      <pivotArea type="data" outline="0" fieldPosition="0">
        <references count="1">
          <reference field="4294967294" count="1" selected="0">
            <x v="2"/>
          </reference>
        </references>
      </pivotArea>
    </chartFormat>
    <chartFormat chart="5" format="6"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1"/>
          </reference>
        </references>
      </pivotArea>
    </chartFormat>
    <chartFormat chart="5"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C2C7580-6677-40FD-A0BF-2C74AEC4AA3E}" name="ProjectPlanData" displayName="ProjectPlanData" ref="B10:J34" totalsRowShown="0" headerRowDxfId="750" dataDxfId="749">
  <autoFilter ref="B10:J34" xr:uid="{B6CD7F43-E483-461B-8FBF-0DF998169B1D}">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202E2523-2AA2-4DFB-A7C5-220AB4B9BC0A}" name=" REF" dataDxfId="748"/>
    <tableColumn id="2" xr3:uid="{F63E9144-CB38-4126-B492-CD1DA2E6F67B}" name="TASK" dataDxfId="747"/>
    <tableColumn id="3" xr3:uid="{39AB1CF2-AC8A-48E2-B8B8-283075FD5EBB}" name="MAIN ISO22301 REF" dataDxfId="746"/>
    <tableColumn id="10" xr3:uid="{5E24BA99-44F2-47BC-BDB2-1897C4B6CD12}" name="RESOURCE" dataDxfId="745"/>
    <tableColumn id="8" xr3:uid="{FBDEB295-9C3D-424C-B7B0-16E2C61840D7}" name="START DATE" dataDxfId="744"/>
    <tableColumn id="4" xr3:uid="{95F48215-FB66-42F7-A762-5A0394AA51F3}" name="WORK DAYS" dataDxfId="743"/>
    <tableColumn id="9" xr3:uid="{B2DD0A9A-70D6-456F-9940-FF22CCF052E9}" name="END DATE" dataDxfId="742">
      <calculatedColumnFormula>IFERROR(WORKDAY.INTL(ProjectPlanData[[#This Row],[START DATE]]-1,ProjectPlanData[[#This Row],[WORK DAYS]],1),"")</calculatedColumnFormula>
    </tableColumn>
    <tableColumn id="11" xr3:uid="{9AFDFD6D-D03F-42F4-8868-91133521F069}" name="COMPLETED DAYS" dataDxfId="741"/>
    <tableColumn id="6" xr3:uid="{180F30C5-809A-4091-A2CA-C4FC46B50D12}" name="PROGRESS" dataDxfId="740">
      <calculatedColumnFormula>IFERROR(ProjectPlanData[[#This Row],[COMPLETED DAYS]]/ProjectPlanData[[#This Row],[WORK DAYS]],"")</calculatedColumnFormula>
    </tableColumn>
  </tableColumns>
  <tableStyleInfo name="CertiKit table style 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0ED2DD9-CADC-4E6F-92FE-E3ABA179791C}" name="ProjectBudget" displayName="ProjectBudget" ref="B10:E22" totalsRowCount="1" headerRowDxfId="739" totalsRowDxfId="738">
  <autoFilter ref="B10:E21" xr:uid="{BF97683D-990F-4494-A90D-6B01DCD8A719}">
    <filterColumn colId="0" hiddenButton="1"/>
    <filterColumn colId="1" hiddenButton="1"/>
    <filterColumn colId="2" hiddenButton="1"/>
    <filterColumn colId="3" hiddenButton="1"/>
  </autoFilter>
  <tableColumns count="4">
    <tableColumn id="1" xr3:uid="{7E689CCC-AA98-4CFE-B1C6-3DC201328D61}" name="ITEM" totalsRowLabel="Total" dataDxfId="737" totalsRowDxfId="736"/>
    <tableColumn id="2" xr3:uid="{A9644E9B-F462-444E-BD5F-F98CA12D0F5C}" name="BUDGET" totalsRowFunction="sum" dataDxfId="735" totalsRowDxfId="734" dataCellStyle="Comma"/>
    <tableColumn id="3" xr3:uid="{95691FFB-EF23-4032-AD05-F405A6F593A2}" name="SPENT TO DATE" totalsRowFunction="sum" dataDxfId="733" totalsRowDxfId="732" dataCellStyle="Comma"/>
    <tableColumn id="4" xr3:uid="{85A76705-F68E-4EA7-8ECD-6946678A1A2E}" name="BUDGET REMAINING" totalsRowFunction="sum" dataDxfId="731" totalsRowDxfId="730" dataCellStyle="Comma">
      <calculatedColumnFormula>+ProjectBudget[[#This Row],[BUDGET]]-ProjectBudget[[#This Row],[SPENT TO DATE]]</calculatedColumnFormula>
    </tableColumn>
  </tableColumns>
  <tableStyleInfo name="CertiKit table style" showFirstColumn="0" showLastColumn="0" showRowStripes="1" showColumnStripes="0"/>
</table>
</file>

<file path=xl/theme/theme1.xml><?xml version="1.0" encoding="utf-8"?>
<a:theme xmlns:a="http://schemas.openxmlformats.org/drawingml/2006/main" name="CertiKit Theme">
  <a:themeElements>
    <a:clrScheme name="CertiKit Excel Colours">
      <a:dk1>
        <a:srgbClr val="444444"/>
      </a:dk1>
      <a:lt1>
        <a:sysClr val="window" lastClr="FFFFFF"/>
      </a:lt1>
      <a:dk2>
        <a:srgbClr val="CCC900"/>
      </a:dk2>
      <a:lt2>
        <a:srgbClr val="D0EAEB"/>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pivotTable" Target="../pivotTables/pivotTable1.xml"/><Relationship Id="rId5" Type="http://schemas.openxmlformats.org/officeDocument/2006/relationships/ctrlProp" Target="../ctrlProps/ctrlProp1.xml"/><Relationship Id="rId4"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4"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7.bin"/><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C08B8A-7EC3-4818-867B-E429E401BA1C}">
  <dimension ref="A2:B24"/>
  <sheetViews>
    <sheetView showGridLines="0" tabSelected="1" zoomScaleNormal="100" workbookViewId="0"/>
  </sheetViews>
  <sheetFormatPr defaultRowHeight="15" x14ac:dyDescent="0.25"/>
  <cols>
    <col min="1" max="1" width="2.85546875" style="92" customWidth="1"/>
    <col min="2" max="2" width="92.85546875" style="92" customWidth="1"/>
    <col min="3" max="16384" width="9.140625" style="92"/>
  </cols>
  <sheetData>
    <row r="2" spans="1:2" x14ac:dyDescent="0.25">
      <c r="B2" s="93"/>
    </row>
    <row r="3" spans="1:2" x14ac:dyDescent="0.25">
      <c r="B3" s="93"/>
    </row>
    <row r="4" spans="1:2" x14ac:dyDescent="0.25">
      <c r="B4" s="93"/>
    </row>
    <row r="5" spans="1:2" x14ac:dyDescent="0.25">
      <c r="B5" s="93"/>
    </row>
    <row r="6" spans="1:2" x14ac:dyDescent="0.25">
      <c r="B6" s="93"/>
    </row>
    <row r="7" spans="1:2" x14ac:dyDescent="0.25">
      <c r="B7" s="93"/>
    </row>
    <row r="8" spans="1:2" ht="38.25" x14ac:dyDescent="0.25">
      <c r="B8" s="94" t="s">
        <v>114</v>
      </c>
    </row>
    <row r="10" spans="1:2" ht="111" x14ac:dyDescent="0.25">
      <c r="B10" s="94" t="s">
        <v>115</v>
      </c>
    </row>
    <row r="12" spans="1:2" ht="51" x14ac:dyDescent="0.25">
      <c r="B12" s="94" t="s">
        <v>116</v>
      </c>
    </row>
    <row r="14" spans="1:2" ht="36" x14ac:dyDescent="0.25">
      <c r="A14" s="7"/>
      <c r="B14" s="94" t="s">
        <v>117</v>
      </c>
    </row>
    <row r="15" spans="1:2" x14ac:dyDescent="0.25">
      <c r="A15" s="7"/>
      <c r="B15" s="95"/>
    </row>
    <row r="16" spans="1:2" ht="231" x14ac:dyDescent="0.25">
      <c r="B16" s="94" t="s">
        <v>118</v>
      </c>
    </row>
    <row r="18" spans="2:2" ht="36" x14ac:dyDescent="0.25">
      <c r="B18" s="94" t="s">
        <v>122</v>
      </c>
    </row>
    <row r="20" spans="2:2" ht="66" x14ac:dyDescent="0.25">
      <c r="B20" s="94" t="s">
        <v>119</v>
      </c>
    </row>
    <row r="22" spans="2:2" ht="96" x14ac:dyDescent="0.25">
      <c r="B22" s="94" t="s">
        <v>120</v>
      </c>
    </row>
    <row r="24" spans="2:2" ht="246" x14ac:dyDescent="0.25">
      <c r="B24" s="94" t="s">
        <v>121</v>
      </c>
    </row>
  </sheetData>
  <sheetProtection selectLockedCells="1" selectUnlockedCells="1"/>
  <pageMargins left="0.70866141732283472" right="0.70866141732283472" top="0.74803149606299213" bottom="0.74803149606299213" header="0.31496062992125984" footer="0.31496062992125984"/>
  <pageSetup paperSize="9" orientation="portrait" horizontalDpi="360" verticalDpi="360" r:id="rId1"/>
  <headerFooter>
    <oddFooter>&amp;L&amp;D&amp;CPage &amp;P of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F710DC-A629-4296-81D8-97D7450DC101}">
  <sheetPr>
    <pageSetUpPr fitToPage="1"/>
  </sheetPr>
  <dimension ref="B1:Q34"/>
  <sheetViews>
    <sheetView showGridLines="0" zoomScaleNormal="100" workbookViewId="0"/>
  </sheetViews>
  <sheetFormatPr defaultRowHeight="15" x14ac:dyDescent="0.25"/>
  <cols>
    <col min="1" max="1" width="2.85546875" style="12" customWidth="1"/>
    <col min="2" max="2" width="4.5703125" style="12" customWidth="1"/>
    <col min="3" max="3" width="65" style="12" bestFit="1" customWidth="1"/>
    <col min="4" max="4" width="68.28515625" style="12" bestFit="1" customWidth="1"/>
    <col min="5" max="5" width="48.42578125" style="12" bestFit="1" customWidth="1"/>
    <col min="6" max="6" width="12.7109375" style="12" customWidth="1"/>
    <col min="7" max="7" width="11.85546875" style="12" bestFit="1" customWidth="1"/>
    <col min="8" max="9" width="12.7109375" style="23" customWidth="1"/>
    <col min="10" max="10" width="11" style="66" customWidth="1"/>
    <col min="11" max="11" width="9.140625" style="23"/>
    <col min="12" max="12" width="13.5703125" style="12" customWidth="1"/>
    <col min="13" max="13" width="11.140625" style="12" customWidth="1"/>
    <col min="14" max="14" width="15" style="12" customWidth="1"/>
    <col min="15" max="15" width="17.28515625" style="12" customWidth="1"/>
    <col min="16" max="16" width="18.85546875" style="12" customWidth="1"/>
    <col min="17" max="17" width="9.85546875" style="12" customWidth="1"/>
    <col min="18" max="18" width="38.140625" style="12" customWidth="1"/>
    <col min="19" max="16384" width="9.140625" style="12"/>
  </cols>
  <sheetData>
    <row r="1" spans="2:17" x14ac:dyDescent="0.25">
      <c r="H1" s="12"/>
      <c r="I1" s="12"/>
      <c r="K1" s="12"/>
    </row>
    <row r="2" spans="2:17" ht="23.25" x14ac:dyDescent="0.25">
      <c r="G2" s="13"/>
      <c r="H2" s="12"/>
      <c r="I2" s="12"/>
      <c r="K2" s="12"/>
    </row>
    <row r="3" spans="2:17" x14ac:dyDescent="0.25">
      <c r="H3" s="12"/>
      <c r="I3" s="12"/>
      <c r="K3" s="12"/>
    </row>
    <row r="4" spans="2:17" x14ac:dyDescent="0.25">
      <c r="H4" s="12"/>
      <c r="I4" s="12"/>
      <c r="K4" s="12"/>
    </row>
    <row r="5" spans="2:17" x14ac:dyDescent="0.25">
      <c r="H5" s="12"/>
      <c r="I5" s="12"/>
      <c r="K5" s="12"/>
    </row>
    <row r="6" spans="2:17" x14ac:dyDescent="0.25">
      <c r="H6" s="12"/>
      <c r="I6" s="12"/>
      <c r="K6" s="12"/>
      <c r="N6" s="14"/>
    </row>
    <row r="7" spans="2:17" x14ac:dyDescent="0.25">
      <c r="H7" s="12"/>
      <c r="I7" s="12"/>
      <c r="K7" s="12"/>
      <c r="N7" s="14"/>
    </row>
    <row r="8" spans="2:17" x14ac:dyDescent="0.25">
      <c r="B8" s="15" t="s">
        <v>113</v>
      </c>
      <c r="H8" s="12"/>
      <c r="I8" s="12"/>
      <c r="K8" s="12"/>
      <c r="N8" s="14"/>
    </row>
    <row r="9" spans="2:17" x14ac:dyDescent="0.25">
      <c r="B9" s="14"/>
      <c r="C9" s="16"/>
      <c r="D9" s="16"/>
      <c r="E9" s="16"/>
      <c r="F9" s="17"/>
      <c r="G9" s="16"/>
      <c r="H9" s="17"/>
      <c r="I9" s="17"/>
      <c r="J9" s="19"/>
      <c r="K9" s="17"/>
      <c r="L9" s="16"/>
      <c r="M9" s="16"/>
      <c r="N9" s="14"/>
      <c r="O9" s="17"/>
      <c r="P9" s="16"/>
      <c r="Q9" s="16"/>
    </row>
    <row r="10" spans="2:17" ht="30" x14ac:dyDescent="0.25">
      <c r="B10" s="17" t="s">
        <v>6</v>
      </c>
      <c r="C10" s="17" t="s">
        <v>0</v>
      </c>
      <c r="D10" s="17" t="s">
        <v>69</v>
      </c>
      <c r="E10" s="17" t="s">
        <v>2</v>
      </c>
      <c r="F10" s="17" t="s">
        <v>4</v>
      </c>
      <c r="G10" s="17" t="s">
        <v>1</v>
      </c>
      <c r="H10" s="17" t="s">
        <v>5</v>
      </c>
      <c r="I10" s="17" t="s">
        <v>10</v>
      </c>
      <c r="J10" s="67" t="s">
        <v>3</v>
      </c>
      <c r="K10" s="14"/>
      <c r="L10" s="18"/>
      <c r="M10" s="19"/>
      <c r="N10" s="19"/>
    </row>
    <row r="11" spans="2:17" x14ac:dyDescent="0.25">
      <c r="B11" s="74">
        <v>1</v>
      </c>
      <c r="C11" s="86" t="s">
        <v>59</v>
      </c>
      <c r="D11" s="87" t="s">
        <v>70</v>
      </c>
      <c r="E11" s="87" t="s">
        <v>71</v>
      </c>
      <c r="F11" s="21"/>
      <c r="G11" s="29">
        <v>0</v>
      </c>
      <c r="H11" s="27" t="str">
        <f>IFERROR(WORKDAY.INTL(ProjectPlanData[[#This Row],[START DATE]]-1,ProjectPlanData[[#This Row],[WORK DAYS]],1),"")</f>
        <v/>
      </c>
      <c r="I11" s="29">
        <v>0</v>
      </c>
      <c r="J11" s="91" t="str">
        <f>IFERROR(ProjectPlanData[[#This Row],[COMPLETED DAYS]]/ProjectPlanData[[#This Row],[WORK DAYS]],"")</f>
        <v/>
      </c>
      <c r="K11" s="14"/>
      <c r="L11" s="22"/>
      <c r="M11" s="23"/>
      <c r="N11" s="23"/>
    </row>
    <row r="12" spans="2:17" x14ac:dyDescent="0.25">
      <c r="B12" s="74">
        <v>2</v>
      </c>
      <c r="C12" s="86" t="s">
        <v>72</v>
      </c>
      <c r="D12" s="88" t="s">
        <v>73</v>
      </c>
      <c r="E12" s="87" t="s">
        <v>74</v>
      </c>
      <c r="F12" s="21"/>
      <c r="G12" s="29">
        <v>0</v>
      </c>
      <c r="H12" s="27" t="str">
        <f>IFERROR(WORKDAY.INTL(ProjectPlanData[[#This Row],[START DATE]]-1,ProjectPlanData[[#This Row],[WORK DAYS]],1),"")</f>
        <v/>
      </c>
      <c r="I12" s="29">
        <v>0</v>
      </c>
      <c r="J12" s="91" t="str">
        <f>IFERROR(ProjectPlanData[[#This Row],[COMPLETED DAYS]]/ProjectPlanData[[#This Row],[WORK DAYS]],"")</f>
        <v/>
      </c>
      <c r="K12" s="14"/>
      <c r="L12" s="22"/>
      <c r="M12" s="23"/>
      <c r="N12" s="23"/>
    </row>
    <row r="13" spans="2:17" x14ac:dyDescent="0.25">
      <c r="B13" s="74">
        <v>3</v>
      </c>
      <c r="C13" s="86" t="s">
        <v>7</v>
      </c>
      <c r="D13" s="87" t="s">
        <v>70</v>
      </c>
      <c r="E13" s="87" t="s">
        <v>75</v>
      </c>
      <c r="F13" s="21"/>
      <c r="G13" s="29">
        <v>0</v>
      </c>
      <c r="H13" s="28" t="str">
        <f>IFERROR(WORKDAY.INTL(ProjectPlanData[[#This Row],[START DATE]]-1,ProjectPlanData[[#This Row],[WORK DAYS]],1),"")</f>
        <v/>
      </c>
      <c r="I13" s="29">
        <v>0</v>
      </c>
      <c r="J13" s="91" t="str">
        <f>IFERROR(ProjectPlanData[[#This Row],[COMPLETED DAYS]]/ProjectPlanData[[#This Row],[WORK DAYS]],"")</f>
        <v/>
      </c>
      <c r="K13" s="14"/>
      <c r="L13" s="22"/>
      <c r="M13" s="23"/>
      <c r="N13" s="23"/>
    </row>
    <row r="14" spans="2:17" x14ac:dyDescent="0.25">
      <c r="B14" s="74">
        <v>4</v>
      </c>
      <c r="C14" s="86" t="s">
        <v>76</v>
      </c>
      <c r="D14" s="88" t="s">
        <v>77</v>
      </c>
      <c r="E14" s="87" t="s">
        <v>78</v>
      </c>
      <c r="F14" s="21"/>
      <c r="G14" s="29">
        <v>0</v>
      </c>
      <c r="H14" s="28" t="str">
        <f>IFERROR(WORKDAY.INTL(ProjectPlanData[[#This Row],[START DATE]]-1,ProjectPlanData[[#This Row],[WORK DAYS]],1),"")</f>
        <v/>
      </c>
      <c r="I14" s="29">
        <v>0</v>
      </c>
      <c r="J14" s="91" t="str">
        <f>IFERROR(ProjectPlanData[[#This Row],[COMPLETED DAYS]]/ProjectPlanData[[#This Row],[WORK DAYS]],"")</f>
        <v/>
      </c>
      <c r="K14" s="14"/>
      <c r="L14" s="22"/>
      <c r="M14" s="23"/>
      <c r="N14" s="23"/>
    </row>
    <row r="15" spans="2:17" x14ac:dyDescent="0.25">
      <c r="B15" s="74">
        <v>5</v>
      </c>
      <c r="C15" s="86" t="s">
        <v>79</v>
      </c>
      <c r="D15" s="89" t="s">
        <v>80</v>
      </c>
      <c r="E15" s="87" t="s">
        <v>81</v>
      </c>
      <c r="F15" s="21"/>
      <c r="G15" s="29">
        <v>0</v>
      </c>
      <c r="H15" s="28" t="str">
        <f>IFERROR(WORKDAY.INTL(ProjectPlanData[[#This Row],[START DATE]]-1,ProjectPlanData[[#This Row],[WORK DAYS]],1),"")</f>
        <v/>
      </c>
      <c r="I15" s="29">
        <v>0</v>
      </c>
      <c r="J15" s="91" t="str">
        <f>IFERROR(ProjectPlanData[[#This Row],[COMPLETED DAYS]]/ProjectPlanData[[#This Row],[WORK DAYS]],"")</f>
        <v/>
      </c>
      <c r="K15" s="12"/>
      <c r="L15" s="22"/>
      <c r="M15" s="23"/>
      <c r="N15" s="23"/>
    </row>
    <row r="16" spans="2:17" x14ac:dyDescent="0.25">
      <c r="B16" s="74">
        <v>6</v>
      </c>
      <c r="C16" s="86" t="s">
        <v>82</v>
      </c>
      <c r="D16" s="89" t="s">
        <v>83</v>
      </c>
      <c r="E16" s="87" t="s">
        <v>84</v>
      </c>
      <c r="F16" s="21"/>
      <c r="G16" s="29">
        <v>0</v>
      </c>
      <c r="H16" s="28" t="str">
        <f>IFERROR(WORKDAY.INTL(ProjectPlanData[[#This Row],[START DATE]]-1,ProjectPlanData[[#This Row],[WORK DAYS]],1),"")</f>
        <v/>
      </c>
      <c r="I16" s="29">
        <v>0</v>
      </c>
      <c r="J16" s="91" t="str">
        <f>IFERROR(ProjectPlanData[[#This Row],[COMPLETED DAYS]]/ProjectPlanData[[#This Row],[WORK DAYS]],"")</f>
        <v/>
      </c>
      <c r="K16" s="12"/>
      <c r="L16" s="22"/>
      <c r="M16" s="23"/>
      <c r="N16" s="23"/>
    </row>
    <row r="17" spans="2:17" x14ac:dyDescent="0.25">
      <c r="B17" s="74">
        <v>7</v>
      </c>
      <c r="C17" s="86" t="s">
        <v>60</v>
      </c>
      <c r="D17" s="89" t="s">
        <v>85</v>
      </c>
      <c r="E17" s="87" t="s">
        <v>84</v>
      </c>
      <c r="F17" s="21"/>
      <c r="G17" s="29">
        <v>0</v>
      </c>
      <c r="H17" s="28" t="str">
        <f>IFERROR(WORKDAY.INTL(ProjectPlanData[[#This Row],[START DATE]]-1,ProjectPlanData[[#This Row],[WORK DAYS]],1),"")</f>
        <v/>
      </c>
      <c r="I17" s="29">
        <v>0</v>
      </c>
      <c r="J17" s="91" t="str">
        <f>IFERROR(ProjectPlanData[[#This Row],[COMPLETED DAYS]]/ProjectPlanData[[#This Row],[WORK DAYS]],"")</f>
        <v/>
      </c>
      <c r="K17" s="12"/>
      <c r="L17" s="22"/>
      <c r="M17" s="24"/>
      <c r="N17" s="23"/>
    </row>
    <row r="18" spans="2:17" x14ac:dyDescent="0.25">
      <c r="B18" s="74">
        <v>8</v>
      </c>
      <c r="C18" s="86" t="s">
        <v>86</v>
      </c>
      <c r="D18" s="88" t="s">
        <v>87</v>
      </c>
      <c r="E18" s="87" t="s">
        <v>84</v>
      </c>
      <c r="F18" s="21"/>
      <c r="G18" s="29">
        <v>0</v>
      </c>
      <c r="H18" s="28" t="str">
        <f>IFERROR(WORKDAY.INTL(ProjectPlanData[[#This Row],[START DATE]]-1,ProjectPlanData[[#This Row],[WORK DAYS]],1),"")</f>
        <v/>
      </c>
      <c r="I18" s="29">
        <v>0</v>
      </c>
      <c r="J18" s="91" t="str">
        <f>IFERROR(ProjectPlanData[[#This Row],[COMPLETED DAYS]]/ProjectPlanData[[#This Row],[WORK DAYS]],"")</f>
        <v/>
      </c>
      <c r="K18" s="12"/>
      <c r="L18" s="22"/>
      <c r="M18" s="24"/>
      <c r="N18" s="23"/>
    </row>
    <row r="19" spans="2:17" x14ac:dyDescent="0.25">
      <c r="B19" s="74">
        <v>9</v>
      </c>
      <c r="C19" s="86" t="s">
        <v>61</v>
      </c>
      <c r="D19" s="88" t="s">
        <v>88</v>
      </c>
      <c r="E19" s="87" t="s">
        <v>84</v>
      </c>
      <c r="F19" s="21"/>
      <c r="G19" s="29">
        <v>0</v>
      </c>
      <c r="H19" s="28" t="str">
        <f>IFERROR(WORKDAY.INTL(ProjectPlanData[[#This Row],[START DATE]]-1,ProjectPlanData[[#This Row],[WORK DAYS]],1),"")</f>
        <v/>
      </c>
      <c r="I19" s="29">
        <v>0</v>
      </c>
      <c r="J19" s="91" t="str">
        <f>IFERROR(ProjectPlanData[[#This Row],[COMPLETED DAYS]]/ProjectPlanData[[#This Row],[WORK DAYS]],"")</f>
        <v/>
      </c>
      <c r="K19" s="12"/>
      <c r="L19" s="22"/>
      <c r="M19" s="24"/>
      <c r="N19" s="23"/>
    </row>
    <row r="20" spans="2:17" x14ac:dyDescent="0.25">
      <c r="B20" s="74">
        <v>10</v>
      </c>
      <c r="C20" s="86" t="s">
        <v>62</v>
      </c>
      <c r="D20" s="88" t="s">
        <v>89</v>
      </c>
      <c r="E20" s="87" t="s">
        <v>75</v>
      </c>
      <c r="F20" s="21"/>
      <c r="G20" s="29">
        <v>0</v>
      </c>
      <c r="H20" s="28" t="str">
        <f>IFERROR(WORKDAY.INTL(ProjectPlanData[[#This Row],[START DATE]]-1,ProjectPlanData[[#This Row],[WORK DAYS]],1),"")</f>
        <v/>
      </c>
      <c r="I20" s="29">
        <v>0</v>
      </c>
      <c r="J20" s="91" t="str">
        <f>IFERROR(ProjectPlanData[[#This Row],[COMPLETED DAYS]]/ProjectPlanData[[#This Row],[WORK DAYS]],"")</f>
        <v/>
      </c>
      <c r="K20" s="12"/>
      <c r="L20" s="18"/>
      <c r="M20" s="24"/>
      <c r="N20" s="25"/>
    </row>
    <row r="21" spans="2:17" x14ac:dyDescent="0.25">
      <c r="B21" s="74">
        <v>11</v>
      </c>
      <c r="C21" s="86" t="s">
        <v>90</v>
      </c>
      <c r="D21" s="88" t="s">
        <v>91</v>
      </c>
      <c r="E21" s="87" t="s">
        <v>92</v>
      </c>
      <c r="F21" s="21"/>
      <c r="G21" s="29">
        <v>0</v>
      </c>
      <c r="H21" s="28" t="str">
        <f>IFERROR(WORKDAY.INTL(ProjectPlanData[[#This Row],[START DATE]]-1,ProjectPlanData[[#This Row],[WORK DAYS]],1),"")</f>
        <v/>
      </c>
      <c r="I21" s="29">
        <v>0</v>
      </c>
      <c r="J21" s="91" t="str">
        <f>IFERROR(ProjectPlanData[[#This Row],[COMPLETED DAYS]]/ProjectPlanData[[#This Row],[WORK DAYS]],"")</f>
        <v/>
      </c>
      <c r="K21" s="12"/>
      <c r="L21" s="18"/>
      <c r="M21" s="24"/>
      <c r="N21" s="25"/>
      <c r="O21" s="20"/>
      <c r="P21" s="14"/>
      <c r="Q21" s="14"/>
    </row>
    <row r="22" spans="2:17" x14ac:dyDescent="0.25">
      <c r="B22" s="74">
        <v>12</v>
      </c>
      <c r="C22" s="86" t="s">
        <v>93</v>
      </c>
      <c r="D22" s="88" t="s">
        <v>91</v>
      </c>
      <c r="E22" s="87" t="s">
        <v>94</v>
      </c>
      <c r="F22" s="21"/>
      <c r="G22" s="29">
        <v>0</v>
      </c>
      <c r="H22" s="28" t="str">
        <f>IFERROR(WORKDAY.INTL(ProjectPlanData[[#This Row],[START DATE]]-1,ProjectPlanData[[#This Row],[WORK DAYS]],1),"")</f>
        <v/>
      </c>
      <c r="I22" s="29">
        <v>0</v>
      </c>
      <c r="J22" s="91" t="str">
        <f>IFERROR(ProjectPlanData[[#This Row],[COMPLETED DAYS]]/ProjectPlanData[[#This Row],[WORK DAYS]],"")</f>
        <v/>
      </c>
      <c r="K22" s="20"/>
      <c r="L22" s="18"/>
      <c r="M22" s="24"/>
      <c r="N22" s="25"/>
      <c r="O22" s="20"/>
      <c r="P22" s="14"/>
      <c r="Q22" s="14"/>
    </row>
    <row r="23" spans="2:17" x14ac:dyDescent="0.25">
      <c r="B23" s="74">
        <v>13</v>
      </c>
      <c r="C23" s="86" t="s">
        <v>95</v>
      </c>
      <c r="D23" s="88" t="s">
        <v>96</v>
      </c>
      <c r="E23" s="87" t="s">
        <v>94</v>
      </c>
      <c r="F23" s="21"/>
      <c r="G23" s="29">
        <v>0</v>
      </c>
      <c r="H23" s="28" t="str">
        <f>IFERROR(WORKDAY.INTL(ProjectPlanData[[#This Row],[START DATE]]-1,ProjectPlanData[[#This Row],[WORK DAYS]],1),"")</f>
        <v/>
      </c>
      <c r="I23" s="29">
        <v>0</v>
      </c>
      <c r="J23" s="91" t="str">
        <f>IFERROR(ProjectPlanData[[#This Row],[COMPLETED DAYS]]/ProjectPlanData[[#This Row],[WORK DAYS]],"")</f>
        <v/>
      </c>
      <c r="K23" s="20"/>
      <c r="L23" s="20"/>
      <c r="M23" s="24"/>
      <c r="N23" s="20"/>
      <c r="O23" s="20"/>
      <c r="P23" s="14"/>
      <c r="Q23" s="14"/>
    </row>
    <row r="24" spans="2:17" x14ac:dyDescent="0.25">
      <c r="B24" s="74">
        <v>14</v>
      </c>
      <c r="C24" s="86" t="s">
        <v>97</v>
      </c>
      <c r="D24" s="88" t="s">
        <v>98</v>
      </c>
      <c r="E24" s="87" t="s">
        <v>92</v>
      </c>
      <c r="F24" s="21"/>
      <c r="G24" s="29">
        <v>0</v>
      </c>
      <c r="H24" s="28" t="str">
        <f>IFERROR(WORKDAY.INTL(ProjectPlanData[[#This Row],[START DATE]]-1,ProjectPlanData[[#This Row],[WORK DAYS]],1),"")</f>
        <v/>
      </c>
      <c r="I24" s="29">
        <v>0</v>
      </c>
      <c r="J24" s="91" t="str">
        <f>IFERROR(ProjectPlanData[[#This Row],[COMPLETED DAYS]]/ProjectPlanData[[#This Row],[WORK DAYS]],"")</f>
        <v/>
      </c>
      <c r="K24" s="20"/>
      <c r="L24" s="20"/>
      <c r="M24" s="24"/>
      <c r="N24" s="20"/>
      <c r="O24" s="20"/>
      <c r="P24" s="14"/>
      <c r="Q24" s="14"/>
    </row>
    <row r="25" spans="2:17" x14ac:dyDescent="0.25">
      <c r="B25" s="74">
        <v>15</v>
      </c>
      <c r="C25" s="86" t="s">
        <v>99</v>
      </c>
      <c r="D25" s="88" t="s">
        <v>100</v>
      </c>
      <c r="E25" s="87" t="s">
        <v>101</v>
      </c>
      <c r="F25" s="21"/>
      <c r="G25" s="29">
        <v>0</v>
      </c>
      <c r="H25" s="28" t="str">
        <f>IFERROR(WORKDAY.INTL(ProjectPlanData[[#This Row],[START DATE]]-1,ProjectPlanData[[#This Row],[WORK DAYS]],1),"")</f>
        <v/>
      </c>
      <c r="I25" s="29">
        <v>0</v>
      </c>
      <c r="J25" s="91" t="str">
        <f>IFERROR(ProjectPlanData[[#This Row],[COMPLETED DAYS]]/ProjectPlanData[[#This Row],[WORK DAYS]],"")</f>
        <v/>
      </c>
      <c r="K25" s="20"/>
      <c r="L25" s="20"/>
      <c r="M25" s="24"/>
      <c r="N25" s="20"/>
      <c r="O25" s="20"/>
      <c r="P25" s="14"/>
      <c r="Q25" s="14"/>
    </row>
    <row r="26" spans="2:17" x14ac:dyDescent="0.25">
      <c r="B26" s="74">
        <v>16</v>
      </c>
      <c r="C26" s="86" t="s">
        <v>102</v>
      </c>
      <c r="D26" s="88" t="s">
        <v>98</v>
      </c>
      <c r="E26" s="87" t="s">
        <v>75</v>
      </c>
      <c r="F26" s="21"/>
      <c r="G26" s="29">
        <v>0</v>
      </c>
      <c r="H26" s="28" t="str">
        <f>IFERROR(WORKDAY.INTL(ProjectPlanData[[#This Row],[START DATE]]-1,ProjectPlanData[[#This Row],[WORK DAYS]],1),"")</f>
        <v/>
      </c>
      <c r="I26" s="29">
        <v>0</v>
      </c>
      <c r="J26" s="91" t="str">
        <f>IFERROR(ProjectPlanData[[#This Row],[COMPLETED DAYS]]/ProjectPlanData[[#This Row],[WORK DAYS]],"")</f>
        <v/>
      </c>
      <c r="K26" s="14"/>
      <c r="L26" s="14"/>
      <c r="M26" s="24"/>
      <c r="N26" s="14"/>
      <c r="O26" s="20"/>
      <c r="P26" s="14"/>
      <c r="Q26" s="14"/>
    </row>
    <row r="27" spans="2:17" x14ac:dyDescent="0.25">
      <c r="B27" s="74">
        <v>17</v>
      </c>
      <c r="C27" s="90" t="s">
        <v>63</v>
      </c>
      <c r="D27" s="88" t="s">
        <v>103</v>
      </c>
      <c r="E27" s="87" t="s">
        <v>84</v>
      </c>
      <c r="F27" s="21"/>
      <c r="G27" s="29">
        <v>0</v>
      </c>
      <c r="H27" s="28" t="str">
        <f>IFERROR(WORKDAY.INTL(ProjectPlanData[[#This Row],[START DATE]]-1,ProjectPlanData[[#This Row],[WORK DAYS]],1),"")</f>
        <v/>
      </c>
      <c r="I27" s="29">
        <v>0</v>
      </c>
      <c r="J27" s="91" t="str">
        <f>IFERROR(ProjectPlanData[[#This Row],[COMPLETED DAYS]]/ProjectPlanData[[#This Row],[WORK DAYS]],"")</f>
        <v/>
      </c>
      <c r="K27" s="26"/>
      <c r="L27" s="26"/>
      <c r="M27" s="26"/>
    </row>
    <row r="28" spans="2:17" x14ac:dyDescent="0.25">
      <c r="B28" s="74">
        <v>18</v>
      </c>
      <c r="C28" s="86" t="s">
        <v>8</v>
      </c>
      <c r="D28" s="89" t="s">
        <v>104</v>
      </c>
      <c r="E28" s="87" t="s">
        <v>75</v>
      </c>
      <c r="F28" s="21"/>
      <c r="G28" s="29">
        <v>0</v>
      </c>
      <c r="H28" s="28" t="str">
        <f>IFERROR(WORKDAY.INTL(ProjectPlanData[[#This Row],[START DATE]]-1,ProjectPlanData[[#This Row],[WORK DAYS]],1),"")</f>
        <v/>
      </c>
      <c r="I28" s="29">
        <v>0</v>
      </c>
      <c r="J28" s="91" t="str">
        <f>IFERROR(ProjectPlanData[[#This Row],[COMPLETED DAYS]]/ProjectPlanData[[#This Row],[WORK DAYS]],"")</f>
        <v/>
      </c>
      <c r="K28" s="26"/>
      <c r="L28" s="26"/>
      <c r="M28" s="26"/>
    </row>
    <row r="29" spans="2:17" x14ac:dyDescent="0.25">
      <c r="B29" s="74">
        <v>19</v>
      </c>
      <c r="C29" s="90" t="s">
        <v>64</v>
      </c>
      <c r="D29" s="88" t="s">
        <v>105</v>
      </c>
      <c r="E29" s="87" t="s">
        <v>84</v>
      </c>
      <c r="F29" s="21"/>
      <c r="G29" s="29">
        <v>0</v>
      </c>
      <c r="H29" s="28" t="str">
        <f>IFERROR(WORKDAY.INTL(ProjectPlanData[[#This Row],[START DATE]]-1,ProjectPlanData[[#This Row],[WORK DAYS]],1),"")</f>
        <v/>
      </c>
      <c r="I29" s="29">
        <v>0</v>
      </c>
      <c r="J29" s="91" t="str">
        <f>IFERROR(ProjectPlanData[[#This Row],[COMPLETED DAYS]]/ProjectPlanData[[#This Row],[WORK DAYS]],"")</f>
        <v/>
      </c>
      <c r="K29" s="26"/>
      <c r="L29" s="26"/>
      <c r="M29" s="26"/>
    </row>
    <row r="30" spans="2:17" x14ac:dyDescent="0.25">
      <c r="B30" s="74">
        <v>20</v>
      </c>
      <c r="C30" s="90" t="s">
        <v>106</v>
      </c>
      <c r="D30" s="88" t="s">
        <v>107</v>
      </c>
      <c r="E30" s="87" t="s">
        <v>108</v>
      </c>
      <c r="F30" s="21"/>
      <c r="G30" s="29">
        <v>0</v>
      </c>
      <c r="H30" s="28" t="str">
        <f>IFERROR(WORKDAY.INTL(ProjectPlanData[[#This Row],[START DATE]]-1,ProjectPlanData[[#This Row],[WORK DAYS]],1),"")</f>
        <v/>
      </c>
      <c r="I30" s="29">
        <v>0</v>
      </c>
      <c r="J30" s="91" t="str">
        <f>IFERROR(ProjectPlanData[[#This Row],[COMPLETED DAYS]]/ProjectPlanData[[#This Row],[WORK DAYS]],"")</f>
        <v/>
      </c>
      <c r="K30" s="26"/>
      <c r="L30" s="26"/>
      <c r="M30" s="26"/>
    </row>
    <row r="31" spans="2:17" x14ac:dyDescent="0.25">
      <c r="B31" s="74">
        <v>21</v>
      </c>
      <c r="C31" s="86" t="s">
        <v>65</v>
      </c>
      <c r="D31" s="89" t="s">
        <v>109</v>
      </c>
      <c r="E31" s="87" t="s">
        <v>84</v>
      </c>
      <c r="F31" s="21"/>
      <c r="G31" s="29">
        <v>0</v>
      </c>
      <c r="H31" s="28" t="str">
        <f>IFERROR(WORKDAY.INTL(ProjectPlanData[[#This Row],[START DATE]]-1,ProjectPlanData[[#This Row],[WORK DAYS]],1),"")</f>
        <v/>
      </c>
      <c r="I31" s="29">
        <v>0</v>
      </c>
      <c r="J31" s="91" t="str">
        <f>IFERROR(ProjectPlanData[[#This Row],[COMPLETED DAYS]]/ProjectPlanData[[#This Row],[WORK DAYS]],"")</f>
        <v/>
      </c>
      <c r="K31" s="26"/>
      <c r="L31" s="26"/>
      <c r="M31" s="26"/>
    </row>
    <row r="32" spans="2:17" x14ac:dyDescent="0.25">
      <c r="B32" s="74">
        <v>22</v>
      </c>
      <c r="C32" s="86" t="s">
        <v>66</v>
      </c>
      <c r="D32" s="88" t="s">
        <v>70</v>
      </c>
      <c r="E32" s="87" t="s">
        <v>110</v>
      </c>
      <c r="F32" s="21"/>
      <c r="G32" s="29">
        <v>0</v>
      </c>
      <c r="H32" s="28" t="str">
        <f>IFERROR(WORKDAY.INTL(ProjectPlanData[[#This Row],[START DATE]]-1,ProjectPlanData[[#This Row],[WORK DAYS]],1),"")</f>
        <v/>
      </c>
      <c r="I32" s="29">
        <v>0</v>
      </c>
      <c r="J32" s="91" t="str">
        <f>IFERROR(ProjectPlanData[[#This Row],[COMPLETED DAYS]]/ProjectPlanData[[#This Row],[WORK DAYS]],"")</f>
        <v/>
      </c>
      <c r="K32" s="26"/>
      <c r="L32" s="26"/>
      <c r="M32" s="26"/>
    </row>
    <row r="33" spans="2:13" x14ac:dyDescent="0.25">
      <c r="B33" s="74">
        <v>23</v>
      </c>
      <c r="C33" s="86" t="s">
        <v>67</v>
      </c>
      <c r="D33" s="88" t="s">
        <v>70</v>
      </c>
      <c r="E33" s="87" t="s">
        <v>111</v>
      </c>
      <c r="F33" s="21"/>
      <c r="G33" s="29">
        <v>0</v>
      </c>
      <c r="H33" s="28" t="str">
        <f>IFERROR(WORKDAY.INTL(ProjectPlanData[[#This Row],[START DATE]]-1,ProjectPlanData[[#This Row],[WORK DAYS]],1),"")</f>
        <v/>
      </c>
      <c r="I33" s="29">
        <v>0</v>
      </c>
      <c r="J33" s="91" t="str">
        <f>IFERROR(ProjectPlanData[[#This Row],[COMPLETED DAYS]]/ProjectPlanData[[#This Row],[WORK DAYS]],"")</f>
        <v/>
      </c>
      <c r="K33" s="26"/>
      <c r="L33" s="26"/>
      <c r="M33" s="26"/>
    </row>
    <row r="34" spans="2:13" x14ac:dyDescent="0.25">
      <c r="B34" s="74">
        <v>24</v>
      </c>
      <c r="C34" s="86" t="s">
        <v>68</v>
      </c>
      <c r="D34" s="89" t="s">
        <v>70</v>
      </c>
      <c r="E34" s="87" t="s">
        <v>112</v>
      </c>
      <c r="F34" s="21"/>
      <c r="G34" s="29">
        <v>0</v>
      </c>
      <c r="H34" s="28" t="str">
        <f>IFERROR(WORKDAY.INTL(ProjectPlanData[[#This Row],[START DATE]]-1,ProjectPlanData[[#This Row],[WORK DAYS]],1),"")</f>
        <v/>
      </c>
      <c r="I34" s="29">
        <v>0</v>
      </c>
      <c r="J34" s="91" t="str">
        <f>IFERROR(ProjectPlanData[[#This Row],[COMPLETED DAYS]]/ProjectPlanData[[#This Row],[WORK DAYS]],"")</f>
        <v/>
      </c>
      <c r="K34" s="26"/>
      <c r="L34" s="26"/>
      <c r="M34" s="26"/>
    </row>
  </sheetData>
  <phoneticPr fontId="7" type="noConversion"/>
  <pageMargins left="0.25" right="0.25" top="0.75" bottom="0.75" header="0.3" footer="0.3"/>
  <pageSetup paperSize="8" scale="82" fitToHeight="0" orientation="landscape" horizontalDpi="360" verticalDpi="360" r:id="rId1"/>
  <headerFooter>
    <oddFooter>&amp;L&amp;D&amp;CPage &amp;P of &amp;N</oddFooter>
  </headerFooter>
  <colBreaks count="2" manualBreakCount="2">
    <brk id="12" max="1048575" man="1"/>
    <brk id="18" max="1048575" man="1"/>
  </colBreaks>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CF424E-8F82-4C97-BEC6-FEE2EF11DE70}">
  <sheetPr>
    <pageSetUpPr fitToPage="1"/>
  </sheetPr>
  <dimension ref="B1:P414"/>
  <sheetViews>
    <sheetView showGridLines="0" zoomScaleNormal="100" workbookViewId="0"/>
  </sheetViews>
  <sheetFormatPr defaultRowHeight="15" x14ac:dyDescent="0.25"/>
  <cols>
    <col min="1" max="1" width="2.85546875" style="2" customWidth="1"/>
    <col min="2" max="2" width="42.5703125" style="2" customWidth="1"/>
    <col min="3" max="4" width="18.7109375" style="2" customWidth="1"/>
    <col min="5" max="5" width="26.7109375" style="2" customWidth="1"/>
    <col min="6" max="6" width="15.7109375" style="2" customWidth="1"/>
    <col min="7" max="7" width="12.7109375" style="2" bestFit="1" customWidth="1"/>
    <col min="8" max="8" width="14" style="2" bestFit="1" customWidth="1"/>
    <col min="9" max="10" width="12.7109375" style="6" customWidth="1"/>
    <col min="11" max="11" width="11" style="2" customWidth="1"/>
    <col min="12" max="12" width="15" style="2" customWidth="1"/>
    <col min="13" max="13" width="17.28515625" style="2" customWidth="1"/>
    <col min="14" max="14" width="18.85546875" style="2" customWidth="1"/>
    <col min="15" max="15" width="9.85546875" style="2" customWidth="1"/>
    <col min="16" max="16" width="38.140625" style="2" customWidth="1"/>
    <col min="17" max="16384" width="9.140625" style="2"/>
  </cols>
  <sheetData>
    <row r="1" spans="2:14" x14ac:dyDescent="0.25">
      <c r="I1" s="2"/>
      <c r="J1" s="2"/>
    </row>
    <row r="2" spans="2:14" ht="15" customHeight="1" x14ac:dyDescent="0.25">
      <c r="H2" s="1"/>
      <c r="I2" s="2"/>
      <c r="J2" s="2"/>
    </row>
    <row r="3" spans="2:14" x14ac:dyDescent="0.25">
      <c r="I3" s="2"/>
      <c r="J3" s="2"/>
    </row>
    <row r="4" spans="2:14" x14ac:dyDescent="0.25">
      <c r="I4" s="2"/>
      <c r="J4" s="2"/>
    </row>
    <row r="5" spans="2:14" x14ac:dyDescent="0.25">
      <c r="I5" s="2"/>
      <c r="J5" s="2"/>
    </row>
    <row r="6" spans="2:14" x14ac:dyDescent="0.25">
      <c r="I6" s="2"/>
      <c r="J6" s="2"/>
      <c r="L6" s="7"/>
    </row>
    <row r="7" spans="2:14" x14ac:dyDescent="0.25">
      <c r="I7" s="2"/>
      <c r="J7" s="2"/>
      <c r="L7" s="7"/>
    </row>
    <row r="8" spans="2:14" x14ac:dyDescent="0.25">
      <c r="B8" s="15" t="s">
        <v>56</v>
      </c>
      <c r="I8" s="2"/>
      <c r="J8" s="2"/>
      <c r="L8" s="7"/>
    </row>
    <row r="9" spans="2:14" x14ac:dyDescent="0.25">
      <c r="B9" s="6"/>
      <c r="C9" s="6"/>
      <c r="D9" s="6"/>
      <c r="E9" s="6"/>
      <c r="F9" s="6"/>
      <c r="G9" s="6"/>
      <c r="H9" s="6"/>
      <c r="K9" s="6"/>
      <c r="L9" s="4"/>
      <c r="M9" s="4"/>
    </row>
    <row r="10" spans="2:14" x14ac:dyDescent="0.25">
      <c r="B10" s="63" t="s">
        <v>49</v>
      </c>
      <c r="C10" s="63" t="s">
        <v>50</v>
      </c>
      <c r="D10" s="63" t="s">
        <v>51</v>
      </c>
      <c r="E10" s="63" t="s">
        <v>52</v>
      </c>
      <c r="F10" s="3"/>
      <c r="I10" s="2"/>
      <c r="J10"/>
      <c r="K10" s="6"/>
      <c r="L10" s="4"/>
      <c r="M10" s="4"/>
      <c r="N10" s="4"/>
    </row>
    <row r="11" spans="2:14" ht="15.75" x14ac:dyDescent="0.25">
      <c r="B11" s="2" t="s">
        <v>31</v>
      </c>
      <c r="C11" s="54">
        <v>0</v>
      </c>
      <c r="D11" s="54">
        <v>0</v>
      </c>
      <c r="E11" s="54">
        <f>+ProjectBudget[[#This Row],[BUDGET]]-ProjectBudget[[#This Row],[SPENT TO DATE]]</f>
        <v>0</v>
      </c>
      <c r="F11" s="8"/>
      <c r="I11" s="69"/>
      <c r="J11"/>
      <c r="K11" s="6"/>
      <c r="L11" s="4"/>
      <c r="M11" s="4"/>
      <c r="N11" s="4"/>
    </row>
    <row r="12" spans="2:14" x14ac:dyDescent="0.25">
      <c r="B12" s="2" t="s">
        <v>32</v>
      </c>
      <c r="C12" s="54">
        <v>0</v>
      </c>
      <c r="D12" s="54">
        <v>0</v>
      </c>
      <c r="E12" s="54">
        <f>+ProjectBudget[[#This Row],[BUDGET]]-ProjectBudget[[#This Row],[SPENT TO DATE]]</f>
        <v>0</v>
      </c>
      <c r="F12" s="8"/>
      <c r="I12" s="2"/>
      <c r="J12"/>
      <c r="K12" s="6"/>
      <c r="L12" s="4"/>
      <c r="M12"/>
      <c r="N12" s="4"/>
    </row>
    <row r="13" spans="2:14" x14ac:dyDescent="0.25">
      <c r="B13" s="2" t="s">
        <v>34</v>
      </c>
      <c r="C13" s="54">
        <v>0</v>
      </c>
      <c r="D13" s="54">
        <v>0</v>
      </c>
      <c r="E13" s="54">
        <f>+ProjectBudget[[#This Row],[BUDGET]]-ProjectBudget[[#This Row],[SPENT TO DATE]]</f>
        <v>0</v>
      </c>
      <c r="F13" s="8"/>
      <c r="H13"/>
      <c r="I13"/>
      <c r="J13"/>
      <c r="K13" s="6"/>
      <c r="L13" s="4"/>
      <c r="M13"/>
      <c r="N13" s="4"/>
    </row>
    <row r="14" spans="2:14" ht="15" customHeight="1" x14ac:dyDescent="0.25">
      <c r="B14" s="2" t="s">
        <v>30</v>
      </c>
      <c r="C14" s="54">
        <v>0</v>
      </c>
      <c r="D14" s="54">
        <v>0</v>
      </c>
      <c r="E14" s="54">
        <f>+ProjectBudget[[#This Row],[BUDGET]]-ProjectBudget[[#This Row],[SPENT TO DATE]]</f>
        <v>0</v>
      </c>
      <c r="F14" s="8"/>
      <c r="H14"/>
      <c r="I14"/>
      <c r="J14"/>
      <c r="K14" s="6"/>
      <c r="L14" s="4"/>
      <c r="M14"/>
      <c r="N14" s="4"/>
    </row>
    <row r="15" spans="2:14" x14ac:dyDescent="0.25">
      <c r="B15" s="2" t="s">
        <v>35</v>
      </c>
      <c r="C15" s="54">
        <v>0</v>
      </c>
      <c r="D15" s="54">
        <v>0</v>
      </c>
      <c r="E15" s="54">
        <f>+ProjectBudget[[#This Row],[BUDGET]]-ProjectBudget[[#This Row],[SPENT TO DATE]]</f>
        <v>0</v>
      </c>
      <c r="F15" s="8"/>
      <c r="H15"/>
      <c r="I15"/>
      <c r="J15"/>
      <c r="K15" s="6"/>
      <c r="L15" s="4"/>
      <c r="M15"/>
      <c r="N15" s="4"/>
    </row>
    <row r="16" spans="2:14" x14ac:dyDescent="0.25">
      <c r="B16" s="2" t="s">
        <v>33</v>
      </c>
      <c r="C16" s="54">
        <v>0</v>
      </c>
      <c r="D16" s="54">
        <v>0</v>
      </c>
      <c r="E16" s="54">
        <f>+ProjectBudget[[#This Row],[BUDGET]]-ProjectBudget[[#This Row],[SPENT TO DATE]]</f>
        <v>0</v>
      </c>
      <c r="G16"/>
      <c r="H16"/>
      <c r="I16"/>
      <c r="K16" s="4"/>
      <c r="L16"/>
      <c r="M16" s="4"/>
    </row>
    <row r="17" spans="2:16" x14ac:dyDescent="0.25">
      <c r="B17" s="2" t="s">
        <v>11</v>
      </c>
      <c r="C17" s="54">
        <v>0</v>
      </c>
      <c r="D17" s="54">
        <v>0</v>
      </c>
      <c r="E17" s="54">
        <f>+ProjectBudget[[#This Row],[BUDGET]]-ProjectBudget[[#This Row],[SPENT TO DATE]]</f>
        <v>0</v>
      </c>
      <c r="G17"/>
      <c r="H17"/>
      <c r="I17"/>
      <c r="K17" s="4"/>
      <c r="L17"/>
      <c r="M17" s="4"/>
    </row>
    <row r="18" spans="2:16" x14ac:dyDescent="0.25">
      <c r="B18" s="2" t="s">
        <v>36</v>
      </c>
      <c r="C18" s="54">
        <v>0</v>
      </c>
      <c r="D18" s="54">
        <v>0</v>
      </c>
      <c r="E18" s="54">
        <f>+ProjectBudget[[#This Row],[BUDGET]]-ProjectBudget[[#This Row],[SPENT TO DATE]]</f>
        <v>0</v>
      </c>
      <c r="G18"/>
      <c r="H18"/>
      <c r="I18"/>
      <c r="K18" s="4"/>
      <c r="L18"/>
      <c r="M18" s="4"/>
      <c r="N18" s="4"/>
      <c r="O18" s="4"/>
      <c r="P18" s="4"/>
    </row>
    <row r="19" spans="2:16" x14ac:dyDescent="0.25">
      <c r="B19" s="2" t="s">
        <v>37</v>
      </c>
      <c r="C19" s="54">
        <v>0</v>
      </c>
      <c r="D19" s="54">
        <v>0</v>
      </c>
      <c r="E19" s="54">
        <f>+ProjectBudget[[#This Row],[BUDGET]]-ProjectBudget[[#This Row],[SPENT TO DATE]]</f>
        <v>0</v>
      </c>
      <c r="G19"/>
      <c r="H19"/>
      <c r="I19"/>
      <c r="K19" s="4"/>
      <c r="L19"/>
      <c r="M19" s="4"/>
      <c r="N19" s="4"/>
      <c r="O19" s="4"/>
      <c r="P19" s="4"/>
    </row>
    <row r="20" spans="2:16" x14ac:dyDescent="0.25">
      <c r="B20" s="2" t="s">
        <v>12</v>
      </c>
      <c r="C20" s="54">
        <v>0</v>
      </c>
      <c r="D20" s="54">
        <v>0</v>
      </c>
      <c r="E20" s="54">
        <f>+ProjectBudget[[#This Row],[BUDGET]]-ProjectBudget[[#This Row],[SPENT TO DATE]]</f>
        <v>0</v>
      </c>
      <c r="G20"/>
      <c r="H20"/>
      <c r="I20"/>
      <c r="K20" s="4"/>
      <c r="L20"/>
      <c r="M20" s="4"/>
      <c r="N20" s="4"/>
      <c r="O20" s="4"/>
      <c r="P20" s="4"/>
    </row>
    <row r="21" spans="2:16" x14ac:dyDescent="0.25">
      <c r="B21" s="2" t="s">
        <v>13</v>
      </c>
      <c r="C21" s="54">
        <v>0</v>
      </c>
      <c r="D21" s="54">
        <v>0</v>
      </c>
      <c r="E21" s="54">
        <f>+ProjectBudget[[#This Row],[BUDGET]]-ProjectBudget[[#This Row],[SPENT TO DATE]]</f>
        <v>0</v>
      </c>
      <c r="G21"/>
      <c r="H21"/>
      <c r="I21"/>
      <c r="K21" s="4"/>
      <c r="L21"/>
      <c r="M21" s="4"/>
      <c r="N21" s="4"/>
      <c r="O21" s="4"/>
      <c r="P21" s="4"/>
    </row>
    <row r="22" spans="2:16" x14ac:dyDescent="0.25">
      <c r="B22" s="33" t="s">
        <v>29</v>
      </c>
      <c r="C22" s="96">
        <f>SUBTOTAL(109,ProjectBudget[BUDGET])</f>
        <v>0</v>
      </c>
      <c r="D22" s="96">
        <f>SUBTOTAL(109,ProjectBudget[SPENT TO DATE])</f>
        <v>0</v>
      </c>
      <c r="E22" s="96">
        <f>SUBTOTAL(109,ProjectBudget[BUDGET REMAINING])</f>
        <v>0</v>
      </c>
      <c r="G22" s="4"/>
      <c r="K22" s="4"/>
      <c r="L22" s="4"/>
      <c r="M22" s="4"/>
      <c r="N22" s="4"/>
      <c r="O22" s="4"/>
      <c r="P22" s="4"/>
    </row>
    <row r="23" spans="2:16" x14ac:dyDescent="0.25">
      <c r="G23" s="4"/>
      <c r="K23" s="4"/>
      <c r="L23" s="4"/>
      <c r="M23" s="4"/>
      <c r="N23" s="4"/>
      <c r="O23" s="4"/>
      <c r="P23" s="4"/>
    </row>
    <row r="24" spans="2:16" x14ac:dyDescent="0.25">
      <c r="G24" s="4"/>
      <c r="K24" s="4"/>
      <c r="L24" s="4"/>
      <c r="M24" s="4"/>
      <c r="N24" s="4"/>
      <c r="O24" s="4"/>
      <c r="P24" s="4"/>
    </row>
    <row r="25" spans="2:16" x14ac:dyDescent="0.25">
      <c r="G25" s="4"/>
      <c r="K25" s="4"/>
      <c r="L25" s="4"/>
      <c r="M25" s="4"/>
      <c r="N25" s="4"/>
      <c r="O25" s="4"/>
      <c r="P25" s="4"/>
    </row>
    <row r="26" spans="2:16" x14ac:dyDescent="0.25">
      <c r="G26" s="4"/>
      <c r="K26" s="4"/>
      <c r="L26" s="4"/>
      <c r="M26" s="4"/>
      <c r="N26" s="4"/>
      <c r="O26" s="4"/>
      <c r="P26" s="4"/>
    </row>
    <row r="27" spans="2:16" x14ac:dyDescent="0.25">
      <c r="G27" s="4"/>
      <c r="K27" s="4"/>
      <c r="L27" s="4"/>
      <c r="M27" s="4"/>
      <c r="N27" s="4"/>
      <c r="O27" s="4"/>
      <c r="P27" s="4"/>
    </row>
    <row r="28" spans="2:16" x14ac:dyDescent="0.25">
      <c r="B28"/>
      <c r="C28"/>
      <c r="D28"/>
      <c r="G28" s="4"/>
      <c r="K28" s="4"/>
      <c r="L28" s="4"/>
      <c r="M28" s="4"/>
      <c r="N28" s="4"/>
      <c r="O28" s="4"/>
      <c r="P28" s="4"/>
    </row>
    <row r="29" spans="2:16" x14ac:dyDescent="0.25">
      <c r="B29"/>
      <c r="C29"/>
      <c r="D29"/>
      <c r="G29" s="4"/>
      <c r="K29" s="4"/>
      <c r="L29" s="4"/>
      <c r="M29" s="4"/>
      <c r="N29" s="4"/>
      <c r="O29" s="4"/>
      <c r="P29" s="4"/>
    </row>
    <row r="30" spans="2:16" x14ac:dyDescent="0.25">
      <c r="B30"/>
      <c r="C30"/>
      <c r="D30"/>
      <c r="G30" s="4"/>
      <c r="K30" s="4"/>
      <c r="L30" s="4"/>
      <c r="M30" s="4"/>
      <c r="N30" s="4"/>
      <c r="O30" s="4"/>
      <c r="P30" s="4"/>
    </row>
    <row r="31" spans="2:16" x14ac:dyDescent="0.25">
      <c r="B31"/>
      <c r="C31"/>
      <c r="D31"/>
      <c r="G31" s="4"/>
      <c r="K31" s="4"/>
      <c r="L31" s="4"/>
      <c r="M31" s="4"/>
      <c r="N31" s="4"/>
      <c r="O31" s="4"/>
      <c r="P31" s="4"/>
    </row>
    <row r="32" spans="2:16" x14ac:dyDescent="0.25">
      <c r="B32"/>
      <c r="C32"/>
      <c r="D32"/>
      <c r="G32" s="4"/>
      <c r="K32" s="4"/>
      <c r="L32" s="4"/>
      <c r="M32" s="4"/>
      <c r="N32" s="4"/>
      <c r="O32" s="4"/>
      <c r="P32" s="4"/>
    </row>
    <row r="33" spans="7:16" x14ac:dyDescent="0.25">
      <c r="G33" s="4"/>
      <c r="K33" s="4"/>
      <c r="L33" s="4"/>
      <c r="M33" s="4"/>
      <c r="N33" s="4"/>
      <c r="O33" s="4"/>
      <c r="P33" s="4"/>
    </row>
    <row r="34" spans="7:16" x14ac:dyDescent="0.25">
      <c r="G34" s="4"/>
      <c r="K34" s="4"/>
      <c r="L34" s="4"/>
      <c r="M34" s="4"/>
      <c r="N34" s="4"/>
      <c r="O34" s="4"/>
      <c r="P34" s="4"/>
    </row>
    <row r="35" spans="7:16" x14ac:dyDescent="0.25">
      <c r="G35" s="4"/>
      <c r="K35" s="4"/>
      <c r="L35" s="4"/>
      <c r="M35" s="4"/>
      <c r="N35" s="4"/>
      <c r="O35" s="4"/>
      <c r="P35" s="4"/>
    </row>
    <row r="36" spans="7:16" x14ac:dyDescent="0.25">
      <c r="G36" s="4"/>
      <c r="K36" s="4"/>
      <c r="L36" s="4"/>
      <c r="M36" s="4"/>
      <c r="N36" s="4"/>
      <c r="O36" s="4"/>
      <c r="P36" s="4"/>
    </row>
    <row r="37" spans="7:16" x14ac:dyDescent="0.25">
      <c r="G37" s="4"/>
      <c r="K37" s="4"/>
      <c r="L37" s="4"/>
      <c r="M37" s="4"/>
      <c r="N37" s="4"/>
      <c r="O37" s="4"/>
      <c r="P37" s="4"/>
    </row>
    <row r="38" spans="7:16" x14ac:dyDescent="0.25">
      <c r="G38" s="4"/>
      <c r="K38" s="4"/>
      <c r="L38" s="4"/>
      <c r="M38" s="4"/>
      <c r="N38" s="4"/>
      <c r="O38" s="4"/>
      <c r="P38" s="4"/>
    </row>
    <row r="39" spans="7:16" x14ac:dyDescent="0.25">
      <c r="G39" s="4"/>
      <c r="K39" s="4"/>
      <c r="L39" s="4"/>
      <c r="M39" s="4"/>
      <c r="N39" s="4"/>
      <c r="O39" s="4"/>
      <c r="P39" s="4"/>
    </row>
    <row r="40" spans="7:16" x14ac:dyDescent="0.25">
      <c r="G40" s="4"/>
      <c r="K40" s="4"/>
      <c r="L40" s="4"/>
      <c r="M40" s="4"/>
      <c r="N40" s="4"/>
      <c r="O40" s="4"/>
      <c r="P40" s="4"/>
    </row>
    <row r="41" spans="7:16" x14ac:dyDescent="0.25">
      <c r="G41" s="4"/>
      <c r="K41" s="4"/>
      <c r="L41" s="4"/>
      <c r="M41" s="4"/>
      <c r="N41" s="4"/>
      <c r="O41" s="4"/>
      <c r="P41" s="4"/>
    </row>
    <row r="42" spans="7:16" x14ac:dyDescent="0.25">
      <c r="G42" s="4"/>
      <c r="K42" s="4"/>
      <c r="L42" s="4"/>
      <c r="M42" s="4"/>
      <c r="N42" s="4"/>
      <c r="O42" s="4"/>
      <c r="P42" s="4"/>
    </row>
    <row r="43" spans="7:16" x14ac:dyDescent="0.25">
      <c r="G43" s="4"/>
      <c r="K43" s="4"/>
      <c r="L43" s="4"/>
      <c r="M43" s="4"/>
      <c r="N43" s="4"/>
      <c r="O43" s="4"/>
      <c r="P43" s="4"/>
    </row>
    <row r="44" spans="7:16" x14ac:dyDescent="0.25">
      <c r="G44" s="4"/>
      <c r="K44" s="4"/>
      <c r="L44" s="4"/>
      <c r="M44" s="4"/>
      <c r="N44" s="4"/>
      <c r="O44" s="4"/>
      <c r="P44" s="4"/>
    </row>
    <row r="45" spans="7:16" x14ac:dyDescent="0.25">
      <c r="G45" s="4"/>
      <c r="K45" s="4"/>
      <c r="L45" s="4"/>
      <c r="M45" s="4"/>
      <c r="N45" s="4"/>
      <c r="O45" s="4"/>
      <c r="P45" s="4"/>
    </row>
    <row r="46" spans="7:16" x14ac:dyDescent="0.25">
      <c r="G46" s="4"/>
      <c r="K46" s="4"/>
      <c r="L46" s="4"/>
      <c r="M46" s="4"/>
      <c r="N46" s="4"/>
      <c r="O46" s="4"/>
      <c r="P46" s="4"/>
    </row>
    <row r="47" spans="7:16" x14ac:dyDescent="0.25">
      <c r="G47" s="4"/>
      <c r="K47" s="4"/>
      <c r="L47" s="4"/>
      <c r="M47" s="4"/>
      <c r="N47" s="4"/>
      <c r="O47" s="4"/>
      <c r="P47" s="4"/>
    </row>
    <row r="48" spans="7:16" x14ac:dyDescent="0.25">
      <c r="G48" s="4"/>
      <c r="K48" s="4"/>
      <c r="L48" s="4"/>
      <c r="M48" s="4"/>
      <c r="N48" s="4"/>
      <c r="O48" s="4"/>
      <c r="P48" s="4"/>
    </row>
    <row r="49" spans="7:16" x14ac:dyDescent="0.25">
      <c r="G49" s="4"/>
      <c r="K49" s="4"/>
      <c r="L49" s="4"/>
      <c r="M49" s="4"/>
      <c r="N49" s="4"/>
      <c r="O49" s="4"/>
      <c r="P49" s="4"/>
    </row>
    <row r="50" spans="7:16" x14ac:dyDescent="0.25">
      <c r="G50" s="4"/>
      <c r="K50" s="4"/>
      <c r="L50" s="4"/>
      <c r="M50" s="4"/>
      <c r="N50" s="4"/>
      <c r="O50" s="4"/>
      <c r="P50" s="4"/>
    </row>
    <row r="51" spans="7:16" x14ac:dyDescent="0.25">
      <c r="G51" s="4"/>
      <c r="K51" s="4"/>
      <c r="L51" s="4"/>
      <c r="M51" s="4"/>
      <c r="N51" s="4"/>
      <c r="O51" s="4"/>
      <c r="P51" s="4"/>
    </row>
    <row r="52" spans="7:16" x14ac:dyDescent="0.25">
      <c r="G52" s="4"/>
      <c r="K52" s="4"/>
      <c r="L52" s="4"/>
      <c r="M52" s="4"/>
      <c r="N52" s="4"/>
      <c r="O52" s="4"/>
      <c r="P52" s="4"/>
    </row>
    <row r="53" spans="7:16" x14ac:dyDescent="0.25">
      <c r="G53" s="4"/>
      <c r="K53" s="4"/>
      <c r="L53" s="4"/>
      <c r="M53" s="4"/>
      <c r="N53" s="4"/>
      <c r="O53" s="4"/>
      <c r="P53" s="4"/>
    </row>
    <row r="54" spans="7:16" x14ac:dyDescent="0.25">
      <c r="G54" s="4"/>
      <c r="K54" s="4"/>
      <c r="L54" s="4"/>
      <c r="M54" s="4"/>
      <c r="N54" s="4"/>
      <c r="O54" s="4"/>
      <c r="P54" s="4"/>
    </row>
    <row r="55" spans="7:16" x14ac:dyDescent="0.25">
      <c r="G55" s="4"/>
      <c r="K55" s="4"/>
      <c r="L55" s="4"/>
      <c r="M55" s="4"/>
      <c r="N55" s="4"/>
      <c r="O55" s="4"/>
      <c r="P55" s="4"/>
    </row>
    <row r="56" spans="7:16" x14ac:dyDescent="0.25">
      <c r="G56" s="4"/>
      <c r="K56" s="4"/>
      <c r="L56" s="4"/>
      <c r="M56" s="4"/>
      <c r="N56" s="4"/>
      <c r="O56" s="4"/>
      <c r="P56" s="4"/>
    </row>
    <row r="57" spans="7:16" x14ac:dyDescent="0.25">
      <c r="G57" s="4"/>
      <c r="K57" s="4"/>
      <c r="L57" s="4"/>
      <c r="M57" s="4"/>
      <c r="N57" s="4"/>
      <c r="O57" s="4"/>
      <c r="P57" s="4"/>
    </row>
    <row r="58" spans="7:16" x14ac:dyDescent="0.25">
      <c r="G58" s="4"/>
      <c r="K58" s="4"/>
      <c r="L58" s="4"/>
      <c r="M58" s="4"/>
      <c r="N58" s="4"/>
      <c r="O58" s="4"/>
      <c r="P58" s="4"/>
    </row>
    <row r="59" spans="7:16" x14ac:dyDescent="0.25">
      <c r="G59" s="4"/>
      <c r="K59" s="4"/>
      <c r="L59" s="4"/>
      <c r="M59" s="4"/>
      <c r="N59" s="4"/>
      <c r="O59" s="4"/>
      <c r="P59" s="4"/>
    </row>
    <row r="60" spans="7:16" x14ac:dyDescent="0.25">
      <c r="G60" s="4"/>
      <c r="K60" s="4"/>
      <c r="L60" s="4"/>
      <c r="M60" s="4"/>
      <c r="N60" s="4"/>
      <c r="O60" s="4"/>
      <c r="P60" s="4"/>
    </row>
    <row r="61" spans="7:16" x14ac:dyDescent="0.25">
      <c r="G61" s="4"/>
      <c r="K61" s="4"/>
      <c r="L61" s="4"/>
      <c r="M61" s="4"/>
      <c r="N61" s="4"/>
      <c r="O61" s="4"/>
      <c r="P61" s="4"/>
    </row>
    <row r="62" spans="7:16" x14ac:dyDescent="0.25">
      <c r="G62" s="4"/>
      <c r="K62" s="4"/>
      <c r="L62" s="4"/>
      <c r="M62" s="4"/>
      <c r="N62" s="4"/>
      <c r="O62" s="4"/>
      <c r="P62" s="4"/>
    </row>
    <row r="63" spans="7:16" x14ac:dyDescent="0.25">
      <c r="G63" s="4"/>
      <c r="K63" s="4"/>
      <c r="L63" s="4"/>
      <c r="M63" s="4"/>
      <c r="N63" s="4"/>
      <c r="O63" s="4"/>
      <c r="P63" s="4"/>
    </row>
    <row r="64" spans="7:16" x14ac:dyDescent="0.25">
      <c r="G64" s="4"/>
      <c r="K64" s="4"/>
      <c r="L64" s="4"/>
      <c r="M64" s="4"/>
      <c r="N64" s="4"/>
      <c r="O64" s="4"/>
      <c r="P64" s="4"/>
    </row>
    <row r="65" spans="7:16" x14ac:dyDescent="0.25">
      <c r="G65" s="4"/>
      <c r="K65" s="4"/>
      <c r="L65" s="4"/>
      <c r="M65" s="4"/>
      <c r="N65" s="4"/>
      <c r="O65" s="4"/>
      <c r="P65" s="4"/>
    </row>
    <row r="66" spans="7:16" x14ac:dyDescent="0.25">
      <c r="G66" s="4"/>
      <c r="K66" s="4"/>
      <c r="L66" s="4"/>
      <c r="M66" s="4"/>
      <c r="N66" s="4"/>
      <c r="O66" s="4"/>
      <c r="P66" s="4"/>
    </row>
    <row r="67" spans="7:16" x14ac:dyDescent="0.25">
      <c r="G67" s="4"/>
      <c r="K67" s="4"/>
      <c r="L67" s="4"/>
      <c r="M67" s="4"/>
      <c r="N67" s="4"/>
      <c r="O67" s="4"/>
      <c r="P67" s="4"/>
    </row>
    <row r="68" spans="7:16" x14ac:dyDescent="0.25">
      <c r="G68" s="4"/>
      <c r="K68" s="4"/>
      <c r="L68" s="4"/>
      <c r="M68" s="4"/>
      <c r="N68" s="4"/>
      <c r="O68" s="4"/>
      <c r="P68" s="4"/>
    </row>
    <row r="69" spans="7:16" x14ac:dyDescent="0.25">
      <c r="G69" s="4"/>
      <c r="K69" s="4"/>
      <c r="L69" s="4"/>
      <c r="M69" s="4"/>
      <c r="N69" s="4"/>
      <c r="O69" s="4"/>
      <c r="P69" s="4"/>
    </row>
    <row r="70" spans="7:16" x14ac:dyDescent="0.25">
      <c r="G70" s="4"/>
      <c r="K70" s="4"/>
      <c r="L70" s="4"/>
      <c r="M70" s="4"/>
      <c r="N70" s="4"/>
      <c r="O70" s="4"/>
      <c r="P70" s="4"/>
    </row>
    <row r="71" spans="7:16" x14ac:dyDescent="0.25">
      <c r="G71" s="4"/>
      <c r="K71" s="4"/>
      <c r="L71" s="4"/>
      <c r="M71" s="4"/>
      <c r="N71" s="4"/>
      <c r="O71" s="4"/>
      <c r="P71" s="4"/>
    </row>
    <row r="72" spans="7:16" ht="15" customHeight="1" x14ac:dyDescent="0.25">
      <c r="G72" s="4"/>
      <c r="K72" s="4"/>
      <c r="L72" s="4"/>
      <c r="M72" s="4"/>
      <c r="N72" s="4"/>
      <c r="O72" s="4"/>
      <c r="P72" s="4"/>
    </row>
    <row r="73" spans="7:16" x14ac:dyDescent="0.25">
      <c r="G73" s="4"/>
      <c r="K73" s="4"/>
      <c r="L73" s="4"/>
      <c r="M73" s="4"/>
      <c r="N73" s="4"/>
      <c r="O73" s="4"/>
      <c r="P73" s="4"/>
    </row>
    <row r="74" spans="7:16" x14ac:dyDescent="0.25">
      <c r="G74" s="4"/>
      <c r="K74" s="4"/>
      <c r="L74" s="4"/>
      <c r="M74" s="4"/>
      <c r="N74" s="4"/>
      <c r="O74" s="4"/>
      <c r="P74" s="4"/>
    </row>
    <row r="75" spans="7:16" x14ac:dyDescent="0.25">
      <c r="G75" s="4"/>
      <c r="K75" s="4"/>
      <c r="L75" s="4"/>
      <c r="M75" s="4"/>
      <c r="N75" s="4"/>
      <c r="O75" s="4"/>
      <c r="P75" s="4"/>
    </row>
    <row r="76" spans="7:16" x14ac:dyDescent="0.25">
      <c r="G76" s="4"/>
      <c r="K76" s="4"/>
      <c r="L76" s="4"/>
      <c r="M76" s="4"/>
      <c r="N76" s="4"/>
      <c r="O76" s="4"/>
      <c r="P76" s="4"/>
    </row>
    <row r="77" spans="7:16" x14ac:dyDescent="0.25">
      <c r="G77" s="4"/>
      <c r="K77" s="4"/>
      <c r="L77" s="4"/>
      <c r="M77" s="4"/>
      <c r="N77" s="4"/>
      <c r="O77" s="4"/>
      <c r="P77" s="4"/>
    </row>
    <row r="78" spans="7:16" x14ac:dyDescent="0.25">
      <c r="G78" s="4"/>
      <c r="K78" s="4"/>
      <c r="L78" s="4"/>
      <c r="M78" s="4"/>
      <c r="N78" s="4"/>
      <c r="O78" s="4"/>
      <c r="P78" s="4"/>
    </row>
    <row r="79" spans="7:16" x14ac:dyDescent="0.25">
      <c r="G79" s="4"/>
      <c r="K79" s="4"/>
      <c r="L79" s="4"/>
      <c r="M79" s="4"/>
      <c r="N79" s="4"/>
      <c r="O79" s="4"/>
      <c r="P79" s="4"/>
    </row>
    <row r="80" spans="7:16" x14ac:dyDescent="0.25">
      <c r="G80" s="4"/>
      <c r="K80" s="4"/>
      <c r="L80" s="4"/>
      <c r="M80" s="4"/>
      <c r="N80" s="4"/>
      <c r="O80" s="4"/>
      <c r="P80" s="4"/>
    </row>
    <row r="81" spans="7:16" x14ac:dyDescent="0.25">
      <c r="G81" s="4"/>
      <c r="K81" s="4"/>
      <c r="L81" s="4"/>
      <c r="M81" s="4"/>
      <c r="N81" s="4"/>
      <c r="O81" s="4"/>
      <c r="P81" s="4"/>
    </row>
    <row r="82" spans="7:16" x14ac:dyDescent="0.25">
      <c r="G82" s="4"/>
      <c r="K82" s="4"/>
      <c r="L82" s="4"/>
      <c r="M82" s="4"/>
      <c r="N82" s="4"/>
      <c r="O82" s="4"/>
      <c r="P82" s="4"/>
    </row>
    <row r="83" spans="7:16" x14ac:dyDescent="0.25">
      <c r="G83" s="4"/>
      <c r="K83" s="4"/>
      <c r="L83" s="4"/>
      <c r="M83" s="4"/>
      <c r="N83" s="4"/>
      <c r="O83" s="4"/>
      <c r="P83" s="4"/>
    </row>
    <row r="84" spans="7:16" x14ac:dyDescent="0.25">
      <c r="G84" s="4"/>
      <c r="K84" s="4"/>
      <c r="L84" s="4"/>
      <c r="M84" s="4"/>
      <c r="N84" s="4"/>
      <c r="O84" s="4"/>
      <c r="P84" s="4"/>
    </row>
    <row r="85" spans="7:16" ht="15" customHeight="1" x14ac:dyDescent="0.25">
      <c r="G85" s="4"/>
      <c r="K85" s="4"/>
      <c r="L85" s="4"/>
      <c r="M85" s="4"/>
      <c r="N85" s="4"/>
      <c r="O85" s="4"/>
      <c r="P85" s="4"/>
    </row>
    <row r="86" spans="7:16" x14ac:dyDescent="0.25">
      <c r="G86" s="4"/>
      <c r="K86" s="4"/>
      <c r="L86" s="4"/>
      <c r="M86" s="4"/>
      <c r="N86" s="4"/>
      <c r="O86" s="4"/>
      <c r="P86" s="4"/>
    </row>
    <row r="87" spans="7:16" x14ac:dyDescent="0.25">
      <c r="G87" s="4"/>
      <c r="K87" s="4"/>
      <c r="L87" s="4"/>
      <c r="M87" s="4"/>
      <c r="N87" s="4"/>
      <c r="O87" s="4"/>
      <c r="P87" s="4"/>
    </row>
    <row r="88" spans="7:16" x14ac:dyDescent="0.25">
      <c r="G88" s="4"/>
      <c r="K88" s="4"/>
      <c r="L88" s="4"/>
      <c r="M88" s="4"/>
      <c r="N88" s="4"/>
      <c r="O88" s="4"/>
      <c r="P88" s="4"/>
    </row>
    <row r="89" spans="7:16" x14ac:dyDescent="0.25">
      <c r="G89" s="4"/>
      <c r="K89" s="4"/>
      <c r="L89" s="4"/>
      <c r="M89" s="4"/>
      <c r="N89" s="4"/>
      <c r="O89" s="4"/>
      <c r="P89" s="4"/>
    </row>
    <row r="90" spans="7:16" x14ac:dyDescent="0.25">
      <c r="G90" s="4"/>
      <c r="K90" s="4"/>
      <c r="L90" s="4"/>
      <c r="M90" s="4"/>
      <c r="N90" s="4"/>
      <c r="O90" s="4"/>
      <c r="P90" s="4"/>
    </row>
    <row r="91" spans="7:16" x14ac:dyDescent="0.25">
      <c r="G91" s="4"/>
      <c r="K91" s="4"/>
      <c r="L91" s="4"/>
      <c r="M91" s="4"/>
      <c r="N91" s="4"/>
      <c r="O91" s="4"/>
      <c r="P91" s="4"/>
    </row>
    <row r="92" spans="7:16" x14ac:dyDescent="0.25">
      <c r="G92" s="4"/>
      <c r="K92" s="4"/>
      <c r="L92" s="4"/>
      <c r="M92" s="4"/>
      <c r="N92" s="4"/>
      <c r="O92" s="4"/>
      <c r="P92" s="4"/>
    </row>
    <row r="93" spans="7:16" x14ac:dyDescent="0.25">
      <c r="G93" s="4"/>
      <c r="K93" s="4"/>
      <c r="L93" s="4"/>
      <c r="M93" s="4"/>
      <c r="N93" s="4"/>
      <c r="O93" s="4"/>
      <c r="P93" s="4"/>
    </row>
    <row r="94" spans="7:16" x14ac:dyDescent="0.25">
      <c r="G94" s="4"/>
      <c r="K94" s="4"/>
      <c r="L94" s="4"/>
      <c r="M94" s="4"/>
      <c r="N94" s="4"/>
      <c r="O94" s="4"/>
      <c r="P94" s="4"/>
    </row>
    <row r="95" spans="7:16" x14ac:dyDescent="0.25">
      <c r="G95" s="4"/>
      <c r="K95" s="4"/>
      <c r="L95" s="4"/>
      <c r="M95" s="4"/>
      <c r="N95" s="4"/>
      <c r="O95" s="4"/>
      <c r="P95" s="4"/>
    </row>
    <row r="96" spans="7:16" x14ac:dyDescent="0.25">
      <c r="G96" s="4"/>
      <c r="K96" s="4"/>
      <c r="L96" s="4"/>
      <c r="M96" s="4"/>
      <c r="N96" s="4"/>
      <c r="O96" s="4"/>
      <c r="P96" s="4"/>
    </row>
    <row r="97" spans="7:16" x14ac:dyDescent="0.25">
      <c r="G97" s="4"/>
      <c r="K97" s="4"/>
      <c r="L97" s="4"/>
      <c r="M97" s="4"/>
      <c r="N97" s="4"/>
      <c r="O97" s="4"/>
      <c r="P97" s="4"/>
    </row>
    <row r="98" spans="7:16" x14ac:dyDescent="0.25">
      <c r="G98" s="4"/>
      <c r="K98" s="4"/>
      <c r="L98" s="4"/>
      <c r="M98" s="4"/>
      <c r="N98" s="4"/>
      <c r="O98" s="4"/>
      <c r="P98" s="4"/>
    </row>
    <row r="99" spans="7:16" x14ac:dyDescent="0.25">
      <c r="G99" s="4"/>
      <c r="K99" s="4"/>
      <c r="L99" s="4"/>
      <c r="M99" s="4"/>
      <c r="N99" s="4"/>
      <c r="O99" s="4"/>
      <c r="P99" s="4"/>
    </row>
    <row r="100" spans="7:16" x14ac:dyDescent="0.25">
      <c r="G100" s="4"/>
      <c r="K100" s="4"/>
      <c r="L100" s="4"/>
      <c r="M100" s="4"/>
      <c r="N100" s="4"/>
      <c r="O100" s="4"/>
      <c r="P100" s="4"/>
    </row>
    <row r="101" spans="7:16" x14ac:dyDescent="0.25">
      <c r="G101" s="4"/>
      <c r="K101" s="4"/>
      <c r="L101" s="4"/>
      <c r="M101" s="4"/>
      <c r="N101" s="4"/>
      <c r="O101" s="4"/>
      <c r="P101" s="4"/>
    </row>
    <row r="102" spans="7:16" x14ac:dyDescent="0.25">
      <c r="G102" s="4"/>
      <c r="K102" s="4"/>
      <c r="L102" s="4"/>
      <c r="M102" s="4"/>
      <c r="N102" s="4"/>
      <c r="O102" s="4"/>
      <c r="P102" s="4"/>
    </row>
    <row r="103" spans="7:16" x14ac:dyDescent="0.25">
      <c r="G103" s="4"/>
      <c r="K103" s="4"/>
      <c r="L103" s="4"/>
      <c r="M103" s="4"/>
      <c r="N103" s="4"/>
      <c r="O103" s="4"/>
      <c r="P103" s="4"/>
    </row>
    <row r="104" spans="7:16" x14ac:dyDescent="0.25">
      <c r="G104" s="4"/>
      <c r="K104" s="4"/>
      <c r="L104" s="4"/>
      <c r="M104" s="4"/>
      <c r="N104" s="4"/>
      <c r="O104" s="4"/>
      <c r="P104" s="4"/>
    </row>
    <row r="105" spans="7:16" x14ac:dyDescent="0.25">
      <c r="G105" s="4"/>
      <c r="K105" s="4"/>
      <c r="L105" s="4"/>
      <c r="M105" s="4"/>
      <c r="N105" s="4"/>
      <c r="O105" s="4"/>
      <c r="P105" s="4"/>
    </row>
    <row r="106" spans="7:16" x14ac:dyDescent="0.25">
      <c r="G106" s="4"/>
      <c r="K106" s="4"/>
      <c r="L106" s="4"/>
      <c r="M106" s="4"/>
      <c r="N106" s="4"/>
      <c r="O106" s="4"/>
      <c r="P106" s="4"/>
    </row>
    <row r="107" spans="7:16" x14ac:dyDescent="0.25">
      <c r="G107" s="4"/>
      <c r="K107" s="4"/>
      <c r="L107" s="4"/>
      <c r="M107" s="4"/>
      <c r="N107" s="4"/>
      <c r="O107" s="4"/>
      <c r="P107" s="4"/>
    </row>
    <row r="108" spans="7:16" x14ac:dyDescent="0.25">
      <c r="G108" s="4"/>
      <c r="K108" s="4"/>
      <c r="L108" s="4"/>
      <c r="M108" s="4"/>
      <c r="N108" s="4"/>
      <c r="O108" s="4"/>
      <c r="P108" s="4"/>
    </row>
    <row r="109" spans="7:16" x14ac:dyDescent="0.25">
      <c r="G109" s="4"/>
      <c r="K109" s="4"/>
      <c r="L109" s="4"/>
      <c r="M109" s="4"/>
      <c r="N109" s="4"/>
      <c r="O109" s="4"/>
      <c r="P109" s="4"/>
    </row>
    <row r="110" spans="7:16" x14ac:dyDescent="0.25">
      <c r="G110" s="4"/>
      <c r="K110" s="4"/>
      <c r="L110" s="4"/>
      <c r="M110" s="4"/>
      <c r="N110" s="4"/>
      <c r="O110" s="4"/>
      <c r="P110" s="4"/>
    </row>
    <row r="111" spans="7:16" x14ac:dyDescent="0.25">
      <c r="G111" s="4"/>
      <c r="K111" s="4"/>
      <c r="L111" s="4"/>
      <c r="M111" s="4"/>
      <c r="N111" s="4"/>
      <c r="O111" s="4"/>
      <c r="P111" s="4"/>
    </row>
    <row r="112" spans="7:16" x14ac:dyDescent="0.25">
      <c r="G112" s="4"/>
      <c r="K112" s="4"/>
      <c r="L112" s="4"/>
      <c r="M112" s="4"/>
      <c r="N112" s="4"/>
      <c r="O112" s="4"/>
      <c r="P112" s="4"/>
    </row>
    <row r="113" spans="7:16" x14ac:dyDescent="0.25">
      <c r="G113" s="4"/>
      <c r="K113" s="4"/>
      <c r="L113" s="4"/>
      <c r="M113" s="4"/>
      <c r="N113" s="4"/>
      <c r="O113" s="4"/>
      <c r="P113" s="4"/>
    </row>
    <row r="114" spans="7:16" x14ac:dyDescent="0.25">
      <c r="G114" s="4"/>
      <c r="K114" s="4"/>
      <c r="L114" s="4"/>
      <c r="M114" s="4"/>
      <c r="N114" s="4"/>
      <c r="O114" s="4"/>
      <c r="P114" s="4"/>
    </row>
    <row r="115" spans="7:16" x14ac:dyDescent="0.25">
      <c r="G115" s="4"/>
      <c r="K115" s="4"/>
      <c r="L115" s="4"/>
      <c r="M115" s="4"/>
      <c r="N115" s="4"/>
      <c r="O115" s="4"/>
      <c r="P115" s="4"/>
    </row>
    <row r="116" spans="7:16" ht="21.75" customHeight="1" x14ac:dyDescent="0.25">
      <c r="G116" s="4"/>
      <c r="K116" s="4"/>
      <c r="L116" s="4"/>
      <c r="M116" s="4"/>
      <c r="N116" s="4"/>
      <c r="O116" s="4"/>
      <c r="P116" s="4"/>
    </row>
    <row r="117" spans="7:16" x14ac:dyDescent="0.25">
      <c r="G117" s="4"/>
      <c r="K117" s="4"/>
      <c r="L117" s="4"/>
      <c r="M117" s="4"/>
      <c r="N117" s="4"/>
      <c r="O117" s="4"/>
      <c r="P117" s="4"/>
    </row>
    <row r="118" spans="7:16" x14ac:dyDescent="0.25">
      <c r="G118" s="4"/>
      <c r="K118" s="4"/>
      <c r="L118" s="4"/>
      <c r="M118" s="4"/>
      <c r="N118" s="4"/>
      <c r="O118" s="4"/>
      <c r="P118" s="4"/>
    </row>
    <row r="119" spans="7:16" x14ac:dyDescent="0.25">
      <c r="G119" s="4"/>
      <c r="K119" s="4"/>
      <c r="L119" s="4"/>
      <c r="M119" s="4"/>
      <c r="N119" s="4"/>
      <c r="O119" s="4"/>
      <c r="P119" s="4"/>
    </row>
    <row r="120" spans="7:16" x14ac:dyDescent="0.25">
      <c r="G120" s="4"/>
      <c r="K120" s="4"/>
      <c r="L120" s="4"/>
      <c r="M120" s="4"/>
      <c r="N120" s="4"/>
      <c r="O120" s="4"/>
      <c r="P120" s="4"/>
    </row>
    <row r="121" spans="7:16" x14ac:dyDescent="0.25">
      <c r="G121" s="4"/>
      <c r="K121" s="4"/>
      <c r="L121" s="4"/>
      <c r="M121" s="4"/>
      <c r="N121" s="4"/>
      <c r="O121" s="4"/>
      <c r="P121" s="4"/>
    </row>
    <row r="122" spans="7:16" x14ac:dyDescent="0.25">
      <c r="G122" s="4"/>
      <c r="K122" s="4"/>
      <c r="L122" s="4"/>
      <c r="M122" s="4"/>
      <c r="N122" s="4"/>
      <c r="O122" s="4"/>
      <c r="P122" s="4"/>
    </row>
    <row r="123" spans="7:16" x14ac:dyDescent="0.25">
      <c r="G123" s="4"/>
      <c r="K123" s="4"/>
      <c r="L123" s="4"/>
      <c r="M123" s="4"/>
      <c r="N123" s="4"/>
      <c r="O123" s="4"/>
      <c r="P123" s="4"/>
    </row>
    <row r="124" spans="7:16" x14ac:dyDescent="0.25">
      <c r="G124" s="4"/>
      <c r="K124" s="4"/>
      <c r="L124" s="4"/>
      <c r="M124" s="4"/>
      <c r="N124" s="4"/>
      <c r="O124" s="4"/>
      <c r="P124" s="4"/>
    </row>
    <row r="125" spans="7:16" x14ac:dyDescent="0.25">
      <c r="G125" s="4"/>
      <c r="K125" s="4"/>
      <c r="L125" s="4"/>
      <c r="M125" s="4"/>
      <c r="N125" s="4"/>
      <c r="O125" s="4"/>
      <c r="P125" s="4"/>
    </row>
    <row r="126" spans="7:16" x14ac:dyDescent="0.25">
      <c r="G126" s="4"/>
      <c r="K126" s="4"/>
      <c r="L126" s="4"/>
      <c r="M126" s="4"/>
      <c r="N126" s="4"/>
      <c r="O126" s="4"/>
      <c r="P126" s="4"/>
    </row>
    <row r="127" spans="7:16" x14ac:dyDescent="0.25">
      <c r="G127" s="4"/>
      <c r="K127" s="4"/>
      <c r="L127" s="4"/>
      <c r="M127" s="4"/>
      <c r="N127" s="4"/>
      <c r="O127" s="4"/>
      <c r="P127" s="4"/>
    </row>
    <row r="128" spans="7:16" x14ac:dyDescent="0.25">
      <c r="G128" s="4"/>
      <c r="K128" s="4"/>
      <c r="L128" s="4"/>
      <c r="M128" s="4"/>
      <c r="N128" s="4"/>
      <c r="O128" s="4"/>
      <c r="P128" s="4"/>
    </row>
    <row r="129" spans="7:16" x14ac:dyDescent="0.25">
      <c r="G129" s="4"/>
      <c r="K129" s="4"/>
      <c r="L129" s="4"/>
      <c r="M129" s="4"/>
      <c r="N129" s="4"/>
      <c r="O129" s="4"/>
      <c r="P129" s="4"/>
    </row>
    <row r="130" spans="7:16" x14ac:dyDescent="0.25">
      <c r="G130" s="4"/>
      <c r="K130" s="4"/>
      <c r="L130" s="4"/>
      <c r="M130" s="4"/>
      <c r="N130" s="4"/>
      <c r="O130" s="4"/>
      <c r="P130" s="4"/>
    </row>
    <row r="131" spans="7:16" x14ac:dyDescent="0.25">
      <c r="G131" s="4"/>
      <c r="K131" s="4"/>
      <c r="L131" s="4"/>
      <c r="M131" s="4"/>
      <c r="N131" s="4"/>
      <c r="O131" s="4"/>
      <c r="P131" s="4"/>
    </row>
    <row r="132" spans="7:16" x14ac:dyDescent="0.25">
      <c r="G132" s="4"/>
      <c r="K132" s="4"/>
      <c r="L132" s="4"/>
      <c r="M132" s="4"/>
      <c r="N132" s="4"/>
      <c r="O132" s="4"/>
      <c r="P132" s="4"/>
    </row>
    <row r="133" spans="7:16" ht="15" customHeight="1" x14ac:dyDescent="0.25">
      <c r="G133" s="4"/>
      <c r="K133" s="4"/>
      <c r="L133" s="4"/>
      <c r="M133" s="4"/>
      <c r="N133" s="4"/>
      <c r="O133" s="4"/>
      <c r="P133" s="4"/>
    </row>
    <row r="134" spans="7:16" x14ac:dyDescent="0.25">
      <c r="G134" s="4"/>
      <c r="K134" s="4"/>
      <c r="L134" s="4"/>
      <c r="M134" s="4"/>
      <c r="N134" s="4"/>
      <c r="O134" s="4"/>
      <c r="P134" s="4"/>
    </row>
    <row r="135" spans="7:16" x14ac:dyDescent="0.25">
      <c r="G135" s="4"/>
      <c r="K135" s="4"/>
      <c r="L135" s="4"/>
      <c r="M135" s="4"/>
      <c r="N135" s="4"/>
      <c r="O135" s="4"/>
      <c r="P135" s="4"/>
    </row>
    <row r="136" spans="7:16" x14ac:dyDescent="0.25">
      <c r="G136" s="4"/>
      <c r="K136" s="4"/>
      <c r="L136" s="4"/>
      <c r="M136" s="4"/>
      <c r="N136" s="4"/>
      <c r="O136" s="4"/>
      <c r="P136" s="4"/>
    </row>
    <row r="137" spans="7:16" x14ac:dyDescent="0.25">
      <c r="G137" s="4"/>
      <c r="K137" s="4"/>
      <c r="L137" s="4"/>
      <c r="M137" s="4"/>
      <c r="N137" s="4"/>
      <c r="O137" s="4"/>
      <c r="P137" s="4"/>
    </row>
    <row r="138" spans="7:16" x14ac:dyDescent="0.25">
      <c r="G138" s="4"/>
      <c r="K138" s="4"/>
      <c r="L138" s="4"/>
      <c r="M138" s="4"/>
      <c r="N138" s="4"/>
      <c r="O138" s="4"/>
      <c r="P138" s="4"/>
    </row>
    <row r="139" spans="7:16" x14ac:dyDescent="0.25">
      <c r="G139" s="4"/>
      <c r="K139" s="4"/>
      <c r="L139" s="4"/>
      <c r="M139" s="4"/>
      <c r="N139" s="4"/>
      <c r="O139" s="4"/>
      <c r="P139" s="4"/>
    </row>
    <row r="140" spans="7:16" x14ac:dyDescent="0.25">
      <c r="G140" s="4"/>
      <c r="K140" s="4"/>
      <c r="L140" s="4"/>
      <c r="M140" s="4"/>
      <c r="N140" s="4"/>
      <c r="O140" s="4"/>
      <c r="P140" s="4"/>
    </row>
    <row r="141" spans="7:16" x14ac:dyDescent="0.25">
      <c r="G141" s="4"/>
      <c r="K141" s="4"/>
      <c r="L141" s="4"/>
      <c r="M141" s="4"/>
      <c r="N141" s="4"/>
      <c r="O141" s="4"/>
      <c r="P141" s="4"/>
    </row>
    <row r="142" spans="7:16" x14ac:dyDescent="0.25">
      <c r="G142" s="4"/>
      <c r="K142" s="4"/>
      <c r="L142" s="4"/>
      <c r="M142" s="4"/>
      <c r="N142" s="4"/>
      <c r="O142" s="4"/>
      <c r="P142" s="4"/>
    </row>
    <row r="143" spans="7:16" x14ac:dyDescent="0.25">
      <c r="G143" s="4"/>
      <c r="K143" s="4"/>
      <c r="L143" s="4"/>
      <c r="M143" s="4"/>
      <c r="N143" s="4"/>
      <c r="O143" s="4"/>
      <c r="P143" s="4"/>
    </row>
    <row r="144" spans="7:16" x14ac:dyDescent="0.25">
      <c r="G144" s="4"/>
      <c r="K144" s="4"/>
      <c r="L144" s="4"/>
      <c r="M144" s="4"/>
      <c r="N144" s="4"/>
      <c r="O144" s="4"/>
      <c r="P144" s="4"/>
    </row>
    <row r="145" spans="7:16" x14ac:dyDescent="0.25">
      <c r="G145" s="4"/>
      <c r="K145" s="4"/>
      <c r="L145" s="4"/>
      <c r="M145" s="4"/>
      <c r="N145" s="4"/>
      <c r="O145" s="4"/>
      <c r="P145" s="4"/>
    </row>
    <row r="146" spans="7:16" x14ac:dyDescent="0.25">
      <c r="G146" s="4"/>
      <c r="K146" s="4"/>
      <c r="L146" s="4"/>
      <c r="M146" s="4"/>
      <c r="N146" s="4"/>
      <c r="O146" s="4"/>
      <c r="P146" s="4"/>
    </row>
    <row r="147" spans="7:16" ht="21.75" customHeight="1" x14ac:dyDescent="0.25">
      <c r="G147" s="4"/>
      <c r="K147" s="4"/>
      <c r="L147" s="4"/>
      <c r="M147" s="4"/>
      <c r="N147" s="4"/>
      <c r="O147" s="4"/>
      <c r="P147" s="4"/>
    </row>
    <row r="148" spans="7:16" x14ac:dyDescent="0.25">
      <c r="G148" s="4"/>
      <c r="K148" s="4"/>
      <c r="L148" s="4"/>
      <c r="M148" s="4"/>
      <c r="N148" s="4"/>
      <c r="O148" s="4"/>
      <c r="P148" s="4"/>
    </row>
    <row r="149" spans="7:16" x14ac:dyDescent="0.25">
      <c r="G149" s="4"/>
      <c r="K149" s="4"/>
      <c r="L149" s="4"/>
      <c r="M149" s="4"/>
      <c r="N149" s="4"/>
      <c r="O149" s="4"/>
      <c r="P149" s="4"/>
    </row>
    <row r="150" spans="7:16" x14ac:dyDescent="0.25">
      <c r="G150" s="4"/>
      <c r="K150" s="4"/>
      <c r="L150" s="4"/>
      <c r="M150" s="4"/>
      <c r="N150" s="4"/>
      <c r="O150" s="4"/>
      <c r="P150" s="4"/>
    </row>
    <row r="151" spans="7:16" x14ac:dyDescent="0.25">
      <c r="G151" s="4"/>
      <c r="K151" s="4"/>
      <c r="L151" s="4"/>
      <c r="M151" s="4"/>
      <c r="N151" s="4"/>
      <c r="O151" s="4"/>
      <c r="P151" s="4"/>
    </row>
    <row r="152" spans="7:16" x14ac:dyDescent="0.25">
      <c r="G152" s="4"/>
      <c r="K152" s="4"/>
      <c r="L152" s="4"/>
      <c r="M152" s="4"/>
      <c r="N152" s="4"/>
      <c r="O152" s="4"/>
      <c r="P152" s="4"/>
    </row>
    <row r="153" spans="7:16" x14ac:dyDescent="0.25">
      <c r="G153" s="4"/>
      <c r="K153" s="4"/>
      <c r="L153" s="4"/>
      <c r="M153" s="4"/>
      <c r="N153" s="4"/>
      <c r="O153" s="4"/>
      <c r="P153" s="4"/>
    </row>
    <row r="154" spans="7:16" x14ac:dyDescent="0.25">
      <c r="G154" s="4"/>
      <c r="K154" s="4"/>
      <c r="L154" s="4"/>
      <c r="M154" s="4"/>
      <c r="N154" s="4"/>
      <c r="O154" s="4"/>
      <c r="P154" s="4"/>
    </row>
    <row r="155" spans="7:16" x14ac:dyDescent="0.25">
      <c r="G155" s="4"/>
      <c r="K155" s="4"/>
      <c r="L155" s="4"/>
      <c r="M155" s="4"/>
      <c r="N155" s="4"/>
      <c r="O155" s="4"/>
      <c r="P155" s="4"/>
    </row>
    <row r="156" spans="7:16" x14ac:dyDescent="0.25">
      <c r="G156" s="4"/>
      <c r="K156" s="4"/>
      <c r="L156" s="4"/>
      <c r="M156" s="4"/>
      <c r="N156" s="4"/>
      <c r="O156" s="4"/>
      <c r="P156" s="4"/>
    </row>
    <row r="157" spans="7:16" x14ac:dyDescent="0.25">
      <c r="G157" s="4"/>
      <c r="K157" s="4"/>
      <c r="L157" s="4"/>
      <c r="M157" s="4"/>
      <c r="N157" s="4"/>
      <c r="O157" s="4"/>
      <c r="P157" s="4"/>
    </row>
    <row r="158" spans="7:16" x14ac:dyDescent="0.25">
      <c r="G158" s="4"/>
      <c r="K158" s="4"/>
      <c r="L158" s="4"/>
      <c r="M158" s="4"/>
      <c r="N158" s="4"/>
      <c r="O158" s="4"/>
      <c r="P158" s="4"/>
    </row>
    <row r="159" spans="7:16" x14ac:dyDescent="0.25">
      <c r="G159" s="4"/>
      <c r="K159" s="4"/>
      <c r="L159" s="4"/>
      <c r="M159" s="4"/>
      <c r="N159" s="4"/>
      <c r="O159" s="4"/>
      <c r="P159" s="4"/>
    </row>
    <row r="160" spans="7:16" x14ac:dyDescent="0.25">
      <c r="G160" s="4"/>
      <c r="K160" s="4"/>
      <c r="L160" s="4"/>
      <c r="M160" s="4"/>
      <c r="N160" s="4"/>
      <c r="O160" s="4"/>
      <c r="P160" s="4"/>
    </row>
    <row r="161" spans="7:16" x14ac:dyDescent="0.25">
      <c r="G161" s="4"/>
      <c r="K161" s="4"/>
      <c r="L161" s="4"/>
      <c r="M161" s="4"/>
      <c r="N161" s="4"/>
      <c r="O161" s="4"/>
      <c r="P161" s="4"/>
    </row>
    <row r="162" spans="7:16" x14ac:dyDescent="0.25">
      <c r="G162" s="4"/>
      <c r="K162" s="4"/>
      <c r="L162" s="4"/>
      <c r="M162" s="4"/>
      <c r="N162" s="4"/>
      <c r="O162" s="4"/>
      <c r="P162" s="4"/>
    </row>
    <row r="163" spans="7:16" x14ac:dyDescent="0.25">
      <c r="G163" s="4"/>
      <c r="K163" s="4"/>
      <c r="L163" s="4"/>
      <c r="M163" s="4"/>
      <c r="N163" s="4"/>
      <c r="O163" s="4"/>
      <c r="P163" s="4"/>
    </row>
    <row r="164" spans="7:16" x14ac:dyDescent="0.25">
      <c r="G164" s="4"/>
      <c r="K164" s="4"/>
      <c r="L164" s="4"/>
      <c r="M164" s="4"/>
      <c r="N164" s="4"/>
      <c r="O164" s="4"/>
      <c r="P164" s="4"/>
    </row>
    <row r="165" spans="7:16" x14ac:dyDescent="0.25">
      <c r="G165" s="4"/>
      <c r="K165" s="4"/>
      <c r="L165" s="4"/>
      <c r="M165" s="4"/>
      <c r="N165" s="4"/>
      <c r="O165" s="4"/>
      <c r="P165" s="4"/>
    </row>
    <row r="166" spans="7:16" x14ac:dyDescent="0.25">
      <c r="G166" s="4"/>
      <c r="K166" s="4"/>
      <c r="L166" s="4"/>
      <c r="M166" s="4"/>
      <c r="N166" s="4"/>
      <c r="O166" s="4"/>
      <c r="P166" s="4"/>
    </row>
    <row r="167" spans="7:16" x14ac:dyDescent="0.25">
      <c r="G167" s="4"/>
      <c r="K167" s="4"/>
      <c r="L167" s="4"/>
      <c r="M167" s="4"/>
      <c r="N167" s="4"/>
      <c r="O167" s="4"/>
      <c r="P167" s="4"/>
    </row>
    <row r="168" spans="7:16" x14ac:dyDescent="0.25">
      <c r="G168" s="4"/>
      <c r="K168" s="4"/>
      <c r="L168" s="4"/>
      <c r="M168" s="4"/>
      <c r="N168" s="4"/>
      <c r="O168" s="4"/>
      <c r="P168" s="4"/>
    </row>
    <row r="169" spans="7:16" x14ac:dyDescent="0.25">
      <c r="G169" s="4"/>
      <c r="K169" s="4"/>
      <c r="L169" s="4"/>
      <c r="M169" s="4"/>
      <c r="N169" s="4"/>
      <c r="O169" s="4"/>
      <c r="P169" s="4"/>
    </row>
    <row r="170" spans="7:16" x14ac:dyDescent="0.25">
      <c r="G170" s="4"/>
      <c r="K170" s="4"/>
      <c r="L170" s="4"/>
      <c r="M170" s="4"/>
      <c r="N170" s="4"/>
      <c r="O170" s="4"/>
      <c r="P170" s="4"/>
    </row>
    <row r="171" spans="7:16" x14ac:dyDescent="0.25">
      <c r="G171" s="4"/>
      <c r="K171" s="4"/>
      <c r="L171" s="4"/>
      <c r="M171" s="4"/>
      <c r="N171" s="4"/>
      <c r="O171" s="4"/>
      <c r="P171" s="4"/>
    </row>
    <row r="172" spans="7:16" x14ac:dyDescent="0.25">
      <c r="G172" s="4"/>
      <c r="K172" s="4"/>
      <c r="L172" s="4"/>
      <c r="M172" s="4"/>
      <c r="N172" s="4"/>
      <c r="O172" s="4"/>
      <c r="P172" s="4"/>
    </row>
    <row r="173" spans="7:16" x14ac:dyDescent="0.25">
      <c r="G173" s="4"/>
      <c r="K173" s="4"/>
      <c r="L173" s="4"/>
      <c r="M173" s="4"/>
      <c r="N173" s="4"/>
      <c r="O173" s="4"/>
      <c r="P173" s="4"/>
    </row>
    <row r="174" spans="7:16" x14ac:dyDescent="0.25">
      <c r="G174" s="4"/>
      <c r="K174" s="4"/>
      <c r="L174" s="4"/>
      <c r="M174" s="4"/>
      <c r="N174" s="4"/>
      <c r="O174" s="4"/>
      <c r="P174" s="4"/>
    </row>
    <row r="175" spans="7:16" x14ac:dyDescent="0.25">
      <c r="G175" s="4"/>
      <c r="K175" s="4"/>
      <c r="L175" s="4"/>
      <c r="M175" s="4"/>
      <c r="N175" s="4"/>
      <c r="O175" s="4"/>
      <c r="P175" s="4"/>
    </row>
    <row r="176" spans="7:16" x14ac:dyDescent="0.25">
      <c r="G176" s="4"/>
      <c r="K176" s="4"/>
      <c r="L176" s="4"/>
      <c r="M176" s="4"/>
      <c r="N176" s="4"/>
      <c r="O176" s="4"/>
      <c r="P176" s="4"/>
    </row>
    <row r="177" spans="7:16" x14ac:dyDescent="0.25">
      <c r="G177" s="4"/>
      <c r="K177" s="4"/>
      <c r="L177" s="4"/>
      <c r="M177" s="4"/>
      <c r="N177" s="4"/>
      <c r="O177" s="4"/>
      <c r="P177" s="4"/>
    </row>
    <row r="178" spans="7:16" x14ac:dyDescent="0.25">
      <c r="G178" s="4"/>
      <c r="K178" s="4"/>
      <c r="L178" s="4"/>
      <c r="M178" s="4"/>
      <c r="N178" s="4"/>
      <c r="O178" s="4"/>
      <c r="P178" s="4"/>
    </row>
    <row r="179" spans="7:16" x14ac:dyDescent="0.25">
      <c r="G179" s="4"/>
      <c r="K179" s="4"/>
      <c r="L179" s="4"/>
      <c r="M179" s="4"/>
      <c r="N179" s="4"/>
      <c r="O179" s="4"/>
      <c r="P179" s="4"/>
    </row>
    <row r="180" spans="7:16" x14ac:dyDescent="0.25">
      <c r="G180" s="4"/>
      <c r="K180" s="4"/>
      <c r="L180" s="4"/>
      <c r="M180" s="4"/>
      <c r="N180" s="4"/>
      <c r="O180" s="4"/>
      <c r="P180" s="4"/>
    </row>
    <row r="181" spans="7:16" x14ac:dyDescent="0.25">
      <c r="G181" s="4"/>
      <c r="K181" s="4"/>
      <c r="L181" s="4"/>
      <c r="M181" s="4"/>
      <c r="N181" s="4"/>
      <c r="O181" s="4"/>
      <c r="P181" s="4"/>
    </row>
    <row r="182" spans="7:16" x14ac:dyDescent="0.25">
      <c r="G182" s="4"/>
      <c r="K182" s="4"/>
      <c r="L182" s="4"/>
      <c r="M182" s="4"/>
      <c r="N182" s="4"/>
      <c r="O182" s="4"/>
      <c r="P182" s="4"/>
    </row>
    <row r="183" spans="7:16" x14ac:dyDescent="0.25">
      <c r="G183" s="4"/>
      <c r="K183" s="4"/>
      <c r="L183" s="4"/>
      <c r="M183" s="4"/>
      <c r="N183" s="4"/>
      <c r="O183" s="4"/>
      <c r="P183" s="4"/>
    </row>
    <row r="184" spans="7:16" x14ac:dyDescent="0.25">
      <c r="G184" s="4"/>
      <c r="K184" s="4"/>
      <c r="L184" s="4"/>
      <c r="M184" s="4"/>
      <c r="N184" s="4"/>
      <c r="O184" s="4"/>
      <c r="P184" s="4"/>
    </row>
    <row r="185" spans="7:16" x14ac:dyDescent="0.25">
      <c r="G185" s="4"/>
      <c r="K185" s="4"/>
      <c r="L185" s="4"/>
      <c r="M185" s="4"/>
      <c r="N185" s="4"/>
      <c r="O185" s="4"/>
      <c r="P185" s="4"/>
    </row>
    <row r="186" spans="7:16" x14ac:dyDescent="0.25">
      <c r="G186" s="4"/>
      <c r="K186" s="4"/>
      <c r="L186" s="4"/>
      <c r="M186" s="4"/>
      <c r="N186" s="4"/>
      <c r="O186" s="4"/>
      <c r="P186" s="4"/>
    </row>
    <row r="187" spans="7:16" x14ac:dyDescent="0.25">
      <c r="G187" s="4"/>
      <c r="K187" s="4"/>
      <c r="L187" s="4"/>
      <c r="M187" s="4"/>
      <c r="N187" s="4"/>
      <c r="O187" s="4"/>
      <c r="P187" s="4"/>
    </row>
    <row r="188" spans="7:16" x14ac:dyDescent="0.25">
      <c r="G188" s="4"/>
      <c r="K188" s="4"/>
      <c r="L188" s="4"/>
      <c r="M188" s="4"/>
      <c r="N188" s="4"/>
      <c r="O188" s="4"/>
      <c r="P188" s="4"/>
    </row>
    <row r="189" spans="7:16" x14ac:dyDescent="0.25">
      <c r="G189" s="4"/>
      <c r="K189" s="4"/>
      <c r="L189" s="4"/>
      <c r="M189" s="4"/>
      <c r="N189" s="4"/>
      <c r="O189" s="4"/>
      <c r="P189" s="4"/>
    </row>
    <row r="190" spans="7:16" x14ac:dyDescent="0.25">
      <c r="G190" s="4"/>
      <c r="K190" s="4"/>
      <c r="L190" s="4"/>
      <c r="M190" s="4"/>
      <c r="N190" s="4"/>
      <c r="O190" s="4"/>
      <c r="P190" s="4"/>
    </row>
    <row r="191" spans="7:16" x14ac:dyDescent="0.25">
      <c r="G191" s="4"/>
      <c r="K191" s="4"/>
      <c r="L191" s="4"/>
      <c r="M191" s="4"/>
      <c r="N191" s="4"/>
      <c r="O191" s="4"/>
      <c r="P191" s="4"/>
    </row>
    <row r="192" spans="7:16" x14ac:dyDescent="0.25">
      <c r="G192" s="4"/>
      <c r="K192" s="4"/>
      <c r="L192" s="4"/>
      <c r="M192" s="4"/>
      <c r="N192" s="4"/>
      <c r="O192" s="4"/>
      <c r="P192" s="4"/>
    </row>
    <row r="193" spans="7:16" x14ac:dyDescent="0.25">
      <c r="G193" s="4"/>
      <c r="K193" s="4"/>
      <c r="L193" s="4"/>
      <c r="M193" s="4"/>
      <c r="N193" s="4"/>
      <c r="O193" s="4"/>
      <c r="P193" s="4"/>
    </row>
    <row r="194" spans="7:16" x14ac:dyDescent="0.25">
      <c r="G194" s="4"/>
      <c r="K194" s="4"/>
      <c r="L194" s="4"/>
      <c r="M194" s="4"/>
      <c r="N194" s="4"/>
      <c r="O194" s="4"/>
      <c r="P194" s="4"/>
    </row>
    <row r="195" spans="7:16" x14ac:dyDescent="0.25">
      <c r="G195" s="4"/>
      <c r="K195" s="4"/>
      <c r="L195" s="4"/>
      <c r="M195" s="4"/>
      <c r="N195" s="4"/>
      <c r="O195" s="4"/>
      <c r="P195" s="4"/>
    </row>
    <row r="196" spans="7:16" x14ac:dyDescent="0.25">
      <c r="G196" s="4"/>
      <c r="K196" s="4"/>
      <c r="L196" s="4"/>
      <c r="M196" s="4"/>
      <c r="N196" s="4"/>
      <c r="O196" s="4"/>
      <c r="P196" s="4"/>
    </row>
    <row r="197" spans="7:16" x14ac:dyDescent="0.25">
      <c r="G197" s="4"/>
      <c r="K197" s="4"/>
      <c r="L197" s="4"/>
      <c r="M197" s="4"/>
      <c r="N197" s="4"/>
      <c r="O197" s="4"/>
      <c r="P197" s="4"/>
    </row>
    <row r="198" spans="7:16" x14ac:dyDescent="0.25">
      <c r="G198" s="4"/>
      <c r="K198" s="4"/>
      <c r="L198" s="4"/>
      <c r="M198" s="4"/>
      <c r="N198" s="4"/>
      <c r="O198" s="4"/>
      <c r="P198" s="4"/>
    </row>
    <row r="199" spans="7:16" x14ac:dyDescent="0.25">
      <c r="G199" s="4"/>
      <c r="K199" s="4"/>
      <c r="L199" s="4"/>
      <c r="M199" s="4"/>
      <c r="N199" s="4"/>
      <c r="O199" s="4"/>
      <c r="P199" s="4"/>
    </row>
    <row r="200" spans="7:16" x14ac:dyDescent="0.25">
      <c r="G200" s="4"/>
      <c r="K200" s="4"/>
      <c r="L200" s="4"/>
      <c r="M200" s="4"/>
      <c r="N200" s="4"/>
      <c r="O200" s="4"/>
      <c r="P200" s="4"/>
    </row>
    <row r="201" spans="7:16" x14ac:dyDescent="0.25">
      <c r="G201" s="4"/>
      <c r="K201" s="4"/>
      <c r="L201" s="4"/>
      <c r="M201" s="4"/>
      <c r="N201" s="4"/>
      <c r="O201" s="4"/>
      <c r="P201" s="4"/>
    </row>
    <row r="202" spans="7:16" x14ac:dyDescent="0.25">
      <c r="G202" s="4"/>
      <c r="K202" s="4"/>
      <c r="L202" s="4"/>
      <c r="M202" s="4"/>
      <c r="N202" s="4"/>
      <c r="O202" s="4"/>
      <c r="P202" s="4"/>
    </row>
    <row r="203" spans="7:16" x14ac:dyDescent="0.25">
      <c r="G203" s="4"/>
      <c r="K203" s="4"/>
      <c r="L203" s="4"/>
      <c r="M203" s="4"/>
      <c r="N203" s="4"/>
      <c r="O203" s="4"/>
      <c r="P203" s="4"/>
    </row>
    <row r="204" spans="7:16" x14ac:dyDescent="0.25">
      <c r="G204" s="4"/>
      <c r="K204" s="4"/>
      <c r="L204" s="4"/>
      <c r="M204" s="4"/>
      <c r="N204" s="4"/>
      <c r="O204" s="4"/>
      <c r="P204" s="4"/>
    </row>
    <row r="205" spans="7:16" x14ac:dyDescent="0.25">
      <c r="G205" s="4"/>
      <c r="K205" s="4"/>
      <c r="L205" s="4"/>
      <c r="M205" s="4"/>
      <c r="N205" s="4"/>
      <c r="O205" s="4"/>
      <c r="P205" s="4"/>
    </row>
    <row r="206" spans="7:16" x14ac:dyDescent="0.25">
      <c r="G206" s="4"/>
      <c r="K206" s="4"/>
      <c r="L206" s="4"/>
      <c r="M206" s="4"/>
      <c r="N206" s="4"/>
      <c r="O206" s="4"/>
      <c r="P206" s="4"/>
    </row>
    <row r="207" spans="7:16" x14ac:dyDescent="0.25">
      <c r="G207" s="4"/>
      <c r="K207" s="4"/>
      <c r="L207" s="4"/>
      <c r="M207" s="4"/>
      <c r="N207" s="4"/>
      <c r="O207" s="4"/>
      <c r="P207" s="4"/>
    </row>
    <row r="208" spans="7:16" x14ac:dyDescent="0.25">
      <c r="G208" s="4"/>
      <c r="K208" s="4"/>
      <c r="L208" s="4"/>
      <c r="M208" s="4"/>
      <c r="N208" s="4"/>
      <c r="O208" s="4"/>
      <c r="P208" s="4"/>
    </row>
    <row r="209" spans="7:16" x14ac:dyDescent="0.25">
      <c r="G209" s="4"/>
      <c r="K209" s="4"/>
      <c r="L209" s="4"/>
      <c r="M209" s="4"/>
      <c r="N209" s="4"/>
      <c r="O209" s="4"/>
      <c r="P209" s="4"/>
    </row>
    <row r="210" spans="7:16" x14ac:dyDescent="0.25">
      <c r="G210" s="4"/>
      <c r="K210" s="4"/>
      <c r="L210" s="4"/>
      <c r="M210" s="4"/>
      <c r="N210" s="4"/>
      <c r="O210" s="4"/>
      <c r="P210" s="4"/>
    </row>
    <row r="211" spans="7:16" x14ac:dyDescent="0.25">
      <c r="G211" s="4"/>
      <c r="K211" s="4"/>
      <c r="L211" s="4"/>
      <c r="M211" s="4"/>
      <c r="N211" s="4"/>
      <c r="O211" s="4"/>
      <c r="P211" s="4"/>
    </row>
    <row r="212" spans="7:16" x14ac:dyDescent="0.25">
      <c r="G212" s="4"/>
      <c r="K212" s="4"/>
      <c r="L212" s="4"/>
      <c r="M212" s="4"/>
      <c r="N212" s="4"/>
      <c r="O212" s="4"/>
      <c r="P212" s="4"/>
    </row>
    <row r="213" spans="7:16" x14ac:dyDescent="0.25">
      <c r="G213" s="4"/>
      <c r="K213" s="4"/>
      <c r="L213" s="4"/>
      <c r="M213" s="4"/>
      <c r="N213" s="4"/>
      <c r="O213" s="4"/>
      <c r="P213" s="4"/>
    </row>
    <row r="214" spans="7:16" x14ac:dyDescent="0.25">
      <c r="G214" s="4"/>
      <c r="K214" s="4"/>
      <c r="L214" s="4"/>
      <c r="M214" s="4"/>
      <c r="N214" s="4"/>
      <c r="O214" s="4"/>
      <c r="P214" s="4"/>
    </row>
    <row r="215" spans="7:16" x14ac:dyDescent="0.25">
      <c r="G215" s="4"/>
      <c r="K215" s="4"/>
      <c r="L215" s="4"/>
      <c r="M215" s="4"/>
      <c r="N215" s="4"/>
      <c r="O215" s="4"/>
      <c r="P215" s="4"/>
    </row>
    <row r="216" spans="7:16" x14ac:dyDescent="0.25">
      <c r="G216" s="4"/>
      <c r="K216" s="4"/>
      <c r="L216" s="4"/>
      <c r="M216" s="4"/>
      <c r="N216" s="4"/>
      <c r="O216" s="4"/>
      <c r="P216" s="4"/>
    </row>
    <row r="217" spans="7:16" x14ac:dyDescent="0.25">
      <c r="G217" s="4"/>
      <c r="K217" s="4"/>
      <c r="L217" s="4"/>
      <c r="M217" s="4"/>
      <c r="N217" s="4"/>
      <c r="O217" s="4"/>
      <c r="P217" s="4"/>
    </row>
    <row r="218" spans="7:16" x14ac:dyDescent="0.25">
      <c r="G218" s="4"/>
      <c r="K218" s="4"/>
      <c r="L218" s="4"/>
      <c r="M218" s="4"/>
      <c r="N218" s="4"/>
      <c r="O218" s="4"/>
      <c r="P218" s="4"/>
    </row>
    <row r="219" spans="7:16" x14ac:dyDescent="0.25">
      <c r="G219" s="4"/>
      <c r="K219" s="4"/>
      <c r="L219" s="4"/>
      <c r="M219" s="4"/>
      <c r="N219" s="4"/>
      <c r="O219" s="4"/>
      <c r="P219" s="4"/>
    </row>
    <row r="220" spans="7:16" x14ac:dyDescent="0.25">
      <c r="G220" s="4"/>
      <c r="K220" s="4"/>
      <c r="L220" s="4"/>
      <c r="M220" s="4"/>
      <c r="N220" s="4"/>
      <c r="O220" s="4"/>
      <c r="P220" s="4"/>
    </row>
    <row r="221" spans="7:16" x14ac:dyDescent="0.25">
      <c r="G221" s="4"/>
      <c r="K221" s="4"/>
      <c r="L221" s="4"/>
      <c r="M221" s="4"/>
      <c r="N221" s="4"/>
      <c r="O221" s="4"/>
      <c r="P221" s="4"/>
    </row>
    <row r="222" spans="7:16" x14ac:dyDescent="0.25">
      <c r="G222" s="4"/>
      <c r="K222" s="4"/>
      <c r="L222" s="4"/>
      <c r="M222" s="4"/>
      <c r="N222" s="4"/>
      <c r="O222" s="4"/>
      <c r="P222" s="4"/>
    </row>
    <row r="223" spans="7:16" x14ac:dyDescent="0.25">
      <c r="G223" s="4"/>
      <c r="K223" s="4"/>
      <c r="L223" s="4"/>
      <c r="M223" s="4"/>
      <c r="N223" s="4"/>
      <c r="O223" s="4"/>
      <c r="P223" s="4"/>
    </row>
    <row r="224" spans="7:16" x14ac:dyDescent="0.25">
      <c r="G224" s="4"/>
      <c r="K224" s="4"/>
      <c r="L224" s="4"/>
      <c r="M224" s="4"/>
      <c r="N224" s="4"/>
      <c r="O224" s="4"/>
      <c r="P224" s="4"/>
    </row>
    <row r="225" spans="7:16" x14ac:dyDescent="0.25">
      <c r="G225" s="4"/>
      <c r="K225" s="4"/>
      <c r="L225" s="4"/>
      <c r="M225" s="4"/>
      <c r="N225" s="4"/>
      <c r="O225" s="4"/>
      <c r="P225" s="4"/>
    </row>
    <row r="226" spans="7:16" x14ac:dyDescent="0.25">
      <c r="G226" s="4"/>
      <c r="K226" s="4"/>
      <c r="L226" s="4"/>
      <c r="M226" s="4"/>
      <c r="N226" s="4"/>
      <c r="O226" s="4"/>
      <c r="P226" s="4"/>
    </row>
    <row r="227" spans="7:16" x14ac:dyDescent="0.25">
      <c r="G227" s="4"/>
      <c r="K227" s="4"/>
      <c r="L227" s="4"/>
      <c r="M227" s="4"/>
      <c r="N227" s="4"/>
      <c r="O227" s="4"/>
      <c r="P227" s="4"/>
    </row>
    <row r="228" spans="7:16" x14ac:dyDescent="0.25">
      <c r="G228" s="4"/>
      <c r="K228" s="4"/>
      <c r="L228" s="4"/>
      <c r="M228" s="4"/>
      <c r="N228" s="4"/>
      <c r="O228" s="4"/>
      <c r="P228" s="4"/>
    </row>
    <row r="229" spans="7:16" x14ac:dyDescent="0.25">
      <c r="G229" s="4"/>
      <c r="K229" s="4"/>
      <c r="L229" s="4"/>
      <c r="M229" s="4"/>
      <c r="N229" s="4"/>
      <c r="O229" s="4"/>
      <c r="P229" s="4"/>
    </row>
    <row r="230" spans="7:16" x14ac:dyDescent="0.25">
      <c r="G230" s="4"/>
      <c r="K230" s="4"/>
      <c r="L230" s="4"/>
      <c r="M230" s="4"/>
      <c r="N230" s="4"/>
      <c r="O230" s="4"/>
      <c r="P230" s="4"/>
    </row>
    <row r="231" spans="7:16" x14ac:dyDescent="0.25">
      <c r="G231" s="4"/>
      <c r="K231" s="4"/>
      <c r="L231" s="4"/>
      <c r="M231" s="4"/>
      <c r="N231" s="4"/>
      <c r="O231" s="4"/>
      <c r="P231" s="4"/>
    </row>
    <row r="232" spans="7:16" x14ac:dyDescent="0.25">
      <c r="G232" s="4"/>
      <c r="K232" s="4"/>
      <c r="L232" s="4"/>
      <c r="M232" s="4"/>
      <c r="N232" s="4"/>
      <c r="O232" s="4"/>
      <c r="P232" s="4"/>
    </row>
    <row r="233" spans="7:16" x14ac:dyDescent="0.25">
      <c r="G233" s="4"/>
      <c r="K233" s="4"/>
      <c r="L233" s="4"/>
      <c r="M233" s="4"/>
      <c r="N233" s="4"/>
      <c r="O233" s="4"/>
      <c r="P233" s="4"/>
    </row>
    <row r="234" spans="7:16" x14ac:dyDescent="0.25">
      <c r="G234" s="4"/>
      <c r="K234" s="4"/>
      <c r="L234" s="4"/>
      <c r="M234" s="4"/>
      <c r="N234" s="4"/>
      <c r="O234" s="4"/>
      <c r="P234" s="4"/>
    </row>
    <row r="235" spans="7:16" x14ac:dyDescent="0.25">
      <c r="G235" s="4"/>
      <c r="K235" s="4"/>
      <c r="L235" s="4"/>
      <c r="M235" s="4"/>
      <c r="N235" s="4"/>
      <c r="O235" s="4"/>
      <c r="P235" s="4"/>
    </row>
    <row r="236" spans="7:16" x14ac:dyDescent="0.25">
      <c r="G236" s="4"/>
      <c r="K236" s="4"/>
      <c r="L236" s="4"/>
      <c r="M236" s="4"/>
      <c r="N236" s="4"/>
      <c r="O236" s="4"/>
      <c r="P236" s="4"/>
    </row>
    <row r="237" spans="7:16" x14ac:dyDescent="0.25">
      <c r="G237" s="4"/>
      <c r="K237" s="4"/>
      <c r="L237" s="4"/>
      <c r="M237" s="4"/>
      <c r="N237" s="4"/>
      <c r="O237" s="4"/>
      <c r="P237" s="4"/>
    </row>
    <row r="238" spans="7:16" x14ac:dyDescent="0.25">
      <c r="G238" s="4"/>
      <c r="K238" s="4"/>
      <c r="L238" s="4"/>
      <c r="M238" s="4"/>
      <c r="N238" s="4"/>
      <c r="O238" s="4"/>
      <c r="P238" s="4"/>
    </row>
    <row r="239" spans="7:16" x14ac:dyDescent="0.25">
      <c r="G239" s="4"/>
      <c r="K239" s="4"/>
      <c r="L239" s="4"/>
      <c r="M239" s="4"/>
      <c r="N239" s="4"/>
      <c r="O239" s="4"/>
      <c r="P239" s="4"/>
    </row>
    <row r="240" spans="7:16" x14ac:dyDescent="0.25">
      <c r="G240" s="4"/>
      <c r="K240" s="4"/>
      <c r="L240" s="4"/>
      <c r="M240" s="4"/>
      <c r="N240" s="4"/>
      <c r="O240" s="4"/>
      <c r="P240" s="4"/>
    </row>
    <row r="241" spans="7:16" x14ac:dyDescent="0.25">
      <c r="G241" s="4"/>
      <c r="K241" s="4"/>
      <c r="L241" s="4"/>
      <c r="M241" s="4"/>
      <c r="N241" s="4"/>
      <c r="O241" s="4"/>
      <c r="P241" s="4"/>
    </row>
    <row r="242" spans="7:16" x14ac:dyDescent="0.25">
      <c r="G242" s="4"/>
      <c r="K242" s="4"/>
      <c r="L242" s="4"/>
      <c r="M242" s="4"/>
      <c r="N242" s="4"/>
      <c r="O242" s="4"/>
      <c r="P242" s="4"/>
    </row>
    <row r="243" spans="7:16" x14ac:dyDescent="0.25">
      <c r="G243" s="4"/>
      <c r="K243" s="4"/>
      <c r="L243" s="4"/>
      <c r="M243" s="4"/>
      <c r="N243" s="4"/>
      <c r="O243" s="4"/>
      <c r="P243" s="4"/>
    </row>
    <row r="244" spans="7:16" x14ac:dyDescent="0.25">
      <c r="G244" s="4"/>
      <c r="K244" s="4"/>
      <c r="L244" s="4"/>
      <c r="M244" s="4"/>
      <c r="N244" s="4"/>
      <c r="O244" s="4"/>
      <c r="P244" s="4"/>
    </row>
    <row r="245" spans="7:16" x14ac:dyDescent="0.25">
      <c r="G245" s="4"/>
      <c r="K245" s="4"/>
      <c r="L245" s="4"/>
      <c r="M245" s="4"/>
      <c r="N245" s="4"/>
      <c r="O245" s="4"/>
      <c r="P245" s="4"/>
    </row>
    <row r="246" spans="7:16" x14ac:dyDescent="0.25">
      <c r="G246" s="4"/>
      <c r="K246" s="4"/>
      <c r="L246" s="4"/>
      <c r="M246" s="4"/>
      <c r="N246" s="4"/>
      <c r="O246" s="4"/>
      <c r="P246" s="4"/>
    </row>
    <row r="247" spans="7:16" x14ac:dyDescent="0.25">
      <c r="G247" s="4"/>
      <c r="K247" s="4"/>
      <c r="L247" s="4"/>
      <c r="M247" s="4"/>
      <c r="N247" s="4"/>
      <c r="O247" s="4"/>
      <c r="P247" s="4"/>
    </row>
    <row r="248" spans="7:16" x14ac:dyDescent="0.25">
      <c r="G248" s="4"/>
      <c r="K248" s="4"/>
      <c r="L248" s="4"/>
      <c r="M248" s="4"/>
      <c r="N248" s="4"/>
      <c r="O248" s="4"/>
      <c r="P248" s="4"/>
    </row>
    <row r="249" spans="7:16" x14ac:dyDescent="0.25">
      <c r="G249" s="4"/>
      <c r="K249" s="4"/>
      <c r="L249" s="4"/>
      <c r="M249" s="4"/>
      <c r="N249" s="4"/>
      <c r="O249" s="4"/>
      <c r="P249" s="4"/>
    </row>
    <row r="250" spans="7:16" x14ac:dyDescent="0.25">
      <c r="G250" s="4"/>
      <c r="K250" s="4"/>
      <c r="L250" s="4"/>
      <c r="M250" s="4"/>
      <c r="N250" s="4"/>
      <c r="O250" s="4"/>
      <c r="P250" s="4"/>
    </row>
    <row r="251" spans="7:16" x14ac:dyDescent="0.25">
      <c r="G251" s="4"/>
      <c r="K251" s="4"/>
      <c r="L251" s="4"/>
      <c r="M251" s="4"/>
      <c r="N251" s="4"/>
      <c r="O251" s="4"/>
      <c r="P251" s="4"/>
    </row>
    <row r="252" spans="7:16" x14ac:dyDescent="0.25">
      <c r="G252" s="4"/>
      <c r="K252" s="4"/>
      <c r="L252" s="4"/>
      <c r="M252" s="4"/>
      <c r="N252" s="4"/>
      <c r="O252" s="4"/>
      <c r="P252" s="4"/>
    </row>
    <row r="253" spans="7:16" x14ac:dyDescent="0.25">
      <c r="G253" s="4"/>
      <c r="K253" s="4"/>
      <c r="L253" s="4"/>
      <c r="M253" s="4"/>
      <c r="N253" s="4"/>
      <c r="O253" s="4"/>
      <c r="P253" s="4"/>
    </row>
    <row r="254" spans="7:16" x14ac:dyDescent="0.25">
      <c r="G254" s="4"/>
      <c r="K254" s="4"/>
      <c r="L254" s="4"/>
      <c r="M254" s="4"/>
      <c r="N254" s="4"/>
      <c r="O254" s="4"/>
      <c r="P254" s="4"/>
    </row>
    <row r="255" spans="7:16" x14ac:dyDescent="0.25">
      <c r="G255" s="4"/>
      <c r="K255" s="4"/>
      <c r="L255" s="4"/>
      <c r="M255" s="4"/>
      <c r="N255" s="4"/>
      <c r="O255" s="4"/>
      <c r="P255" s="4"/>
    </row>
    <row r="256" spans="7:16" x14ac:dyDescent="0.25">
      <c r="G256" s="4"/>
      <c r="K256" s="4"/>
      <c r="L256" s="4"/>
      <c r="M256" s="4"/>
      <c r="N256" s="4"/>
      <c r="O256" s="4"/>
      <c r="P256" s="4"/>
    </row>
    <row r="257" spans="7:16" x14ac:dyDescent="0.25">
      <c r="G257" s="4"/>
      <c r="K257" s="4"/>
      <c r="L257" s="4"/>
      <c r="M257" s="4"/>
      <c r="N257" s="4"/>
      <c r="O257" s="4"/>
      <c r="P257" s="4"/>
    </row>
    <row r="258" spans="7:16" x14ac:dyDescent="0.25">
      <c r="G258" s="4"/>
      <c r="K258" s="4"/>
      <c r="L258" s="4"/>
      <c r="M258" s="4"/>
      <c r="N258" s="4"/>
      <c r="O258" s="4"/>
      <c r="P258" s="4"/>
    </row>
    <row r="259" spans="7:16" x14ac:dyDescent="0.25">
      <c r="G259" s="4"/>
      <c r="K259" s="4"/>
      <c r="L259" s="4"/>
      <c r="M259" s="4"/>
      <c r="N259" s="4"/>
      <c r="O259" s="4"/>
      <c r="P259" s="4"/>
    </row>
    <row r="260" spans="7:16" x14ac:dyDescent="0.25">
      <c r="G260" s="4"/>
      <c r="K260" s="4"/>
      <c r="L260" s="4"/>
      <c r="M260" s="4"/>
      <c r="N260" s="4"/>
      <c r="O260" s="4"/>
      <c r="P260" s="4"/>
    </row>
    <row r="261" spans="7:16" x14ac:dyDescent="0.25">
      <c r="G261" s="4"/>
      <c r="K261" s="4"/>
      <c r="L261" s="4"/>
      <c r="M261" s="4"/>
      <c r="N261" s="4"/>
      <c r="O261" s="4"/>
      <c r="P261" s="4"/>
    </row>
    <row r="262" spans="7:16" x14ac:dyDescent="0.25">
      <c r="G262" s="4"/>
      <c r="K262" s="4"/>
      <c r="L262" s="4"/>
      <c r="M262" s="4"/>
      <c r="N262" s="4"/>
      <c r="O262" s="4"/>
      <c r="P262" s="4"/>
    </row>
    <row r="263" spans="7:16" x14ac:dyDescent="0.25">
      <c r="G263" s="4"/>
      <c r="K263" s="4"/>
      <c r="L263" s="4"/>
      <c r="M263" s="4"/>
      <c r="N263" s="4"/>
      <c r="O263" s="4"/>
      <c r="P263" s="4"/>
    </row>
    <row r="264" spans="7:16" x14ac:dyDescent="0.25">
      <c r="G264" s="4"/>
      <c r="K264" s="4"/>
      <c r="L264" s="4"/>
      <c r="M264" s="4"/>
      <c r="N264" s="4"/>
      <c r="O264" s="4"/>
      <c r="P264" s="4"/>
    </row>
    <row r="265" spans="7:16" x14ac:dyDescent="0.25">
      <c r="G265" s="4"/>
      <c r="K265" s="4"/>
      <c r="L265" s="4"/>
      <c r="M265" s="4"/>
      <c r="N265" s="4"/>
      <c r="O265" s="4"/>
      <c r="P265" s="4"/>
    </row>
    <row r="266" spans="7:16" x14ac:dyDescent="0.25">
      <c r="G266" s="4"/>
      <c r="K266" s="4"/>
      <c r="L266" s="4"/>
      <c r="M266" s="4"/>
      <c r="N266" s="4"/>
      <c r="O266" s="4"/>
      <c r="P266" s="4"/>
    </row>
    <row r="267" spans="7:16" x14ac:dyDescent="0.25">
      <c r="G267" s="4"/>
      <c r="K267" s="4"/>
      <c r="L267" s="4"/>
      <c r="M267" s="4"/>
      <c r="N267" s="4"/>
      <c r="O267" s="4"/>
      <c r="P267" s="4"/>
    </row>
    <row r="268" spans="7:16" x14ac:dyDescent="0.25">
      <c r="G268" s="4"/>
      <c r="K268" s="4"/>
      <c r="L268" s="4"/>
      <c r="M268" s="4"/>
      <c r="N268" s="4"/>
      <c r="O268" s="4"/>
      <c r="P268" s="4"/>
    </row>
    <row r="269" spans="7:16" x14ac:dyDescent="0.25">
      <c r="G269" s="4"/>
      <c r="K269" s="4"/>
      <c r="L269" s="4"/>
      <c r="M269" s="4"/>
      <c r="N269" s="4"/>
      <c r="O269" s="4"/>
      <c r="P269" s="4"/>
    </row>
    <row r="270" spans="7:16" x14ac:dyDescent="0.25">
      <c r="G270" s="4"/>
      <c r="K270" s="4"/>
      <c r="L270" s="4"/>
      <c r="M270" s="4"/>
      <c r="N270" s="4"/>
      <c r="O270" s="4"/>
      <c r="P270" s="4"/>
    </row>
    <row r="271" spans="7:16" x14ac:dyDescent="0.25">
      <c r="G271" s="4"/>
      <c r="K271" s="4"/>
      <c r="L271" s="4"/>
      <c r="M271" s="4"/>
      <c r="N271" s="4"/>
      <c r="O271" s="4"/>
      <c r="P271" s="4"/>
    </row>
    <row r="272" spans="7:16" x14ac:dyDescent="0.25">
      <c r="G272" s="4"/>
      <c r="K272" s="4"/>
      <c r="L272" s="4"/>
      <c r="M272" s="4"/>
      <c r="N272" s="4"/>
      <c r="O272" s="4"/>
      <c r="P272" s="4"/>
    </row>
    <row r="273" spans="7:16" x14ac:dyDescent="0.25">
      <c r="G273" s="4"/>
      <c r="K273" s="4"/>
      <c r="L273" s="4"/>
      <c r="M273" s="4"/>
      <c r="N273" s="4"/>
      <c r="O273" s="4"/>
      <c r="P273" s="4"/>
    </row>
    <row r="274" spans="7:16" x14ac:dyDescent="0.25">
      <c r="G274" s="4"/>
      <c r="K274" s="4"/>
      <c r="L274" s="4"/>
      <c r="M274" s="4"/>
      <c r="N274" s="4"/>
      <c r="O274" s="4"/>
      <c r="P274" s="4"/>
    </row>
    <row r="275" spans="7:16" x14ac:dyDescent="0.25">
      <c r="G275" s="4"/>
      <c r="K275" s="4"/>
      <c r="L275" s="4"/>
      <c r="M275" s="4"/>
      <c r="N275" s="4"/>
      <c r="O275" s="4"/>
      <c r="P275" s="4"/>
    </row>
    <row r="276" spans="7:16" x14ac:dyDescent="0.25">
      <c r="G276" s="4"/>
      <c r="K276" s="4"/>
      <c r="L276" s="4"/>
      <c r="M276" s="4"/>
      <c r="N276" s="4"/>
      <c r="O276" s="4"/>
      <c r="P276" s="4"/>
    </row>
    <row r="277" spans="7:16" x14ac:dyDescent="0.25">
      <c r="G277" s="4"/>
      <c r="K277" s="4"/>
      <c r="L277" s="4"/>
      <c r="M277" s="4"/>
      <c r="N277" s="4"/>
      <c r="O277" s="4"/>
      <c r="P277" s="4"/>
    </row>
    <row r="278" spans="7:16" x14ac:dyDescent="0.25">
      <c r="G278" s="4"/>
      <c r="K278" s="4"/>
      <c r="L278" s="4"/>
      <c r="M278" s="4"/>
      <c r="N278" s="4"/>
      <c r="O278" s="4"/>
      <c r="P278" s="4"/>
    </row>
    <row r="279" spans="7:16" x14ac:dyDescent="0.25">
      <c r="G279" s="4"/>
      <c r="K279" s="4"/>
      <c r="L279" s="4"/>
      <c r="M279" s="4"/>
      <c r="N279" s="4"/>
      <c r="O279" s="4"/>
      <c r="P279" s="4"/>
    </row>
    <row r="280" spans="7:16" x14ac:dyDescent="0.25">
      <c r="G280" s="4"/>
      <c r="K280" s="4"/>
      <c r="L280" s="4"/>
      <c r="M280" s="4"/>
      <c r="N280" s="4"/>
      <c r="O280" s="4"/>
      <c r="P280" s="4"/>
    </row>
    <row r="281" spans="7:16" x14ac:dyDescent="0.25">
      <c r="G281" s="4"/>
      <c r="K281" s="4"/>
      <c r="L281" s="4"/>
      <c r="M281" s="4"/>
      <c r="N281" s="4"/>
      <c r="O281" s="4"/>
      <c r="P281" s="4"/>
    </row>
    <row r="282" spans="7:16" x14ac:dyDescent="0.25">
      <c r="G282" s="4"/>
      <c r="K282" s="4"/>
      <c r="L282" s="4"/>
      <c r="M282" s="4"/>
      <c r="N282" s="4"/>
      <c r="O282" s="4"/>
      <c r="P282" s="4"/>
    </row>
    <row r="283" spans="7:16" x14ac:dyDescent="0.25">
      <c r="G283" s="4"/>
      <c r="K283" s="4"/>
      <c r="L283" s="4"/>
      <c r="M283" s="4"/>
      <c r="N283" s="4"/>
      <c r="O283" s="4"/>
      <c r="P283" s="4"/>
    </row>
    <row r="284" spans="7:16" x14ac:dyDescent="0.25">
      <c r="G284" s="4"/>
      <c r="K284" s="4"/>
      <c r="L284" s="4"/>
      <c r="M284" s="4"/>
      <c r="N284" s="4"/>
      <c r="O284" s="4"/>
      <c r="P284" s="4"/>
    </row>
    <row r="285" spans="7:16" x14ac:dyDescent="0.25">
      <c r="G285" s="4"/>
      <c r="K285" s="4"/>
      <c r="L285" s="4"/>
      <c r="M285" s="4"/>
      <c r="N285" s="4"/>
      <c r="O285" s="4"/>
      <c r="P285" s="4"/>
    </row>
    <row r="286" spans="7:16" x14ac:dyDescent="0.25">
      <c r="G286" s="4"/>
      <c r="K286" s="4"/>
      <c r="L286" s="4"/>
      <c r="M286" s="4"/>
      <c r="N286" s="4"/>
      <c r="O286" s="4"/>
      <c r="P286" s="4"/>
    </row>
    <row r="287" spans="7:16" x14ac:dyDescent="0.25">
      <c r="G287" s="4"/>
      <c r="K287" s="4"/>
      <c r="L287" s="4"/>
      <c r="M287" s="4"/>
      <c r="N287" s="4"/>
      <c r="O287" s="4"/>
      <c r="P287" s="4"/>
    </row>
    <row r="288" spans="7:16" x14ac:dyDescent="0.25">
      <c r="G288" s="4"/>
      <c r="K288" s="4"/>
      <c r="L288" s="4"/>
      <c r="M288" s="4"/>
      <c r="N288" s="4"/>
      <c r="O288" s="4"/>
      <c r="P288" s="4"/>
    </row>
    <row r="289" spans="7:16" x14ac:dyDescent="0.25">
      <c r="G289" s="4"/>
      <c r="K289" s="4"/>
      <c r="L289" s="4"/>
      <c r="M289" s="4"/>
      <c r="N289" s="4"/>
      <c r="O289" s="4"/>
      <c r="P289" s="4"/>
    </row>
    <row r="290" spans="7:16" x14ac:dyDescent="0.25">
      <c r="G290" s="4"/>
      <c r="K290" s="4"/>
      <c r="L290" s="4"/>
      <c r="M290" s="4"/>
      <c r="N290" s="4"/>
      <c r="O290" s="4"/>
      <c r="P290" s="4"/>
    </row>
    <row r="291" spans="7:16" x14ac:dyDescent="0.25">
      <c r="G291" s="4"/>
      <c r="K291" s="4"/>
      <c r="L291" s="4"/>
      <c r="M291" s="4"/>
      <c r="N291" s="4"/>
      <c r="O291" s="4"/>
      <c r="P291" s="4"/>
    </row>
    <row r="292" spans="7:16" x14ac:dyDescent="0.25">
      <c r="G292" s="4"/>
      <c r="K292" s="4"/>
      <c r="L292" s="4"/>
      <c r="M292" s="4"/>
      <c r="N292" s="4"/>
      <c r="O292" s="4"/>
      <c r="P292" s="4"/>
    </row>
    <row r="293" spans="7:16" x14ac:dyDescent="0.25">
      <c r="G293" s="4"/>
      <c r="K293" s="4"/>
      <c r="L293" s="4"/>
      <c r="M293" s="4"/>
      <c r="N293" s="4"/>
      <c r="O293" s="4"/>
      <c r="P293" s="4"/>
    </row>
    <row r="294" spans="7:16" x14ac:dyDescent="0.25">
      <c r="G294" s="4"/>
      <c r="K294" s="4"/>
      <c r="L294" s="4"/>
      <c r="M294" s="4"/>
      <c r="N294" s="4"/>
      <c r="O294" s="4"/>
      <c r="P294" s="4"/>
    </row>
    <row r="295" spans="7:16" x14ac:dyDescent="0.25">
      <c r="G295" s="4"/>
      <c r="K295" s="4"/>
      <c r="L295" s="4"/>
      <c r="M295" s="4"/>
      <c r="N295" s="4"/>
      <c r="O295" s="4"/>
      <c r="P295" s="4"/>
    </row>
    <row r="296" spans="7:16" x14ac:dyDescent="0.25">
      <c r="G296" s="4"/>
      <c r="K296" s="4"/>
      <c r="L296" s="4"/>
      <c r="M296" s="4"/>
      <c r="N296" s="4"/>
      <c r="O296" s="4"/>
      <c r="P296" s="4"/>
    </row>
    <row r="297" spans="7:16" x14ac:dyDescent="0.25">
      <c r="G297" s="4"/>
      <c r="K297" s="4"/>
      <c r="L297" s="4"/>
      <c r="M297" s="4"/>
      <c r="N297" s="4"/>
      <c r="O297" s="4"/>
      <c r="P297" s="4"/>
    </row>
    <row r="298" spans="7:16" x14ac:dyDescent="0.25">
      <c r="G298" s="4"/>
      <c r="K298" s="4"/>
      <c r="L298" s="4"/>
      <c r="M298" s="4"/>
      <c r="N298" s="4"/>
      <c r="O298" s="4"/>
      <c r="P298" s="4"/>
    </row>
    <row r="299" spans="7:16" x14ac:dyDescent="0.25">
      <c r="G299" s="4"/>
      <c r="K299" s="4"/>
      <c r="L299" s="4"/>
      <c r="M299" s="4"/>
      <c r="N299" s="4"/>
      <c r="O299" s="4"/>
      <c r="P299" s="4"/>
    </row>
    <row r="300" spans="7:16" x14ac:dyDescent="0.25">
      <c r="G300" s="4"/>
      <c r="K300" s="4"/>
      <c r="L300" s="4"/>
      <c r="M300" s="4"/>
      <c r="N300" s="4"/>
      <c r="O300" s="4"/>
      <c r="P300" s="4"/>
    </row>
    <row r="301" spans="7:16" x14ac:dyDescent="0.25">
      <c r="G301" s="4"/>
      <c r="K301" s="4"/>
      <c r="L301" s="4"/>
      <c r="M301" s="4"/>
      <c r="N301" s="4"/>
      <c r="O301" s="4"/>
      <c r="P301" s="4"/>
    </row>
    <row r="302" spans="7:16" x14ac:dyDescent="0.25">
      <c r="G302" s="4"/>
      <c r="K302" s="4"/>
      <c r="L302" s="4"/>
      <c r="M302" s="4"/>
      <c r="N302" s="4"/>
      <c r="O302" s="4"/>
      <c r="P302" s="4"/>
    </row>
    <row r="303" spans="7:16" x14ac:dyDescent="0.25">
      <c r="G303" s="4"/>
      <c r="K303" s="4"/>
      <c r="L303" s="4"/>
      <c r="M303" s="4"/>
      <c r="N303" s="4"/>
      <c r="O303" s="4"/>
      <c r="P303" s="4"/>
    </row>
    <row r="304" spans="7:16" x14ac:dyDescent="0.25">
      <c r="G304" s="4"/>
      <c r="K304" s="4"/>
      <c r="L304" s="4"/>
      <c r="M304" s="4"/>
      <c r="N304" s="4"/>
      <c r="O304" s="4"/>
      <c r="P304" s="4"/>
    </row>
    <row r="305" spans="7:16" x14ac:dyDescent="0.25">
      <c r="G305" s="4"/>
      <c r="K305" s="4"/>
      <c r="L305" s="4"/>
      <c r="M305" s="4"/>
      <c r="N305" s="4"/>
      <c r="O305" s="4"/>
      <c r="P305" s="4"/>
    </row>
    <row r="306" spans="7:16" x14ac:dyDescent="0.25">
      <c r="G306" s="4"/>
      <c r="K306" s="4"/>
      <c r="L306" s="4"/>
      <c r="M306" s="4"/>
      <c r="N306" s="4"/>
      <c r="O306" s="4"/>
      <c r="P306" s="4"/>
    </row>
    <row r="307" spans="7:16" x14ac:dyDescent="0.25">
      <c r="G307" s="4"/>
      <c r="K307" s="4"/>
      <c r="L307" s="4"/>
      <c r="M307" s="4"/>
      <c r="N307" s="4"/>
      <c r="O307" s="4"/>
      <c r="P307" s="4"/>
    </row>
    <row r="308" spans="7:16" x14ac:dyDescent="0.25">
      <c r="G308" s="4"/>
      <c r="K308" s="4"/>
      <c r="L308" s="4"/>
      <c r="M308" s="4"/>
      <c r="N308" s="4"/>
      <c r="O308" s="4"/>
      <c r="P308" s="4"/>
    </row>
    <row r="309" spans="7:16" x14ac:dyDescent="0.25">
      <c r="G309" s="4"/>
      <c r="K309" s="4"/>
      <c r="L309" s="4"/>
      <c r="M309" s="4"/>
      <c r="N309" s="4"/>
      <c r="O309" s="4"/>
      <c r="P309" s="4"/>
    </row>
    <row r="310" spans="7:16" x14ac:dyDescent="0.25">
      <c r="G310" s="4"/>
      <c r="K310" s="4"/>
      <c r="L310" s="4"/>
      <c r="M310" s="4"/>
      <c r="N310" s="4"/>
      <c r="O310" s="4"/>
      <c r="P310" s="4"/>
    </row>
    <row r="311" spans="7:16" x14ac:dyDescent="0.25">
      <c r="G311" s="4"/>
      <c r="K311" s="4"/>
      <c r="L311" s="4"/>
      <c r="M311" s="4"/>
      <c r="N311" s="4"/>
      <c r="O311" s="4"/>
      <c r="P311" s="4"/>
    </row>
    <row r="312" spans="7:16" x14ac:dyDescent="0.25">
      <c r="G312" s="4"/>
      <c r="K312" s="4"/>
      <c r="L312" s="4"/>
      <c r="M312" s="4"/>
      <c r="N312" s="4"/>
      <c r="O312" s="4"/>
      <c r="P312" s="4"/>
    </row>
    <row r="313" spans="7:16" x14ac:dyDescent="0.25">
      <c r="G313" s="4"/>
      <c r="K313" s="4"/>
      <c r="L313" s="4"/>
      <c r="M313" s="4"/>
      <c r="N313" s="4"/>
      <c r="O313" s="4"/>
      <c r="P313" s="4"/>
    </row>
    <row r="314" spans="7:16" x14ac:dyDescent="0.25">
      <c r="G314" s="4"/>
      <c r="K314" s="4"/>
      <c r="L314" s="4"/>
      <c r="M314" s="4"/>
      <c r="N314" s="4"/>
      <c r="O314" s="4"/>
      <c r="P314" s="4"/>
    </row>
    <row r="315" spans="7:16" x14ac:dyDescent="0.25">
      <c r="G315" s="4"/>
      <c r="K315" s="4"/>
      <c r="L315" s="4"/>
      <c r="M315" s="4"/>
      <c r="N315" s="4"/>
      <c r="O315" s="4"/>
      <c r="P315" s="4"/>
    </row>
    <row r="316" spans="7:16" x14ac:dyDescent="0.25">
      <c r="G316" s="4"/>
      <c r="K316" s="4"/>
      <c r="L316" s="4"/>
      <c r="M316" s="4"/>
      <c r="N316" s="4"/>
      <c r="O316" s="4"/>
      <c r="P316" s="4"/>
    </row>
    <row r="317" spans="7:16" x14ac:dyDescent="0.25">
      <c r="G317" s="4"/>
      <c r="K317" s="4"/>
      <c r="L317" s="4"/>
      <c r="M317" s="4"/>
      <c r="N317" s="4"/>
      <c r="O317" s="4"/>
      <c r="P317" s="4"/>
    </row>
    <row r="318" spans="7:16" x14ac:dyDescent="0.25">
      <c r="G318" s="4"/>
      <c r="K318" s="4"/>
      <c r="L318" s="4"/>
      <c r="M318" s="4"/>
      <c r="N318" s="4"/>
      <c r="O318" s="4"/>
      <c r="P318" s="4"/>
    </row>
    <row r="319" spans="7:16" x14ac:dyDescent="0.25">
      <c r="G319" s="4"/>
      <c r="K319" s="4"/>
      <c r="L319" s="4"/>
      <c r="M319" s="4"/>
      <c r="N319" s="4"/>
      <c r="O319" s="4"/>
      <c r="P319" s="4"/>
    </row>
    <row r="320" spans="7:16" x14ac:dyDescent="0.25">
      <c r="G320" s="4"/>
      <c r="K320" s="4"/>
      <c r="L320" s="4"/>
      <c r="M320" s="4"/>
      <c r="N320" s="4"/>
      <c r="O320" s="4"/>
      <c r="P320" s="4"/>
    </row>
    <row r="321" spans="7:16" x14ac:dyDescent="0.25">
      <c r="G321" s="4"/>
      <c r="K321" s="4"/>
      <c r="L321" s="4"/>
      <c r="M321" s="4"/>
      <c r="N321" s="4"/>
      <c r="O321" s="4"/>
      <c r="P321" s="4"/>
    </row>
    <row r="322" spans="7:16" x14ac:dyDescent="0.25">
      <c r="G322" s="4"/>
      <c r="K322" s="4"/>
      <c r="L322" s="4"/>
      <c r="M322" s="4"/>
      <c r="N322" s="4"/>
      <c r="O322" s="4"/>
      <c r="P322" s="4"/>
    </row>
    <row r="323" spans="7:16" x14ac:dyDescent="0.25">
      <c r="G323" s="4"/>
      <c r="K323" s="4"/>
      <c r="L323" s="4"/>
      <c r="M323" s="4"/>
      <c r="N323" s="4"/>
      <c r="O323" s="4"/>
      <c r="P323" s="4"/>
    </row>
    <row r="324" spans="7:16" x14ac:dyDescent="0.25">
      <c r="G324" s="4"/>
      <c r="K324" s="4"/>
      <c r="L324" s="4"/>
      <c r="M324" s="4"/>
      <c r="N324" s="4"/>
      <c r="O324" s="4"/>
      <c r="P324" s="4"/>
    </row>
    <row r="325" spans="7:16" x14ac:dyDescent="0.25">
      <c r="G325" s="4"/>
      <c r="K325" s="4"/>
      <c r="L325" s="4"/>
      <c r="M325" s="4"/>
      <c r="N325" s="4"/>
      <c r="O325" s="4"/>
      <c r="P325" s="4"/>
    </row>
    <row r="326" spans="7:16" x14ac:dyDescent="0.25">
      <c r="G326" s="4"/>
      <c r="K326" s="4"/>
      <c r="L326" s="4"/>
      <c r="M326" s="4"/>
      <c r="N326" s="4"/>
      <c r="O326" s="4"/>
      <c r="P326" s="4"/>
    </row>
    <row r="327" spans="7:16" x14ac:dyDescent="0.25">
      <c r="G327" s="4"/>
      <c r="K327" s="4"/>
      <c r="L327" s="4"/>
      <c r="M327" s="4"/>
      <c r="N327" s="4"/>
      <c r="O327" s="4"/>
      <c r="P327" s="4"/>
    </row>
    <row r="328" spans="7:16" x14ac:dyDescent="0.25">
      <c r="G328" s="4"/>
      <c r="K328" s="4"/>
      <c r="L328" s="4"/>
      <c r="M328" s="4"/>
      <c r="N328" s="4"/>
      <c r="O328" s="4"/>
      <c r="P328" s="4"/>
    </row>
    <row r="329" spans="7:16" x14ac:dyDescent="0.25">
      <c r="G329" s="4"/>
      <c r="K329" s="4"/>
      <c r="L329" s="4"/>
      <c r="M329" s="4"/>
      <c r="N329" s="4"/>
      <c r="O329" s="4"/>
      <c r="P329" s="4"/>
    </row>
    <row r="330" spans="7:16" x14ac:dyDescent="0.25">
      <c r="G330" s="4"/>
      <c r="K330" s="4"/>
      <c r="L330" s="4"/>
      <c r="M330" s="4"/>
      <c r="N330" s="4"/>
      <c r="O330" s="4"/>
      <c r="P330" s="4"/>
    </row>
    <row r="331" spans="7:16" x14ac:dyDescent="0.25">
      <c r="G331" s="4"/>
      <c r="K331" s="4"/>
      <c r="L331" s="4"/>
      <c r="M331" s="4"/>
      <c r="N331" s="4"/>
      <c r="O331" s="4"/>
      <c r="P331" s="4"/>
    </row>
    <row r="332" spans="7:16" x14ac:dyDescent="0.25">
      <c r="G332" s="4"/>
      <c r="K332" s="4"/>
      <c r="L332" s="4"/>
      <c r="M332" s="4"/>
      <c r="N332" s="4"/>
      <c r="O332" s="4"/>
      <c r="P332" s="4"/>
    </row>
    <row r="333" spans="7:16" x14ac:dyDescent="0.25">
      <c r="G333" s="4"/>
      <c r="K333" s="4"/>
      <c r="L333" s="4"/>
      <c r="M333" s="4"/>
      <c r="N333" s="4"/>
      <c r="O333" s="4"/>
      <c r="P333" s="4"/>
    </row>
    <row r="334" spans="7:16" x14ac:dyDescent="0.25">
      <c r="G334" s="4"/>
      <c r="K334" s="4"/>
      <c r="L334" s="4"/>
      <c r="M334" s="4"/>
      <c r="N334" s="4"/>
      <c r="O334" s="4"/>
      <c r="P334" s="4"/>
    </row>
    <row r="335" spans="7:16" x14ac:dyDescent="0.25">
      <c r="G335" s="4"/>
      <c r="K335" s="4"/>
      <c r="L335" s="4"/>
      <c r="M335" s="4"/>
      <c r="N335" s="4"/>
      <c r="O335" s="4"/>
      <c r="P335" s="4"/>
    </row>
    <row r="336" spans="7:16" x14ac:dyDescent="0.25">
      <c r="G336" s="4"/>
      <c r="K336" s="4"/>
      <c r="L336" s="4"/>
      <c r="M336" s="4"/>
      <c r="N336" s="4"/>
      <c r="O336" s="4"/>
      <c r="P336" s="4"/>
    </row>
    <row r="337" spans="7:16" x14ac:dyDescent="0.25">
      <c r="G337" s="4"/>
      <c r="K337" s="4"/>
      <c r="L337" s="4"/>
      <c r="M337" s="4"/>
      <c r="N337" s="4"/>
      <c r="O337" s="4"/>
      <c r="P337" s="4"/>
    </row>
    <row r="338" spans="7:16" x14ac:dyDescent="0.25">
      <c r="G338" s="4"/>
      <c r="K338" s="4"/>
      <c r="L338" s="4"/>
      <c r="M338" s="4"/>
      <c r="N338" s="4"/>
      <c r="O338" s="4"/>
      <c r="P338" s="4"/>
    </row>
    <row r="339" spans="7:16" x14ac:dyDescent="0.25">
      <c r="G339" s="4"/>
      <c r="K339" s="4"/>
      <c r="L339" s="4"/>
      <c r="M339" s="4"/>
      <c r="N339" s="4"/>
      <c r="O339" s="4"/>
      <c r="P339" s="4"/>
    </row>
    <row r="340" spans="7:16" x14ac:dyDescent="0.25">
      <c r="G340" s="4"/>
      <c r="K340" s="4"/>
      <c r="L340" s="4"/>
      <c r="M340" s="4"/>
      <c r="N340" s="4"/>
      <c r="O340" s="4"/>
      <c r="P340" s="4"/>
    </row>
    <row r="341" spans="7:16" x14ac:dyDescent="0.25">
      <c r="G341" s="4"/>
      <c r="K341" s="4"/>
      <c r="L341" s="4"/>
      <c r="M341" s="4"/>
      <c r="N341" s="4"/>
      <c r="O341" s="4"/>
      <c r="P341" s="4"/>
    </row>
    <row r="342" spans="7:16" x14ac:dyDescent="0.25">
      <c r="G342" s="4"/>
      <c r="K342" s="4"/>
      <c r="L342" s="4"/>
      <c r="M342" s="4"/>
      <c r="N342" s="4"/>
      <c r="O342" s="4"/>
      <c r="P342" s="4"/>
    </row>
    <row r="343" spans="7:16" x14ac:dyDescent="0.25">
      <c r="G343" s="4"/>
      <c r="K343" s="4"/>
      <c r="L343" s="4"/>
      <c r="M343" s="4"/>
      <c r="N343" s="4"/>
      <c r="O343" s="4"/>
      <c r="P343" s="4"/>
    </row>
    <row r="344" spans="7:16" x14ac:dyDescent="0.25">
      <c r="G344" s="4"/>
      <c r="K344" s="4"/>
      <c r="L344" s="4"/>
      <c r="M344" s="4"/>
      <c r="N344" s="4"/>
      <c r="O344" s="4"/>
      <c r="P344" s="4"/>
    </row>
    <row r="345" spans="7:16" x14ac:dyDescent="0.25">
      <c r="G345" s="4"/>
      <c r="K345" s="4"/>
      <c r="L345" s="4"/>
      <c r="M345" s="4"/>
      <c r="N345" s="4"/>
      <c r="O345" s="4"/>
      <c r="P345" s="4"/>
    </row>
    <row r="346" spans="7:16" x14ac:dyDescent="0.25">
      <c r="G346" s="4"/>
      <c r="K346" s="4"/>
      <c r="L346" s="4"/>
      <c r="M346" s="4"/>
      <c r="N346" s="4"/>
      <c r="O346" s="4"/>
      <c r="P346" s="4"/>
    </row>
    <row r="347" spans="7:16" x14ac:dyDescent="0.25">
      <c r="G347" s="4"/>
      <c r="K347" s="4"/>
      <c r="L347" s="4"/>
      <c r="M347" s="4"/>
      <c r="N347" s="4"/>
      <c r="O347" s="4"/>
      <c r="P347" s="4"/>
    </row>
    <row r="348" spans="7:16" x14ac:dyDescent="0.25">
      <c r="G348" s="4"/>
      <c r="K348" s="4"/>
      <c r="L348" s="4"/>
      <c r="M348" s="4"/>
      <c r="N348" s="4"/>
      <c r="O348" s="4"/>
      <c r="P348" s="4"/>
    </row>
    <row r="349" spans="7:16" x14ac:dyDescent="0.25">
      <c r="G349" s="4"/>
      <c r="K349" s="4"/>
      <c r="L349" s="4"/>
      <c r="M349" s="4"/>
      <c r="N349" s="4"/>
      <c r="O349" s="4"/>
      <c r="P349" s="4"/>
    </row>
    <row r="350" spans="7:16" x14ac:dyDescent="0.25">
      <c r="G350" s="4"/>
      <c r="K350" s="4"/>
      <c r="L350" s="4"/>
      <c r="M350" s="4"/>
      <c r="N350" s="4"/>
      <c r="O350" s="4"/>
      <c r="P350" s="4"/>
    </row>
    <row r="351" spans="7:16" x14ac:dyDescent="0.25">
      <c r="G351" s="4"/>
      <c r="K351" s="4"/>
      <c r="L351" s="4"/>
      <c r="M351" s="4"/>
      <c r="N351" s="4"/>
      <c r="O351" s="4"/>
      <c r="P351" s="4"/>
    </row>
    <row r="352" spans="7:16" x14ac:dyDescent="0.25">
      <c r="G352" s="4"/>
      <c r="K352" s="4"/>
      <c r="L352" s="4"/>
      <c r="M352" s="4"/>
      <c r="N352" s="4"/>
      <c r="O352" s="4"/>
      <c r="P352" s="4"/>
    </row>
    <row r="353" spans="7:16" x14ac:dyDescent="0.25">
      <c r="G353" s="4"/>
      <c r="K353" s="4"/>
      <c r="L353" s="4"/>
      <c r="M353" s="4"/>
      <c r="N353" s="4"/>
      <c r="O353" s="4"/>
      <c r="P353" s="4"/>
    </row>
    <row r="354" spans="7:16" x14ac:dyDescent="0.25">
      <c r="G354" s="4"/>
      <c r="K354" s="4"/>
      <c r="L354" s="4"/>
      <c r="M354" s="4"/>
      <c r="N354" s="4"/>
      <c r="O354" s="4"/>
      <c r="P354" s="4"/>
    </row>
    <row r="355" spans="7:16" x14ac:dyDescent="0.25">
      <c r="G355" s="4"/>
      <c r="K355" s="4"/>
      <c r="L355" s="4"/>
      <c r="M355" s="4"/>
      <c r="N355" s="4"/>
      <c r="O355" s="4"/>
      <c r="P355" s="4"/>
    </row>
    <row r="356" spans="7:16" x14ac:dyDescent="0.25">
      <c r="G356" s="4"/>
      <c r="K356" s="4"/>
      <c r="L356" s="4"/>
      <c r="M356" s="4"/>
      <c r="N356" s="4"/>
      <c r="O356" s="4"/>
      <c r="P356" s="4"/>
    </row>
    <row r="357" spans="7:16" x14ac:dyDescent="0.25">
      <c r="G357" s="4"/>
      <c r="K357" s="4"/>
      <c r="L357" s="4"/>
      <c r="M357" s="4"/>
      <c r="N357" s="4"/>
      <c r="O357" s="4"/>
      <c r="P357" s="4"/>
    </row>
    <row r="358" spans="7:16" x14ac:dyDescent="0.25">
      <c r="G358" s="4"/>
      <c r="K358" s="4"/>
      <c r="L358" s="4"/>
      <c r="M358" s="4"/>
      <c r="N358" s="4"/>
      <c r="O358" s="4"/>
      <c r="P358" s="4"/>
    </row>
    <row r="359" spans="7:16" x14ac:dyDescent="0.25">
      <c r="G359" s="4"/>
      <c r="K359" s="4"/>
    </row>
    <row r="360" spans="7:16" x14ac:dyDescent="0.25">
      <c r="G360" s="4"/>
      <c r="K360" s="4"/>
    </row>
    <row r="361" spans="7:16" x14ac:dyDescent="0.25">
      <c r="G361" s="4"/>
      <c r="K361" s="4"/>
    </row>
    <row r="362" spans="7:16" x14ac:dyDescent="0.25">
      <c r="G362" s="4"/>
      <c r="K362" s="4"/>
    </row>
    <row r="363" spans="7:16" x14ac:dyDescent="0.25">
      <c r="G363" s="4"/>
      <c r="K363" s="4"/>
    </row>
    <row r="364" spans="7:16" x14ac:dyDescent="0.25">
      <c r="G364" s="4"/>
      <c r="K364" s="4"/>
    </row>
    <row r="365" spans="7:16" x14ac:dyDescent="0.25">
      <c r="G365" s="4"/>
      <c r="K365" s="4"/>
    </row>
    <row r="366" spans="7:16" x14ac:dyDescent="0.25">
      <c r="G366" s="4"/>
      <c r="K366" s="4"/>
    </row>
    <row r="367" spans="7:16" x14ac:dyDescent="0.25">
      <c r="G367" s="4"/>
      <c r="K367" s="4"/>
    </row>
    <row r="368" spans="7:16" x14ac:dyDescent="0.25">
      <c r="G368" s="4"/>
      <c r="K368" s="4"/>
    </row>
    <row r="369" spans="7:11" x14ac:dyDescent="0.25">
      <c r="G369" s="4"/>
      <c r="K369" s="4"/>
    </row>
    <row r="370" spans="7:11" x14ac:dyDescent="0.25">
      <c r="G370" s="4"/>
      <c r="K370" s="4"/>
    </row>
    <row r="371" spans="7:11" x14ac:dyDescent="0.25">
      <c r="G371" s="4"/>
      <c r="K371" s="4"/>
    </row>
    <row r="372" spans="7:11" x14ac:dyDescent="0.25">
      <c r="G372" s="4"/>
      <c r="K372" s="4"/>
    </row>
    <row r="394" spans="12:15" x14ac:dyDescent="0.25">
      <c r="L394" s="4"/>
      <c r="M394" s="4"/>
      <c r="N394" s="4"/>
      <c r="O394" s="4"/>
    </row>
    <row r="395" spans="12:15" x14ac:dyDescent="0.25">
      <c r="L395" s="4"/>
      <c r="M395" s="4"/>
      <c r="N395" s="4"/>
      <c r="O395" s="4"/>
    </row>
    <row r="396" spans="12:15" x14ac:dyDescent="0.25">
      <c r="L396" s="4"/>
      <c r="M396" s="4"/>
      <c r="N396" s="4"/>
      <c r="O396" s="4"/>
    </row>
    <row r="397" spans="12:15" x14ac:dyDescent="0.25">
      <c r="L397" s="4"/>
      <c r="M397" s="4"/>
      <c r="N397" s="4"/>
      <c r="O397" s="4"/>
    </row>
    <row r="398" spans="12:15" x14ac:dyDescent="0.25">
      <c r="L398" s="4"/>
      <c r="M398" s="4"/>
      <c r="N398" s="4"/>
      <c r="O398" s="4"/>
    </row>
    <row r="399" spans="12:15" x14ac:dyDescent="0.25">
      <c r="L399" s="4"/>
      <c r="M399" s="4"/>
      <c r="N399" s="4"/>
      <c r="O399" s="4"/>
    </row>
    <row r="400" spans="12:15" x14ac:dyDescent="0.25">
      <c r="L400" s="4"/>
      <c r="M400" s="4"/>
      <c r="N400" s="4"/>
      <c r="O400" s="4"/>
    </row>
    <row r="408" spans="7:11" x14ac:dyDescent="0.25">
      <c r="G408" s="4"/>
      <c r="K408" s="4"/>
    </row>
    <row r="409" spans="7:11" x14ac:dyDescent="0.25">
      <c r="G409" s="4"/>
      <c r="K409" s="4"/>
    </row>
    <row r="410" spans="7:11" x14ac:dyDescent="0.25">
      <c r="G410" s="4"/>
      <c r="K410" s="4"/>
    </row>
    <row r="411" spans="7:11" x14ac:dyDescent="0.25">
      <c r="G411" s="4"/>
      <c r="K411" s="4"/>
    </row>
    <row r="412" spans="7:11" x14ac:dyDescent="0.25">
      <c r="G412" s="4"/>
      <c r="K412" s="4"/>
    </row>
    <row r="413" spans="7:11" x14ac:dyDescent="0.25">
      <c r="G413" s="4"/>
      <c r="K413" s="4"/>
    </row>
    <row r="414" spans="7:11" x14ac:dyDescent="0.25">
      <c r="G414" s="4"/>
      <c r="K414" s="4"/>
    </row>
  </sheetData>
  <pageMargins left="0.70866141732283472" right="0.70866141732283472" top="0.74803149606299213" bottom="0.74803149606299213" header="0.31496062992125984" footer="0.31496062992125984"/>
  <pageSetup paperSize="8" orientation="portrait" horizontalDpi="360" verticalDpi="360" r:id="rId1"/>
  <headerFooter>
    <oddFooter>&amp;L&amp;D&amp;CPage &amp;P of &amp;N</oddFooter>
  </headerFooter>
  <rowBreaks count="1" manualBreakCount="1">
    <brk id="71" max="16383" man="1"/>
  </rowBreaks>
  <colBreaks count="1" manualBreakCount="1">
    <brk id="16" max="1048575" man="1"/>
  </colBreaks>
  <drawing r:id="rId2"/>
  <tableParts count="1">
    <tablePart r:id="rId3"/>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6C7802-00B0-419D-8FE8-6D61A380DFFD}">
  <sheetPr>
    <pageSetUpPr fitToPage="1"/>
  </sheetPr>
  <dimension ref="B1:AI225"/>
  <sheetViews>
    <sheetView showGridLines="0" zoomScaleNormal="100" workbookViewId="0"/>
  </sheetViews>
  <sheetFormatPr defaultColWidth="12.7109375" defaultRowHeight="15" x14ac:dyDescent="0.25"/>
  <cols>
    <col min="1" max="1" width="2.85546875" style="43" customWidth="1"/>
    <col min="2" max="2" width="5.7109375" style="43" customWidth="1"/>
    <col min="3" max="3" width="80.140625" style="44" bestFit="1" customWidth="1"/>
    <col min="4" max="4" width="51.7109375" style="43" customWidth="1"/>
    <col min="5" max="5" width="13.7109375" style="43" hidden="1" customWidth="1"/>
    <col min="6" max="6" width="9.7109375" style="44" hidden="1" customWidth="1"/>
    <col min="7" max="7" width="13.7109375" style="43" hidden="1" customWidth="1"/>
    <col min="8" max="8" width="11.7109375" style="76" hidden="1" customWidth="1"/>
    <col min="9" max="9" width="12.7109375" style="75"/>
    <col min="10" max="10" width="7.7109375" style="43" customWidth="1"/>
    <col min="11" max="11" width="7.7109375" style="75" customWidth="1"/>
    <col min="12" max="35" width="7.7109375" style="43" customWidth="1"/>
    <col min="36" max="16384" width="12.7109375" style="43"/>
  </cols>
  <sheetData>
    <row r="1" spans="2:35" x14ac:dyDescent="0.25">
      <c r="H1" s="44"/>
      <c r="I1" s="43"/>
      <c r="K1" s="43"/>
    </row>
    <row r="2" spans="2:35" ht="15" customHeight="1" x14ac:dyDescent="0.25">
      <c r="G2" s="79"/>
      <c r="H2" s="44"/>
      <c r="I2" s="43"/>
      <c r="K2" s="43"/>
    </row>
    <row r="3" spans="2:35" x14ac:dyDescent="0.25">
      <c r="H3" s="44"/>
      <c r="I3" s="43"/>
      <c r="K3" s="43"/>
    </row>
    <row r="4" spans="2:35" x14ac:dyDescent="0.25">
      <c r="H4" s="44"/>
      <c r="I4" s="43"/>
      <c r="K4" s="43"/>
    </row>
    <row r="5" spans="2:35" x14ac:dyDescent="0.25">
      <c r="H5" s="44"/>
      <c r="I5" s="43"/>
      <c r="K5" s="43"/>
    </row>
    <row r="6" spans="2:35" x14ac:dyDescent="0.25">
      <c r="H6" s="44"/>
      <c r="I6" s="43"/>
      <c r="K6" s="43"/>
      <c r="N6" s="35"/>
    </row>
    <row r="7" spans="2:35" x14ac:dyDescent="0.25">
      <c r="H7" s="44"/>
      <c r="I7" s="43"/>
      <c r="K7" s="43"/>
      <c r="N7" s="35"/>
    </row>
    <row r="8" spans="2:35" ht="18.75" customHeight="1" x14ac:dyDescent="0.25">
      <c r="B8" s="98" t="s">
        <v>26</v>
      </c>
      <c r="C8" s="98"/>
      <c r="D8" s="36"/>
      <c r="E8" s="36"/>
      <c r="F8" s="37"/>
      <c r="G8" s="36"/>
      <c r="H8" s="37"/>
      <c r="I8" s="36"/>
      <c r="J8" s="36"/>
      <c r="K8" s="36"/>
      <c r="L8" s="36"/>
      <c r="M8" s="36"/>
      <c r="N8" s="36"/>
      <c r="O8" s="36"/>
      <c r="P8" s="36"/>
      <c r="Q8" s="36"/>
      <c r="R8" s="36"/>
      <c r="S8" s="36"/>
      <c r="T8" s="36"/>
      <c r="U8" s="36"/>
      <c r="V8" s="36"/>
      <c r="W8" s="36"/>
      <c r="X8" s="36"/>
      <c r="Y8" s="36"/>
      <c r="Z8" s="36"/>
      <c r="AA8" s="36"/>
      <c r="AB8" s="36"/>
      <c r="AC8" s="36"/>
      <c r="AD8" s="36"/>
      <c r="AE8" s="36"/>
      <c r="AF8" s="36"/>
      <c r="AG8" s="36"/>
      <c r="AH8" s="36"/>
      <c r="AI8" s="36"/>
    </row>
    <row r="9" spans="2:35" ht="18.75" customHeight="1" x14ac:dyDescent="0.25">
      <c r="B9" s="99" t="str">
        <f>TEXT(MIN(E15:E49),"d-mmmm-yyyy")&amp;" to "&amp;TEXT(MAX(G15:G49),"d-mmmm-yyyy")</f>
        <v>0-January-1900 to 0-January-1900</v>
      </c>
      <c r="C9" s="99"/>
      <c r="D9" s="36"/>
      <c r="E9" s="36"/>
      <c r="F9" s="37"/>
      <c r="G9" s="36"/>
      <c r="H9" s="37"/>
      <c r="I9" s="36"/>
      <c r="J9" s="72" t="s">
        <v>48</v>
      </c>
      <c r="K9" s="36"/>
      <c r="L9" s="36"/>
      <c r="M9" s="36"/>
      <c r="N9" s="36"/>
      <c r="O9" s="36"/>
      <c r="P9" s="36"/>
      <c r="Q9" s="36"/>
      <c r="R9" s="36"/>
      <c r="S9" s="36"/>
      <c r="T9" s="36"/>
      <c r="U9" s="36"/>
      <c r="V9" s="36"/>
      <c r="W9" s="36"/>
      <c r="X9" s="36"/>
      <c r="Y9" s="36"/>
      <c r="Z9" s="36"/>
      <c r="AA9" s="36"/>
      <c r="AB9" s="36"/>
      <c r="AC9" s="36"/>
      <c r="AD9" s="36"/>
      <c r="AE9" s="36"/>
      <c r="AF9" s="36"/>
      <c r="AG9" s="36"/>
      <c r="AH9" s="36"/>
      <c r="AI9" s="36"/>
    </row>
    <row r="10" spans="2:35" ht="15" customHeight="1" x14ac:dyDescent="0.25">
      <c r="B10" s="42"/>
      <c r="H10" s="44"/>
      <c r="I10" s="43"/>
      <c r="K10" s="43"/>
    </row>
    <row r="11" spans="2:35" ht="18.75" customHeight="1" x14ac:dyDescent="0.25">
      <c r="B11" s="100" t="s">
        <v>47</v>
      </c>
      <c r="C11" s="100"/>
      <c r="H11" s="44"/>
      <c r="I11" s="43"/>
      <c r="J11" s="43" t="s">
        <v>27</v>
      </c>
      <c r="K11" s="43"/>
      <c r="L11" s="45"/>
      <c r="N11" s="43" t="s">
        <v>28</v>
      </c>
      <c r="P11" s="80"/>
      <c r="R11" s="43" t="s">
        <v>15</v>
      </c>
      <c r="T11" s="81"/>
      <c r="V11" s="43" t="s">
        <v>38</v>
      </c>
      <c r="Y11" s="82"/>
    </row>
    <row r="12" spans="2:35" ht="23.25" x14ac:dyDescent="0.25">
      <c r="B12" s="39"/>
      <c r="C12" s="37"/>
      <c r="D12" s="36"/>
      <c r="E12" s="36"/>
      <c r="F12" s="37"/>
      <c r="G12" s="36"/>
      <c r="H12" s="37"/>
      <c r="I12" s="36"/>
      <c r="J12" s="36"/>
      <c r="K12" s="36"/>
      <c r="L12" s="36"/>
      <c r="M12" s="36"/>
      <c r="N12" s="36"/>
      <c r="O12" s="36"/>
      <c r="P12" s="36"/>
      <c r="Q12" s="36"/>
      <c r="R12" s="36"/>
      <c r="S12" s="36"/>
      <c r="T12" s="36"/>
      <c r="U12" s="36"/>
      <c r="V12" s="36"/>
      <c r="W12" s="36"/>
      <c r="X12" s="36"/>
      <c r="Y12" s="36"/>
      <c r="Z12" s="36"/>
      <c r="AA12" s="36"/>
      <c r="AB12" s="36"/>
      <c r="AC12" s="36"/>
      <c r="AD12" s="36"/>
      <c r="AE12" s="36"/>
      <c r="AF12" s="36"/>
      <c r="AG12" s="36"/>
      <c r="AH12" s="36"/>
      <c r="AI12" s="36"/>
    </row>
    <row r="14" spans="2:35" ht="30" x14ac:dyDescent="0.25">
      <c r="B14" s="40" t="s">
        <v>6</v>
      </c>
      <c r="C14" s="41" t="s">
        <v>0</v>
      </c>
      <c r="D14" s="40" t="s">
        <v>2</v>
      </c>
      <c r="E14" s="40" t="s">
        <v>4</v>
      </c>
      <c r="F14" s="41" t="s">
        <v>25</v>
      </c>
      <c r="G14" s="40" t="s">
        <v>5</v>
      </c>
      <c r="H14" s="41" t="s">
        <v>10</v>
      </c>
      <c r="I14" s="40" t="s">
        <v>3</v>
      </c>
      <c r="J14" s="83">
        <f>MIN(E15:E38)+'Scroll Bar'!B7</f>
        <v>0</v>
      </c>
      <c r="K14" s="83">
        <f>J14+1</f>
        <v>1</v>
      </c>
      <c r="L14" s="83">
        <f t="shared" ref="L14:AI14" si="0">K14+1</f>
        <v>2</v>
      </c>
      <c r="M14" s="83">
        <f t="shared" si="0"/>
        <v>3</v>
      </c>
      <c r="N14" s="83">
        <f t="shared" si="0"/>
        <v>4</v>
      </c>
      <c r="O14" s="83">
        <f t="shared" si="0"/>
        <v>5</v>
      </c>
      <c r="P14" s="83">
        <f t="shared" si="0"/>
        <v>6</v>
      </c>
      <c r="Q14" s="83">
        <f t="shared" si="0"/>
        <v>7</v>
      </c>
      <c r="R14" s="83">
        <f t="shared" si="0"/>
        <v>8</v>
      </c>
      <c r="S14" s="83">
        <f t="shared" si="0"/>
        <v>9</v>
      </c>
      <c r="T14" s="83">
        <f t="shared" si="0"/>
        <v>10</v>
      </c>
      <c r="U14" s="83">
        <f t="shared" si="0"/>
        <v>11</v>
      </c>
      <c r="V14" s="83">
        <f t="shared" si="0"/>
        <v>12</v>
      </c>
      <c r="W14" s="83">
        <f t="shared" si="0"/>
        <v>13</v>
      </c>
      <c r="X14" s="83">
        <f t="shared" si="0"/>
        <v>14</v>
      </c>
      <c r="Y14" s="83">
        <f t="shared" si="0"/>
        <v>15</v>
      </c>
      <c r="Z14" s="83">
        <f t="shared" si="0"/>
        <v>16</v>
      </c>
      <c r="AA14" s="83">
        <f t="shared" si="0"/>
        <v>17</v>
      </c>
      <c r="AB14" s="83">
        <f t="shared" si="0"/>
        <v>18</v>
      </c>
      <c r="AC14" s="83">
        <f t="shared" si="0"/>
        <v>19</v>
      </c>
      <c r="AD14" s="83">
        <f t="shared" si="0"/>
        <v>20</v>
      </c>
      <c r="AE14" s="83">
        <f t="shared" si="0"/>
        <v>21</v>
      </c>
      <c r="AF14" s="83">
        <f t="shared" si="0"/>
        <v>22</v>
      </c>
      <c r="AG14" s="83">
        <f t="shared" si="0"/>
        <v>23</v>
      </c>
      <c r="AH14" s="83">
        <f t="shared" si="0"/>
        <v>24</v>
      </c>
      <c r="AI14" s="83">
        <f t="shared" si="0"/>
        <v>25</v>
      </c>
    </row>
    <row r="15" spans="2:35" ht="15" customHeight="1" x14ac:dyDescent="0.25">
      <c r="B15" s="75">
        <v>1</v>
      </c>
      <c r="C15" s="75" t="s">
        <v>59</v>
      </c>
      <c r="D15" s="75" t="s">
        <v>71</v>
      </c>
      <c r="E15" s="75" t="s">
        <v>123</v>
      </c>
      <c r="F15" s="75">
        <v>0</v>
      </c>
      <c r="G15" s="75"/>
      <c r="H15" s="75">
        <v>0</v>
      </c>
      <c r="I15" s="77"/>
      <c r="J15" s="75"/>
    </row>
    <row r="16" spans="2:35" ht="15" customHeight="1" x14ac:dyDescent="0.25">
      <c r="B16" s="75">
        <v>2</v>
      </c>
      <c r="C16" s="75" t="s">
        <v>72</v>
      </c>
      <c r="D16" s="75" t="s">
        <v>74</v>
      </c>
      <c r="E16" s="75" t="s">
        <v>123</v>
      </c>
      <c r="F16" s="75">
        <v>0</v>
      </c>
      <c r="G16" s="75"/>
      <c r="H16" s="75">
        <v>0</v>
      </c>
      <c r="I16" s="77"/>
      <c r="J16" s="75"/>
    </row>
    <row r="17" spans="2:10" ht="15" customHeight="1" x14ac:dyDescent="0.25">
      <c r="B17" s="75">
        <v>3</v>
      </c>
      <c r="C17" s="75" t="s">
        <v>7</v>
      </c>
      <c r="D17" s="75" t="s">
        <v>75</v>
      </c>
      <c r="E17" s="75" t="s">
        <v>123</v>
      </c>
      <c r="F17" s="75">
        <v>0</v>
      </c>
      <c r="G17" s="75"/>
      <c r="H17" s="75">
        <v>0</v>
      </c>
      <c r="I17" s="77"/>
      <c r="J17" s="75"/>
    </row>
    <row r="18" spans="2:10" x14ac:dyDescent="0.25">
      <c r="B18" s="75">
        <v>4</v>
      </c>
      <c r="C18" s="75" t="s">
        <v>76</v>
      </c>
      <c r="D18" s="75" t="s">
        <v>78</v>
      </c>
      <c r="E18" s="75" t="s">
        <v>123</v>
      </c>
      <c r="F18" s="75">
        <v>0</v>
      </c>
      <c r="G18" s="75"/>
      <c r="H18" s="75">
        <v>0</v>
      </c>
      <c r="I18" s="77"/>
      <c r="J18" s="75"/>
    </row>
    <row r="19" spans="2:10" ht="15" customHeight="1" x14ac:dyDescent="0.25">
      <c r="B19" s="75">
        <v>5</v>
      </c>
      <c r="C19" s="75" t="s">
        <v>79</v>
      </c>
      <c r="D19" s="75" t="s">
        <v>81</v>
      </c>
      <c r="E19" s="75" t="s">
        <v>123</v>
      </c>
      <c r="F19" s="75">
        <v>0</v>
      </c>
      <c r="G19" s="75"/>
      <c r="H19" s="75">
        <v>0</v>
      </c>
      <c r="I19" s="77"/>
      <c r="J19" s="75"/>
    </row>
    <row r="20" spans="2:10" x14ac:dyDescent="0.25">
      <c r="B20" s="75">
        <v>6</v>
      </c>
      <c r="C20" s="75" t="s">
        <v>82</v>
      </c>
      <c r="D20" s="75" t="s">
        <v>84</v>
      </c>
      <c r="E20" s="75" t="s">
        <v>123</v>
      </c>
      <c r="F20" s="75">
        <v>0</v>
      </c>
      <c r="G20" s="75"/>
      <c r="H20" s="75">
        <v>0</v>
      </c>
      <c r="I20" s="77"/>
      <c r="J20" s="75"/>
    </row>
    <row r="21" spans="2:10" x14ac:dyDescent="0.25">
      <c r="B21" s="75">
        <v>7</v>
      </c>
      <c r="C21" s="75" t="s">
        <v>60</v>
      </c>
      <c r="D21" s="75" t="s">
        <v>84</v>
      </c>
      <c r="E21" s="75" t="s">
        <v>123</v>
      </c>
      <c r="F21" s="75">
        <v>0</v>
      </c>
      <c r="G21" s="75"/>
      <c r="H21" s="75">
        <v>0</v>
      </c>
      <c r="I21" s="77"/>
      <c r="J21" s="75"/>
    </row>
    <row r="22" spans="2:10" x14ac:dyDescent="0.25">
      <c r="B22" s="75">
        <v>8</v>
      </c>
      <c r="C22" s="75" t="s">
        <v>86</v>
      </c>
      <c r="D22" s="75" t="s">
        <v>84</v>
      </c>
      <c r="E22" s="75" t="s">
        <v>123</v>
      </c>
      <c r="F22" s="75">
        <v>0</v>
      </c>
      <c r="G22" s="75"/>
      <c r="H22" s="75">
        <v>0</v>
      </c>
      <c r="I22" s="77"/>
      <c r="J22" s="75"/>
    </row>
    <row r="23" spans="2:10" x14ac:dyDescent="0.25">
      <c r="B23" s="75">
        <v>9</v>
      </c>
      <c r="C23" s="75" t="s">
        <v>61</v>
      </c>
      <c r="D23" s="75" t="s">
        <v>84</v>
      </c>
      <c r="E23" s="75" t="s">
        <v>123</v>
      </c>
      <c r="F23" s="75">
        <v>0</v>
      </c>
      <c r="G23" s="75"/>
      <c r="H23" s="75">
        <v>0</v>
      </c>
      <c r="I23" s="77"/>
      <c r="J23" s="75"/>
    </row>
    <row r="24" spans="2:10" x14ac:dyDescent="0.25">
      <c r="B24" s="75">
        <v>10</v>
      </c>
      <c r="C24" s="75" t="s">
        <v>62</v>
      </c>
      <c r="D24" s="75" t="s">
        <v>75</v>
      </c>
      <c r="E24" s="75" t="s">
        <v>123</v>
      </c>
      <c r="F24" s="75">
        <v>0</v>
      </c>
      <c r="G24" s="75"/>
      <c r="H24" s="75">
        <v>0</v>
      </c>
      <c r="I24" s="77"/>
      <c r="J24" s="75"/>
    </row>
    <row r="25" spans="2:10" x14ac:dyDescent="0.25">
      <c r="B25" s="75">
        <v>11</v>
      </c>
      <c r="C25" s="75" t="s">
        <v>90</v>
      </c>
      <c r="D25" s="75" t="s">
        <v>92</v>
      </c>
      <c r="E25" s="75" t="s">
        <v>123</v>
      </c>
      <c r="F25" s="75">
        <v>0</v>
      </c>
      <c r="G25" s="75"/>
      <c r="H25" s="75">
        <v>0</v>
      </c>
      <c r="I25" s="77"/>
      <c r="J25" s="75"/>
    </row>
    <row r="26" spans="2:10" x14ac:dyDescent="0.25">
      <c r="B26" s="75">
        <v>12</v>
      </c>
      <c r="C26" s="75" t="s">
        <v>93</v>
      </c>
      <c r="D26" s="75" t="s">
        <v>94</v>
      </c>
      <c r="E26" s="75" t="s">
        <v>123</v>
      </c>
      <c r="F26" s="75">
        <v>0</v>
      </c>
      <c r="G26" s="75"/>
      <c r="H26" s="75">
        <v>0</v>
      </c>
      <c r="I26" s="77"/>
      <c r="J26" s="75"/>
    </row>
    <row r="27" spans="2:10" x14ac:dyDescent="0.25">
      <c r="B27" s="75">
        <v>13</v>
      </c>
      <c r="C27" s="75" t="s">
        <v>95</v>
      </c>
      <c r="D27" s="75" t="s">
        <v>94</v>
      </c>
      <c r="E27" s="75" t="s">
        <v>123</v>
      </c>
      <c r="F27" s="75">
        <v>0</v>
      </c>
      <c r="G27" s="75"/>
      <c r="H27" s="75">
        <v>0</v>
      </c>
      <c r="I27" s="77"/>
      <c r="J27" s="75"/>
    </row>
    <row r="28" spans="2:10" x14ac:dyDescent="0.25">
      <c r="B28" s="75">
        <v>14</v>
      </c>
      <c r="C28" s="75" t="s">
        <v>97</v>
      </c>
      <c r="D28" s="75" t="s">
        <v>92</v>
      </c>
      <c r="E28" s="75" t="s">
        <v>123</v>
      </c>
      <c r="F28" s="75">
        <v>0</v>
      </c>
      <c r="G28" s="75"/>
      <c r="H28" s="75">
        <v>0</v>
      </c>
      <c r="I28" s="77"/>
      <c r="J28" s="75"/>
    </row>
    <row r="29" spans="2:10" x14ac:dyDescent="0.25">
      <c r="B29" s="75">
        <v>15</v>
      </c>
      <c r="C29" s="75" t="s">
        <v>99</v>
      </c>
      <c r="D29" s="75" t="s">
        <v>101</v>
      </c>
      <c r="E29" s="75" t="s">
        <v>123</v>
      </c>
      <c r="F29" s="75">
        <v>0</v>
      </c>
      <c r="G29" s="75"/>
      <c r="H29" s="75">
        <v>0</v>
      </c>
      <c r="I29" s="77"/>
      <c r="J29" s="75"/>
    </row>
    <row r="30" spans="2:10" x14ac:dyDescent="0.25">
      <c r="B30" s="75">
        <v>16</v>
      </c>
      <c r="C30" s="75" t="s">
        <v>102</v>
      </c>
      <c r="D30" s="75" t="s">
        <v>75</v>
      </c>
      <c r="E30" s="75" t="s">
        <v>123</v>
      </c>
      <c r="F30" s="75">
        <v>0</v>
      </c>
      <c r="G30" s="75"/>
      <c r="H30" s="75">
        <v>0</v>
      </c>
      <c r="I30" s="77"/>
      <c r="J30" s="75"/>
    </row>
    <row r="31" spans="2:10" x14ac:dyDescent="0.25">
      <c r="B31" s="75">
        <v>17</v>
      </c>
      <c r="C31" s="75" t="s">
        <v>63</v>
      </c>
      <c r="D31" s="75" t="s">
        <v>84</v>
      </c>
      <c r="E31" s="75" t="s">
        <v>123</v>
      </c>
      <c r="F31" s="75">
        <v>0</v>
      </c>
      <c r="G31" s="75"/>
      <c r="H31" s="75">
        <v>0</v>
      </c>
      <c r="I31" s="77"/>
      <c r="J31" s="75"/>
    </row>
    <row r="32" spans="2:10" x14ac:dyDescent="0.25">
      <c r="B32" s="75">
        <v>18</v>
      </c>
      <c r="C32" s="75" t="s">
        <v>8</v>
      </c>
      <c r="D32" s="75" t="s">
        <v>75</v>
      </c>
      <c r="E32" s="75" t="s">
        <v>123</v>
      </c>
      <c r="F32" s="75">
        <v>0</v>
      </c>
      <c r="G32" s="75"/>
      <c r="H32" s="75">
        <v>0</v>
      </c>
      <c r="I32" s="77"/>
      <c r="J32" s="75"/>
    </row>
    <row r="33" spans="2:11" x14ac:dyDescent="0.25">
      <c r="B33" s="75">
        <v>19</v>
      </c>
      <c r="C33" s="75" t="s">
        <v>64</v>
      </c>
      <c r="D33" s="75" t="s">
        <v>84</v>
      </c>
      <c r="E33" s="75" t="s">
        <v>123</v>
      </c>
      <c r="F33" s="75">
        <v>0</v>
      </c>
      <c r="G33" s="75"/>
      <c r="H33" s="75">
        <v>0</v>
      </c>
      <c r="I33" s="77"/>
      <c r="J33" s="75"/>
    </row>
    <row r="34" spans="2:11" x14ac:dyDescent="0.25">
      <c r="B34" s="75">
        <v>20</v>
      </c>
      <c r="C34" s="75" t="s">
        <v>106</v>
      </c>
      <c r="D34" s="75" t="s">
        <v>108</v>
      </c>
      <c r="E34" s="75" t="s">
        <v>123</v>
      </c>
      <c r="F34" s="75">
        <v>0</v>
      </c>
      <c r="G34" s="75"/>
      <c r="H34" s="75">
        <v>0</v>
      </c>
      <c r="I34" s="77"/>
      <c r="J34" s="75"/>
    </row>
    <row r="35" spans="2:11" x14ac:dyDescent="0.25">
      <c r="B35" s="75">
        <v>21</v>
      </c>
      <c r="C35" s="75" t="s">
        <v>65</v>
      </c>
      <c r="D35" s="75" t="s">
        <v>84</v>
      </c>
      <c r="E35" s="75" t="s">
        <v>123</v>
      </c>
      <c r="F35" s="75">
        <v>0</v>
      </c>
      <c r="G35" s="75"/>
      <c r="H35" s="75">
        <v>0</v>
      </c>
      <c r="I35" s="77"/>
      <c r="J35" s="75"/>
    </row>
    <row r="36" spans="2:11" x14ac:dyDescent="0.25">
      <c r="B36" s="75">
        <v>22</v>
      </c>
      <c r="C36" s="75" t="s">
        <v>66</v>
      </c>
      <c r="D36" s="75" t="s">
        <v>110</v>
      </c>
      <c r="E36" s="75" t="s">
        <v>123</v>
      </c>
      <c r="F36" s="75">
        <v>0</v>
      </c>
      <c r="G36" s="75"/>
      <c r="H36" s="75">
        <v>0</v>
      </c>
      <c r="I36" s="77"/>
      <c r="J36" s="75"/>
    </row>
    <row r="37" spans="2:11" x14ac:dyDescent="0.25">
      <c r="B37" s="75">
        <v>23</v>
      </c>
      <c r="C37" s="75" t="s">
        <v>67</v>
      </c>
      <c r="D37" s="75" t="s">
        <v>111</v>
      </c>
      <c r="E37" s="75" t="s">
        <v>123</v>
      </c>
      <c r="F37" s="75">
        <v>0</v>
      </c>
      <c r="G37" s="75"/>
      <c r="H37" s="75">
        <v>0</v>
      </c>
      <c r="I37" s="77"/>
      <c r="J37" s="75"/>
    </row>
    <row r="38" spans="2:11" x14ac:dyDescent="0.25">
      <c r="B38" s="75">
        <v>24</v>
      </c>
      <c r="C38" s="75" t="s">
        <v>68</v>
      </c>
      <c r="D38" s="75" t="s">
        <v>112</v>
      </c>
      <c r="E38" s="75" t="s">
        <v>123</v>
      </c>
      <c r="F38" s="75">
        <v>0</v>
      </c>
      <c r="G38" s="75"/>
      <c r="H38" s="75">
        <v>0</v>
      </c>
      <c r="I38" s="77"/>
      <c r="J38" s="75"/>
    </row>
    <row r="39" spans="2:11" x14ac:dyDescent="0.25">
      <c r="B39" s="78" t="s">
        <v>18</v>
      </c>
      <c r="C39" s="78"/>
      <c r="D39" s="78"/>
      <c r="E39" s="78"/>
      <c r="F39" s="78"/>
      <c r="G39" s="78"/>
      <c r="H39" s="78"/>
      <c r="I39" s="78"/>
      <c r="K39" s="43"/>
    </row>
    <row r="40" spans="2:11" x14ac:dyDescent="0.25">
      <c r="B40"/>
      <c r="C40"/>
      <c r="D40"/>
      <c r="E40"/>
      <c r="F40"/>
      <c r="G40"/>
      <c r="H40"/>
      <c r="I40"/>
      <c r="J40" s="75"/>
    </row>
    <row r="41" spans="2:11" x14ac:dyDescent="0.25">
      <c r="B41"/>
      <c r="C41"/>
      <c r="D41"/>
      <c r="E41"/>
      <c r="F41"/>
      <c r="G41"/>
      <c r="H41"/>
      <c r="I41"/>
      <c r="J41" s="75"/>
    </row>
    <row r="42" spans="2:11" x14ac:dyDescent="0.25">
      <c r="B42"/>
      <c r="C42"/>
      <c r="D42"/>
      <c r="E42"/>
      <c r="F42"/>
      <c r="G42"/>
      <c r="H42"/>
      <c r="I42"/>
      <c r="J42" s="75"/>
    </row>
    <row r="43" spans="2:11" x14ac:dyDescent="0.25">
      <c r="B43"/>
      <c r="C43"/>
      <c r="D43"/>
      <c r="E43"/>
      <c r="F43"/>
      <c r="G43"/>
      <c r="H43"/>
      <c r="I43"/>
      <c r="J43" s="75"/>
    </row>
    <row r="44" spans="2:11" x14ac:dyDescent="0.25">
      <c r="B44"/>
      <c r="C44"/>
      <c r="D44"/>
      <c r="E44"/>
      <c r="F44"/>
      <c r="G44"/>
      <c r="H44"/>
      <c r="I44"/>
      <c r="J44" s="75"/>
    </row>
    <row r="45" spans="2:11" x14ac:dyDescent="0.25">
      <c r="B45"/>
      <c r="C45"/>
      <c r="D45"/>
      <c r="E45"/>
      <c r="F45"/>
      <c r="G45"/>
      <c r="H45"/>
      <c r="I45"/>
      <c r="J45" s="75"/>
    </row>
    <row r="46" spans="2:11" x14ac:dyDescent="0.25">
      <c r="B46"/>
      <c r="C46"/>
      <c r="D46"/>
      <c r="E46"/>
      <c r="F46"/>
      <c r="G46"/>
      <c r="H46"/>
      <c r="I46"/>
      <c r="J46" s="75"/>
    </row>
    <row r="47" spans="2:11" x14ac:dyDescent="0.25">
      <c r="B47"/>
      <c r="C47"/>
      <c r="D47"/>
      <c r="E47"/>
      <c r="F47"/>
      <c r="G47"/>
      <c r="H47"/>
      <c r="I47"/>
      <c r="J47" s="75"/>
    </row>
    <row r="48" spans="2:11" x14ac:dyDescent="0.25">
      <c r="B48"/>
      <c r="C48"/>
      <c r="D48"/>
      <c r="E48"/>
      <c r="F48"/>
      <c r="G48"/>
      <c r="H48"/>
      <c r="I48"/>
      <c r="J48" s="75"/>
    </row>
    <row r="49" spans="2:10" x14ac:dyDescent="0.25">
      <c r="B49" s="5"/>
      <c r="C49" s="73"/>
      <c r="D49" s="5"/>
      <c r="E49" s="5"/>
      <c r="F49" s="5"/>
      <c r="G49" s="5"/>
      <c r="H49" s="5"/>
      <c r="I49" s="5"/>
      <c r="J49" s="75"/>
    </row>
    <row r="50" spans="2:10" x14ac:dyDescent="0.25">
      <c r="B50" s="5"/>
      <c r="C50" s="73"/>
      <c r="D50" s="5"/>
      <c r="E50" s="5"/>
      <c r="F50" s="5"/>
      <c r="G50" s="5"/>
      <c r="H50" s="5"/>
      <c r="I50" s="5"/>
      <c r="J50" s="75"/>
    </row>
    <row r="51" spans="2:10" x14ac:dyDescent="0.25">
      <c r="B51" s="5"/>
      <c r="C51" s="73"/>
      <c r="D51" s="5"/>
      <c r="E51" s="5"/>
      <c r="F51" s="5"/>
      <c r="G51" s="5"/>
      <c r="H51" s="5"/>
      <c r="I51" s="5"/>
      <c r="J51" s="75"/>
    </row>
    <row r="52" spans="2:10" x14ac:dyDescent="0.25">
      <c r="B52" s="5"/>
      <c r="C52" s="73"/>
      <c r="D52" s="5"/>
      <c r="E52" s="5"/>
      <c r="F52" s="5"/>
      <c r="G52" s="5"/>
      <c r="H52" s="5"/>
      <c r="I52" s="5"/>
      <c r="J52" s="75"/>
    </row>
    <row r="53" spans="2:10" x14ac:dyDescent="0.25">
      <c r="B53" s="5"/>
      <c r="C53" s="73"/>
      <c r="D53" s="5"/>
      <c r="E53" s="5"/>
      <c r="F53" s="5"/>
      <c r="G53" s="5"/>
      <c r="H53" s="5"/>
      <c r="I53" s="5"/>
      <c r="J53" s="75"/>
    </row>
    <row r="54" spans="2:10" x14ac:dyDescent="0.25">
      <c r="B54" s="5"/>
      <c r="C54" s="73"/>
      <c r="D54" s="5"/>
      <c r="E54" s="5"/>
      <c r="F54" s="5"/>
      <c r="G54" s="5"/>
      <c r="H54" s="5"/>
      <c r="I54" s="5"/>
      <c r="J54" s="75"/>
    </row>
    <row r="55" spans="2:10" x14ac:dyDescent="0.25">
      <c r="B55" s="5"/>
      <c r="C55" s="73"/>
      <c r="D55" s="5"/>
      <c r="E55" s="5"/>
      <c r="F55" s="5"/>
      <c r="G55" s="5"/>
      <c r="H55" s="5"/>
      <c r="I55" s="5"/>
      <c r="J55" s="75"/>
    </row>
    <row r="56" spans="2:10" x14ac:dyDescent="0.25">
      <c r="B56" s="5"/>
      <c r="C56" s="73"/>
      <c r="D56" s="5"/>
      <c r="E56" s="5"/>
      <c r="F56" s="5"/>
      <c r="G56" s="5"/>
      <c r="H56" s="5"/>
      <c r="I56" s="5"/>
      <c r="J56" s="75"/>
    </row>
    <row r="57" spans="2:10" x14ac:dyDescent="0.25">
      <c r="B57" s="5"/>
      <c r="C57" s="73"/>
      <c r="D57" s="5"/>
      <c r="E57" s="5"/>
      <c r="F57" s="5"/>
      <c r="G57" s="5"/>
      <c r="H57" s="5"/>
      <c r="I57" s="5"/>
      <c r="J57" s="75"/>
    </row>
    <row r="58" spans="2:10" x14ac:dyDescent="0.25">
      <c r="B58" s="5"/>
      <c r="C58" s="73"/>
      <c r="D58" s="5"/>
      <c r="E58" s="5"/>
      <c r="F58" s="5"/>
      <c r="G58" s="5"/>
      <c r="H58" s="5"/>
      <c r="I58" s="5"/>
      <c r="J58" s="75"/>
    </row>
    <row r="59" spans="2:10" x14ac:dyDescent="0.25">
      <c r="B59" s="5"/>
      <c r="C59" s="73"/>
      <c r="D59" s="5"/>
      <c r="E59" s="5"/>
      <c r="F59" s="5"/>
      <c r="G59" s="5"/>
      <c r="H59" s="5"/>
      <c r="I59" s="5"/>
      <c r="J59" s="75"/>
    </row>
    <row r="60" spans="2:10" x14ac:dyDescent="0.25">
      <c r="B60" s="5"/>
      <c r="C60" s="73"/>
      <c r="D60" s="5"/>
      <c r="E60" s="5"/>
      <c r="F60" s="5"/>
      <c r="G60" s="5"/>
      <c r="H60" s="5"/>
      <c r="I60" s="5"/>
      <c r="J60" s="75"/>
    </row>
    <row r="61" spans="2:10" x14ac:dyDescent="0.25">
      <c r="B61" s="5"/>
      <c r="C61" s="73"/>
      <c r="D61" s="5"/>
      <c r="E61" s="5"/>
      <c r="F61" s="5"/>
      <c r="G61" s="5"/>
      <c r="H61" s="5"/>
      <c r="I61" s="5"/>
      <c r="J61" s="75"/>
    </row>
    <row r="62" spans="2:10" x14ac:dyDescent="0.25">
      <c r="B62" s="5"/>
      <c r="C62" s="73"/>
      <c r="D62" s="5"/>
      <c r="E62" s="5"/>
      <c r="F62" s="5"/>
      <c r="G62" s="5"/>
      <c r="H62" s="5"/>
      <c r="I62" s="5"/>
      <c r="J62" s="75"/>
    </row>
    <row r="63" spans="2:10" x14ac:dyDescent="0.25">
      <c r="B63" s="5"/>
      <c r="C63" s="73"/>
      <c r="D63" s="5"/>
      <c r="E63" s="5"/>
      <c r="F63" s="5"/>
      <c r="G63" s="5"/>
      <c r="H63" s="5"/>
      <c r="I63" s="5"/>
      <c r="J63" s="75"/>
    </row>
    <row r="64" spans="2:10" x14ac:dyDescent="0.25">
      <c r="B64" s="5"/>
      <c r="C64" s="73"/>
      <c r="D64" s="5"/>
      <c r="E64" s="5"/>
      <c r="F64" s="5"/>
      <c r="G64" s="5"/>
      <c r="H64" s="5"/>
      <c r="I64" s="5"/>
      <c r="J64" s="75"/>
    </row>
    <row r="65" spans="2:10" x14ac:dyDescent="0.25">
      <c r="B65" s="5"/>
      <c r="C65" s="73"/>
      <c r="D65" s="5"/>
      <c r="E65" s="5"/>
      <c r="F65" s="5"/>
      <c r="G65" s="5"/>
      <c r="H65" s="5"/>
      <c r="I65" s="5"/>
      <c r="J65" s="75"/>
    </row>
    <row r="66" spans="2:10" x14ac:dyDescent="0.25">
      <c r="B66" s="5"/>
      <c r="C66" s="73"/>
      <c r="D66" s="5"/>
      <c r="E66" s="5"/>
      <c r="F66" s="5"/>
      <c r="G66" s="5"/>
      <c r="H66" s="5"/>
      <c r="I66" s="5"/>
      <c r="J66" s="75"/>
    </row>
    <row r="67" spans="2:10" x14ac:dyDescent="0.25">
      <c r="B67" s="5"/>
      <c r="C67" s="73"/>
      <c r="D67" s="5"/>
      <c r="E67" s="5"/>
      <c r="F67" s="5"/>
      <c r="G67" s="5"/>
      <c r="H67" s="5"/>
      <c r="I67" s="5"/>
      <c r="J67" s="75"/>
    </row>
    <row r="68" spans="2:10" x14ac:dyDescent="0.25">
      <c r="B68" s="5"/>
      <c r="C68" s="73"/>
      <c r="D68" s="5"/>
      <c r="E68" s="5"/>
      <c r="F68" s="5"/>
      <c r="G68" s="5"/>
      <c r="H68" s="5"/>
      <c r="I68" s="5"/>
      <c r="J68" s="75"/>
    </row>
    <row r="69" spans="2:10" x14ac:dyDescent="0.25">
      <c r="B69" s="5"/>
      <c r="C69" s="73"/>
      <c r="D69" s="5"/>
      <c r="E69" s="5"/>
      <c r="F69" s="5"/>
      <c r="G69" s="5"/>
      <c r="H69" s="5"/>
      <c r="I69" s="5"/>
      <c r="J69" s="75"/>
    </row>
    <row r="70" spans="2:10" x14ac:dyDescent="0.25">
      <c r="B70" s="5"/>
      <c r="C70" s="73"/>
      <c r="D70" s="5"/>
      <c r="E70" s="5"/>
      <c r="F70" s="5"/>
      <c r="G70" s="5"/>
      <c r="H70" s="5"/>
      <c r="I70" s="5"/>
      <c r="J70" s="75"/>
    </row>
    <row r="71" spans="2:10" x14ac:dyDescent="0.25">
      <c r="B71" s="5"/>
      <c r="C71" s="73"/>
      <c r="D71" s="5"/>
      <c r="E71" s="5"/>
      <c r="F71" s="5"/>
      <c r="G71" s="5"/>
      <c r="H71" s="5"/>
      <c r="I71" s="5"/>
      <c r="J71" s="75"/>
    </row>
    <row r="72" spans="2:10" x14ac:dyDescent="0.25">
      <c r="B72" s="5"/>
      <c r="C72" s="73"/>
      <c r="D72" s="5"/>
      <c r="E72" s="5"/>
      <c r="F72" s="5"/>
      <c r="G72" s="5"/>
      <c r="H72" s="5"/>
      <c r="I72" s="5"/>
      <c r="J72" s="75"/>
    </row>
    <row r="73" spans="2:10" x14ac:dyDescent="0.25">
      <c r="B73" s="5"/>
      <c r="C73" s="73"/>
      <c r="D73" s="5"/>
      <c r="E73" s="5"/>
      <c r="F73" s="5"/>
      <c r="G73" s="5"/>
      <c r="H73" s="5"/>
      <c r="I73" s="5"/>
      <c r="J73" s="75"/>
    </row>
    <row r="74" spans="2:10" x14ac:dyDescent="0.25">
      <c r="B74" s="5"/>
      <c r="C74" s="73"/>
      <c r="D74" s="5"/>
      <c r="E74" s="5"/>
      <c r="F74" s="5"/>
      <c r="G74" s="5"/>
      <c r="H74" s="5"/>
      <c r="I74" s="5"/>
      <c r="J74" s="75"/>
    </row>
    <row r="75" spans="2:10" x14ac:dyDescent="0.25">
      <c r="B75" s="5"/>
      <c r="C75" s="73"/>
      <c r="D75" s="5"/>
      <c r="E75" s="5"/>
      <c r="F75" s="5"/>
      <c r="G75" s="5"/>
      <c r="H75" s="5"/>
      <c r="I75" s="5"/>
      <c r="J75" s="75"/>
    </row>
    <row r="76" spans="2:10" x14ac:dyDescent="0.25">
      <c r="B76" s="5"/>
      <c r="C76" s="73"/>
      <c r="D76" s="5"/>
      <c r="E76" s="5"/>
      <c r="F76" s="5"/>
      <c r="G76" s="5"/>
      <c r="H76" s="5"/>
      <c r="I76" s="5"/>
      <c r="J76" s="75"/>
    </row>
    <row r="77" spans="2:10" x14ac:dyDescent="0.25">
      <c r="B77" s="5"/>
      <c r="C77" s="73"/>
      <c r="D77" s="5"/>
      <c r="E77" s="5"/>
      <c r="F77" s="5"/>
      <c r="G77" s="5"/>
      <c r="H77" s="5"/>
      <c r="I77" s="5"/>
      <c r="J77" s="75"/>
    </row>
    <row r="78" spans="2:10" x14ac:dyDescent="0.25">
      <c r="B78" s="5"/>
      <c r="C78" s="73"/>
      <c r="D78" s="5"/>
      <c r="E78" s="5"/>
      <c r="F78" s="5"/>
      <c r="G78" s="5"/>
      <c r="H78" s="5"/>
      <c r="I78" s="5"/>
      <c r="J78" s="75"/>
    </row>
    <row r="79" spans="2:10" x14ac:dyDescent="0.25">
      <c r="B79" s="5"/>
      <c r="C79" s="73"/>
      <c r="D79" s="5"/>
      <c r="E79" s="5"/>
      <c r="F79" s="5"/>
      <c r="G79" s="5"/>
      <c r="H79" s="5"/>
      <c r="I79" s="5"/>
      <c r="J79" s="75"/>
    </row>
    <row r="80" spans="2:10" x14ac:dyDescent="0.25">
      <c r="B80" s="5"/>
      <c r="C80" s="73"/>
      <c r="D80" s="5"/>
      <c r="E80" s="5"/>
      <c r="F80" s="5"/>
      <c r="G80" s="5"/>
      <c r="H80" s="5"/>
      <c r="I80" s="5"/>
      <c r="J80" s="75"/>
    </row>
    <row r="81" spans="2:10" x14ac:dyDescent="0.25">
      <c r="B81" s="5"/>
      <c r="C81" s="73"/>
      <c r="D81" s="5"/>
      <c r="E81" s="5"/>
      <c r="F81" s="5"/>
      <c r="G81" s="5"/>
      <c r="H81" s="5"/>
      <c r="I81" s="5"/>
      <c r="J81" s="75"/>
    </row>
    <row r="82" spans="2:10" x14ac:dyDescent="0.25">
      <c r="B82" s="5"/>
      <c r="C82" s="73"/>
      <c r="D82" s="5"/>
      <c r="E82" s="5"/>
      <c r="F82" s="5"/>
      <c r="G82" s="5"/>
      <c r="H82" s="5"/>
      <c r="I82" s="5"/>
      <c r="J82" s="75"/>
    </row>
    <row r="83" spans="2:10" x14ac:dyDescent="0.25">
      <c r="B83" s="5"/>
      <c r="C83" s="73"/>
      <c r="D83" s="5"/>
      <c r="E83" s="5"/>
      <c r="F83" s="5"/>
      <c r="G83" s="5"/>
      <c r="H83" s="5"/>
      <c r="I83" s="5"/>
      <c r="J83" s="75"/>
    </row>
    <row r="84" spans="2:10" x14ac:dyDescent="0.25">
      <c r="B84" s="5"/>
      <c r="C84" s="73"/>
      <c r="D84" s="5"/>
      <c r="E84" s="5"/>
      <c r="F84" s="5"/>
      <c r="G84" s="5"/>
      <c r="H84" s="5"/>
      <c r="I84" s="5"/>
      <c r="J84" s="75"/>
    </row>
    <row r="85" spans="2:10" x14ac:dyDescent="0.25">
      <c r="B85" s="5"/>
      <c r="C85" s="73"/>
      <c r="D85" s="5"/>
      <c r="E85" s="5"/>
      <c r="F85" s="5"/>
      <c r="G85" s="5"/>
      <c r="H85" s="5"/>
      <c r="I85" s="5"/>
      <c r="J85" s="75"/>
    </row>
    <row r="86" spans="2:10" x14ac:dyDescent="0.25">
      <c r="B86" s="5"/>
      <c r="C86" s="73"/>
      <c r="D86" s="5"/>
      <c r="E86" s="5"/>
      <c r="F86" s="5"/>
      <c r="G86" s="5"/>
      <c r="H86" s="5"/>
      <c r="I86" s="5"/>
      <c r="J86" s="75"/>
    </row>
    <row r="87" spans="2:10" x14ac:dyDescent="0.25">
      <c r="B87" s="5"/>
      <c r="C87" s="73"/>
      <c r="D87" s="5"/>
      <c r="E87" s="5"/>
      <c r="F87" s="5"/>
      <c r="G87" s="5"/>
      <c r="H87" s="5"/>
      <c r="I87" s="5"/>
      <c r="J87" s="75"/>
    </row>
    <row r="88" spans="2:10" x14ac:dyDescent="0.25">
      <c r="B88" s="5"/>
      <c r="C88" s="73"/>
      <c r="D88" s="5"/>
      <c r="E88" s="5"/>
      <c r="F88" s="5"/>
      <c r="G88" s="5"/>
      <c r="H88" s="5"/>
      <c r="I88" s="5"/>
      <c r="J88" s="75"/>
    </row>
    <row r="89" spans="2:10" x14ac:dyDescent="0.25">
      <c r="B89" s="5"/>
      <c r="C89" s="73"/>
      <c r="D89" s="5"/>
      <c r="E89" s="5"/>
      <c r="F89" s="5"/>
      <c r="G89" s="5"/>
      <c r="H89" s="5"/>
      <c r="I89" s="5"/>
      <c r="J89" s="75"/>
    </row>
    <row r="90" spans="2:10" x14ac:dyDescent="0.25">
      <c r="B90" s="5"/>
      <c r="C90" s="73"/>
      <c r="D90" s="5"/>
      <c r="E90" s="5"/>
      <c r="F90" s="5"/>
      <c r="G90" s="5"/>
      <c r="H90" s="5"/>
      <c r="I90" s="5"/>
      <c r="J90" s="75"/>
    </row>
    <row r="91" spans="2:10" x14ac:dyDescent="0.25">
      <c r="B91" s="5"/>
      <c r="C91" s="73"/>
      <c r="D91" s="5"/>
      <c r="E91" s="5"/>
      <c r="F91" s="5"/>
      <c r="G91" s="5"/>
      <c r="H91" s="5"/>
      <c r="I91" s="5"/>
      <c r="J91" s="75"/>
    </row>
    <row r="92" spans="2:10" x14ac:dyDescent="0.25">
      <c r="B92" s="5"/>
      <c r="C92" s="73"/>
      <c r="D92" s="5"/>
      <c r="E92" s="5"/>
      <c r="F92" s="5"/>
      <c r="G92" s="5"/>
      <c r="H92" s="5"/>
      <c r="I92" s="5"/>
      <c r="J92" s="75"/>
    </row>
    <row r="93" spans="2:10" x14ac:dyDescent="0.25">
      <c r="B93" s="5"/>
      <c r="C93" s="73"/>
      <c r="D93" s="5"/>
      <c r="E93" s="5"/>
      <c r="F93" s="5"/>
      <c r="G93" s="5"/>
      <c r="H93" s="5"/>
      <c r="I93" s="5"/>
      <c r="J93" s="75"/>
    </row>
    <row r="94" spans="2:10" x14ac:dyDescent="0.25">
      <c r="B94" s="5"/>
      <c r="C94" s="73"/>
      <c r="D94" s="5"/>
      <c r="E94" s="5"/>
      <c r="F94" s="5"/>
      <c r="G94" s="5"/>
      <c r="H94" s="5"/>
      <c r="I94" s="5"/>
      <c r="J94" s="75"/>
    </row>
    <row r="95" spans="2:10" x14ac:dyDescent="0.25">
      <c r="B95" s="5"/>
      <c r="C95" s="73"/>
      <c r="D95" s="5"/>
      <c r="E95" s="5"/>
      <c r="F95" s="5"/>
      <c r="G95" s="5"/>
      <c r="H95" s="5"/>
      <c r="I95" s="5"/>
      <c r="J95" s="75"/>
    </row>
    <row r="96" spans="2:10" x14ac:dyDescent="0.25">
      <c r="B96" s="5"/>
      <c r="C96" s="73"/>
      <c r="D96" s="5"/>
      <c r="E96" s="5"/>
      <c r="F96" s="5"/>
      <c r="G96" s="5"/>
      <c r="H96" s="5"/>
      <c r="I96" s="5"/>
      <c r="J96" s="75"/>
    </row>
    <row r="97" spans="2:10" x14ac:dyDescent="0.25">
      <c r="B97" s="5"/>
      <c r="C97" s="73"/>
      <c r="D97" s="5"/>
      <c r="E97" s="5"/>
      <c r="F97" s="5"/>
      <c r="G97" s="5"/>
      <c r="H97" s="5"/>
      <c r="I97" s="5"/>
      <c r="J97" s="75"/>
    </row>
    <row r="98" spans="2:10" x14ac:dyDescent="0.25">
      <c r="B98" s="5"/>
      <c r="C98" s="73"/>
      <c r="D98" s="5"/>
      <c r="E98" s="5"/>
      <c r="F98" s="5"/>
      <c r="G98" s="5"/>
      <c r="H98" s="5"/>
      <c r="I98" s="5"/>
      <c r="J98" s="75"/>
    </row>
    <row r="99" spans="2:10" x14ac:dyDescent="0.25">
      <c r="B99" s="5"/>
      <c r="C99" s="73"/>
      <c r="D99" s="5"/>
      <c r="E99" s="5"/>
      <c r="F99" s="5"/>
      <c r="G99" s="5"/>
      <c r="H99" s="5"/>
      <c r="I99" s="5"/>
      <c r="J99" s="75"/>
    </row>
    <row r="100" spans="2:10" x14ac:dyDescent="0.25">
      <c r="B100" s="5"/>
      <c r="C100" s="73"/>
      <c r="D100" s="5"/>
      <c r="E100" s="5"/>
      <c r="F100" s="5"/>
      <c r="G100" s="5"/>
      <c r="H100" s="5"/>
      <c r="I100" s="5"/>
      <c r="J100" s="75"/>
    </row>
    <row r="101" spans="2:10" x14ac:dyDescent="0.25">
      <c r="B101" s="5"/>
      <c r="C101" s="73"/>
      <c r="D101" s="5"/>
      <c r="E101" s="5"/>
      <c r="F101" s="5"/>
      <c r="G101" s="5"/>
      <c r="H101" s="5"/>
      <c r="I101" s="5"/>
      <c r="J101" s="75"/>
    </row>
    <row r="102" spans="2:10" x14ac:dyDescent="0.25">
      <c r="B102" s="5"/>
      <c r="C102" s="73"/>
      <c r="D102" s="5"/>
      <c r="E102" s="5"/>
      <c r="F102" s="5"/>
      <c r="G102" s="5"/>
      <c r="H102" s="5"/>
      <c r="I102" s="5"/>
      <c r="J102" s="75"/>
    </row>
    <row r="103" spans="2:10" x14ac:dyDescent="0.25">
      <c r="B103" s="5"/>
      <c r="C103" s="73"/>
      <c r="D103" s="5"/>
      <c r="E103" s="5"/>
      <c r="F103" s="5"/>
      <c r="G103" s="5"/>
      <c r="H103" s="5"/>
      <c r="I103" s="5"/>
      <c r="J103" s="75"/>
    </row>
    <row r="104" spans="2:10" x14ac:dyDescent="0.25">
      <c r="B104" s="5"/>
      <c r="C104" s="73"/>
      <c r="D104" s="5"/>
      <c r="E104" s="5"/>
      <c r="F104" s="5"/>
      <c r="G104" s="5"/>
      <c r="H104" s="5"/>
      <c r="I104" s="5"/>
      <c r="J104" s="75"/>
    </row>
    <row r="105" spans="2:10" x14ac:dyDescent="0.25">
      <c r="B105" s="5"/>
      <c r="C105" s="73"/>
      <c r="D105" s="5"/>
      <c r="E105" s="5"/>
      <c r="F105" s="5"/>
      <c r="G105" s="5"/>
      <c r="H105" s="5"/>
      <c r="I105" s="5"/>
      <c r="J105" s="75"/>
    </row>
    <row r="106" spans="2:10" x14ac:dyDescent="0.25">
      <c r="B106" s="5"/>
      <c r="C106" s="73"/>
      <c r="D106" s="5"/>
      <c r="E106" s="5"/>
      <c r="F106" s="5"/>
      <c r="G106" s="5"/>
      <c r="H106" s="5"/>
      <c r="I106" s="5"/>
      <c r="J106" s="75"/>
    </row>
    <row r="107" spans="2:10" x14ac:dyDescent="0.25">
      <c r="B107" s="5"/>
      <c r="C107" s="73"/>
      <c r="D107" s="5"/>
      <c r="E107" s="5"/>
      <c r="F107" s="5"/>
      <c r="G107" s="5"/>
      <c r="H107" s="5"/>
      <c r="I107" s="5"/>
      <c r="J107" s="75"/>
    </row>
    <row r="108" spans="2:10" x14ac:dyDescent="0.25">
      <c r="B108" s="5"/>
      <c r="C108" s="73"/>
      <c r="D108" s="5"/>
      <c r="E108" s="5"/>
      <c r="F108" s="5"/>
      <c r="G108" s="5"/>
      <c r="H108" s="5"/>
      <c r="I108" s="5"/>
      <c r="J108" s="75"/>
    </row>
    <row r="109" spans="2:10" x14ac:dyDescent="0.25">
      <c r="B109" s="5"/>
      <c r="C109" s="73"/>
      <c r="D109" s="5"/>
      <c r="E109" s="5"/>
      <c r="F109" s="5"/>
      <c r="G109" s="5"/>
      <c r="H109" s="5"/>
      <c r="I109" s="5"/>
      <c r="J109" s="75"/>
    </row>
    <row r="110" spans="2:10" x14ac:dyDescent="0.25">
      <c r="B110" s="5"/>
      <c r="C110" s="73"/>
      <c r="D110" s="5"/>
      <c r="E110" s="5"/>
      <c r="F110" s="5"/>
      <c r="G110" s="5"/>
      <c r="H110" s="5"/>
      <c r="I110" s="5"/>
      <c r="J110" s="75"/>
    </row>
    <row r="111" spans="2:10" x14ac:dyDescent="0.25">
      <c r="B111" s="5"/>
      <c r="C111" s="73"/>
      <c r="D111" s="5"/>
      <c r="E111" s="5"/>
      <c r="F111" s="5"/>
      <c r="G111" s="5"/>
      <c r="H111" s="5"/>
      <c r="I111" s="5"/>
      <c r="J111" s="75"/>
    </row>
    <row r="112" spans="2:10" x14ac:dyDescent="0.25">
      <c r="B112" s="5"/>
      <c r="C112" s="73"/>
      <c r="D112" s="5"/>
      <c r="E112" s="5"/>
      <c r="F112" s="5"/>
      <c r="G112" s="5"/>
      <c r="H112" s="5"/>
      <c r="I112" s="5"/>
      <c r="J112" s="75"/>
    </row>
    <row r="113" spans="2:10" x14ac:dyDescent="0.25">
      <c r="B113" s="5"/>
      <c r="C113" s="73"/>
      <c r="D113" s="5"/>
      <c r="E113" s="5"/>
      <c r="F113" s="5"/>
      <c r="G113" s="5"/>
      <c r="H113" s="5"/>
      <c r="I113" s="5"/>
      <c r="J113" s="75"/>
    </row>
    <row r="114" spans="2:10" x14ac:dyDescent="0.25">
      <c r="B114" s="5"/>
      <c r="C114" s="73"/>
      <c r="D114" s="5"/>
      <c r="E114" s="5"/>
      <c r="F114" s="5"/>
      <c r="G114" s="5"/>
      <c r="H114" s="5"/>
      <c r="I114" s="5"/>
      <c r="J114" s="75"/>
    </row>
    <row r="115" spans="2:10" x14ac:dyDescent="0.25">
      <c r="B115" s="5"/>
      <c r="C115" s="73"/>
      <c r="D115" s="5"/>
      <c r="E115" s="5"/>
      <c r="F115" s="5"/>
      <c r="G115" s="5"/>
      <c r="H115" s="5"/>
      <c r="I115" s="5"/>
      <c r="J115" s="75"/>
    </row>
    <row r="116" spans="2:10" x14ac:dyDescent="0.25">
      <c r="B116" s="5"/>
      <c r="C116" s="73"/>
      <c r="D116" s="5"/>
      <c r="E116" s="5"/>
      <c r="F116" s="5"/>
      <c r="G116" s="5"/>
      <c r="H116" s="5"/>
      <c r="I116" s="5"/>
      <c r="J116" s="75"/>
    </row>
    <row r="117" spans="2:10" x14ac:dyDescent="0.25">
      <c r="B117" s="5"/>
      <c r="C117" s="73"/>
      <c r="D117" s="5"/>
      <c r="E117" s="5"/>
      <c r="F117" s="5"/>
      <c r="G117" s="5"/>
      <c r="H117" s="5"/>
      <c r="I117" s="5"/>
      <c r="J117" s="75"/>
    </row>
    <row r="118" spans="2:10" x14ac:dyDescent="0.25">
      <c r="B118" s="5"/>
      <c r="C118" s="73"/>
      <c r="D118" s="5"/>
      <c r="E118" s="5"/>
      <c r="F118" s="5"/>
      <c r="G118" s="5"/>
      <c r="H118" s="5"/>
      <c r="I118" s="5"/>
      <c r="J118" s="75"/>
    </row>
    <row r="119" spans="2:10" x14ac:dyDescent="0.25">
      <c r="B119" s="5"/>
      <c r="C119" s="73"/>
      <c r="D119" s="5"/>
      <c r="E119" s="5"/>
      <c r="F119" s="5"/>
      <c r="G119" s="5"/>
      <c r="H119" s="5"/>
      <c r="I119" s="5"/>
      <c r="J119" s="75"/>
    </row>
    <row r="120" spans="2:10" x14ac:dyDescent="0.25">
      <c r="B120" s="5"/>
      <c r="C120" s="73"/>
      <c r="D120" s="5"/>
      <c r="E120" s="5"/>
      <c r="F120" s="5"/>
      <c r="G120" s="5"/>
      <c r="H120" s="5"/>
      <c r="I120" s="5"/>
      <c r="J120" s="75"/>
    </row>
    <row r="121" spans="2:10" x14ac:dyDescent="0.25">
      <c r="B121" s="5"/>
      <c r="C121" s="73"/>
      <c r="D121" s="5"/>
      <c r="E121" s="5"/>
      <c r="F121" s="5"/>
      <c r="G121" s="5"/>
      <c r="H121" s="5"/>
      <c r="I121" s="5"/>
      <c r="J121" s="75"/>
    </row>
    <row r="122" spans="2:10" x14ac:dyDescent="0.25">
      <c r="B122" s="5"/>
      <c r="C122" s="73"/>
      <c r="D122" s="5"/>
      <c r="E122" s="5"/>
      <c r="F122" s="5"/>
      <c r="G122" s="5"/>
      <c r="H122" s="5"/>
      <c r="I122" s="5"/>
      <c r="J122" s="75"/>
    </row>
    <row r="123" spans="2:10" x14ac:dyDescent="0.25">
      <c r="B123" s="5"/>
      <c r="C123" s="73"/>
      <c r="D123" s="5"/>
      <c r="E123" s="5"/>
      <c r="F123" s="5"/>
      <c r="G123" s="5"/>
      <c r="H123" s="5"/>
      <c r="I123" s="5"/>
      <c r="J123" s="75"/>
    </row>
    <row r="124" spans="2:10" x14ac:dyDescent="0.25">
      <c r="B124" s="5"/>
      <c r="C124" s="73"/>
      <c r="D124" s="5"/>
      <c r="E124" s="5"/>
      <c r="F124" s="5"/>
      <c r="G124" s="5"/>
      <c r="H124" s="5"/>
      <c r="I124" s="5"/>
      <c r="J124" s="75"/>
    </row>
    <row r="125" spans="2:10" x14ac:dyDescent="0.25">
      <c r="B125" s="5"/>
      <c r="C125" s="73"/>
      <c r="D125" s="5"/>
      <c r="E125" s="5"/>
      <c r="F125" s="5"/>
      <c r="G125" s="5"/>
      <c r="H125" s="5"/>
      <c r="I125" s="5"/>
      <c r="J125" s="75"/>
    </row>
    <row r="126" spans="2:10" x14ac:dyDescent="0.25">
      <c r="B126" s="5"/>
      <c r="C126" s="73"/>
      <c r="D126" s="5"/>
      <c r="E126" s="5"/>
      <c r="F126" s="5"/>
      <c r="G126" s="5"/>
      <c r="H126" s="5"/>
      <c r="I126" s="5"/>
      <c r="J126" s="75"/>
    </row>
    <row r="127" spans="2:10" x14ac:dyDescent="0.25">
      <c r="B127" s="5"/>
      <c r="C127" s="73"/>
      <c r="D127" s="5"/>
      <c r="E127" s="5"/>
      <c r="F127" s="5"/>
      <c r="G127" s="5"/>
      <c r="H127" s="5"/>
      <c r="I127" s="5"/>
      <c r="J127" s="75"/>
    </row>
    <row r="128" spans="2:10" x14ac:dyDescent="0.25">
      <c r="B128" s="5"/>
      <c r="C128" s="73"/>
      <c r="D128" s="5"/>
      <c r="E128" s="5"/>
      <c r="F128" s="5"/>
      <c r="G128" s="5"/>
      <c r="H128" s="5"/>
      <c r="I128" s="5"/>
      <c r="J128" s="75"/>
    </row>
    <row r="129" spans="2:10" x14ac:dyDescent="0.25">
      <c r="B129" s="5"/>
      <c r="C129" s="73"/>
      <c r="D129" s="5"/>
      <c r="E129" s="5"/>
      <c r="F129" s="5"/>
      <c r="G129" s="5"/>
      <c r="H129" s="5"/>
      <c r="I129" s="5"/>
      <c r="J129" s="75"/>
    </row>
    <row r="130" spans="2:10" x14ac:dyDescent="0.25">
      <c r="B130" s="5"/>
      <c r="C130" s="73"/>
      <c r="D130" s="5"/>
      <c r="E130" s="5"/>
      <c r="F130" s="5"/>
      <c r="G130" s="5"/>
      <c r="H130" s="5"/>
      <c r="I130" s="5"/>
      <c r="J130" s="75"/>
    </row>
    <row r="131" spans="2:10" x14ac:dyDescent="0.25">
      <c r="B131" s="5"/>
      <c r="C131" s="73"/>
      <c r="D131" s="5"/>
      <c r="E131" s="5"/>
      <c r="F131" s="5"/>
      <c r="G131" s="5"/>
      <c r="H131" s="5"/>
      <c r="I131" s="5"/>
      <c r="J131" s="75"/>
    </row>
    <row r="132" spans="2:10" x14ac:dyDescent="0.25">
      <c r="B132" s="5"/>
      <c r="C132" s="73"/>
      <c r="D132" s="5"/>
      <c r="E132" s="5"/>
      <c r="F132" s="5"/>
      <c r="G132" s="5"/>
      <c r="H132" s="5"/>
      <c r="I132" s="5"/>
      <c r="J132" s="75"/>
    </row>
    <row r="133" spans="2:10" x14ac:dyDescent="0.25">
      <c r="B133" s="5"/>
      <c r="C133" s="73"/>
      <c r="D133" s="5"/>
      <c r="E133" s="5"/>
      <c r="F133" s="5"/>
      <c r="G133" s="5"/>
      <c r="H133" s="5"/>
      <c r="I133" s="5"/>
      <c r="J133" s="75"/>
    </row>
    <row r="134" spans="2:10" x14ac:dyDescent="0.25">
      <c r="B134" s="5"/>
      <c r="C134" s="73"/>
      <c r="D134" s="5"/>
      <c r="E134" s="5"/>
      <c r="F134" s="5"/>
      <c r="G134" s="5"/>
      <c r="H134" s="5"/>
      <c r="I134" s="5"/>
      <c r="J134" s="75"/>
    </row>
    <row r="135" spans="2:10" x14ac:dyDescent="0.25">
      <c r="B135" s="5"/>
      <c r="C135" s="73"/>
      <c r="D135" s="5"/>
      <c r="E135" s="5"/>
      <c r="F135" s="5"/>
      <c r="G135" s="5"/>
      <c r="H135" s="5"/>
      <c r="I135" s="5"/>
      <c r="J135" s="75"/>
    </row>
    <row r="136" spans="2:10" x14ac:dyDescent="0.25">
      <c r="B136" s="5"/>
      <c r="C136" s="73"/>
      <c r="D136" s="5"/>
      <c r="E136" s="5"/>
      <c r="F136" s="5"/>
      <c r="G136" s="5"/>
      <c r="H136" s="5"/>
      <c r="I136" s="5"/>
      <c r="J136" s="75"/>
    </row>
    <row r="137" spans="2:10" x14ac:dyDescent="0.25">
      <c r="B137" s="5"/>
      <c r="C137" s="73"/>
      <c r="D137" s="5"/>
      <c r="E137" s="5"/>
      <c r="F137" s="5"/>
      <c r="G137" s="5"/>
      <c r="H137" s="5"/>
      <c r="I137" s="5"/>
      <c r="J137" s="75"/>
    </row>
    <row r="138" spans="2:10" x14ac:dyDescent="0.25">
      <c r="B138" s="5"/>
      <c r="C138" s="73"/>
      <c r="D138" s="5"/>
      <c r="E138" s="5"/>
      <c r="F138" s="5"/>
      <c r="G138" s="5"/>
      <c r="H138" s="5"/>
      <c r="I138" s="5"/>
      <c r="J138" s="75"/>
    </row>
    <row r="139" spans="2:10" x14ac:dyDescent="0.25">
      <c r="B139" s="5"/>
      <c r="C139" s="73"/>
      <c r="D139" s="5"/>
      <c r="E139" s="5"/>
      <c r="F139" s="5"/>
      <c r="G139" s="5"/>
      <c r="H139" s="5"/>
      <c r="I139" s="5"/>
      <c r="J139" s="75"/>
    </row>
    <row r="140" spans="2:10" x14ac:dyDescent="0.25">
      <c r="B140" s="5"/>
      <c r="C140" s="73"/>
      <c r="D140" s="5"/>
      <c r="E140" s="5"/>
      <c r="F140" s="5"/>
      <c r="G140" s="5"/>
      <c r="H140" s="5"/>
      <c r="I140" s="5"/>
      <c r="J140" s="75"/>
    </row>
    <row r="141" spans="2:10" x14ac:dyDescent="0.25">
      <c r="B141" s="5"/>
      <c r="C141" s="73"/>
      <c r="D141" s="5"/>
      <c r="E141" s="5"/>
      <c r="F141" s="5"/>
      <c r="G141" s="5"/>
      <c r="H141" s="5"/>
      <c r="I141" s="5"/>
      <c r="J141" s="75"/>
    </row>
    <row r="142" spans="2:10" x14ac:dyDescent="0.25">
      <c r="B142" s="5"/>
      <c r="C142" s="73"/>
      <c r="D142" s="5"/>
      <c r="E142" s="5"/>
      <c r="F142" s="5"/>
      <c r="G142" s="5"/>
      <c r="H142" s="5"/>
      <c r="I142" s="5"/>
      <c r="J142" s="75"/>
    </row>
    <row r="143" spans="2:10" x14ac:dyDescent="0.25">
      <c r="B143" s="5"/>
      <c r="C143" s="73"/>
      <c r="D143" s="5"/>
      <c r="E143" s="5"/>
      <c r="F143" s="5"/>
      <c r="G143" s="5"/>
      <c r="H143" s="5"/>
      <c r="I143" s="5"/>
      <c r="J143" s="75"/>
    </row>
    <row r="144" spans="2:10" x14ac:dyDescent="0.25">
      <c r="B144" s="5"/>
      <c r="C144" s="73"/>
      <c r="D144" s="5"/>
      <c r="E144" s="5"/>
      <c r="F144" s="5"/>
      <c r="G144" s="5"/>
      <c r="H144" s="5"/>
      <c r="I144" s="5"/>
      <c r="J144" s="75"/>
    </row>
    <row r="145" spans="2:10" x14ac:dyDescent="0.25">
      <c r="B145" s="5"/>
      <c r="C145" s="73"/>
      <c r="D145" s="5"/>
      <c r="E145" s="5"/>
      <c r="F145" s="5"/>
      <c r="G145" s="5"/>
      <c r="H145" s="5"/>
      <c r="I145" s="5"/>
      <c r="J145" s="75"/>
    </row>
    <row r="146" spans="2:10" x14ac:dyDescent="0.25">
      <c r="B146" s="5"/>
      <c r="C146" s="73"/>
      <c r="D146" s="5"/>
      <c r="E146" s="5"/>
      <c r="F146" s="5"/>
      <c r="G146" s="5"/>
      <c r="H146" s="5"/>
      <c r="I146" s="5"/>
      <c r="J146" s="75"/>
    </row>
    <row r="147" spans="2:10" x14ac:dyDescent="0.25">
      <c r="B147" s="5"/>
      <c r="C147" s="73"/>
      <c r="D147" s="5"/>
      <c r="E147" s="5"/>
      <c r="F147" s="5"/>
      <c r="G147" s="5"/>
      <c r="H147" s="5"/>
      <c r="I147" s="5"/>
      <c r="J147" s="75"/>
    </row>
    <row r="148" spans="2:10" x14ac:dyDescent="0.25">
      <c r="B148" s="5"/>
      <c r="C148" s="73"/>
      <c r="D148" s="5"/>
      <c r="E148" s="5"/>
      <c r="F148" s="5"/>
      <c r="G148" s="5"/>
      <c r="H148" s="5"/>
      <c r="I148" s="5"/>
      <c r="J148" s="75"/>
    </row>
    <row r="149" spans="2:10" x14ac:dyDescent="0.25">
      <c r="B149" s="5"/>
      <c r="C149" s="73"/>
      <c r="D149" s="5"/>
      <c r="E149" s="5"/>
      <c r="F149" s="5"/>
      <c r="G149" s="5"/>
      <c r="H149" s="5"/>
      <c r="I149" s="5"/>
      <c r="J149" s="75"/>
    </row>
    <row r="150" spans="2:10" x14ac:dyDescent="0.25">
      <c r="B150" s="5"/>
      <c r="C150" s="73"/>
      <c r="D150" s="5"/>
      <c r="E150" s="5"/>
      <c r="F150" s="5"/>
      <c r="G150" s="5"/>
      <c r="H150" s="5"/>
      <c r="I150" s="5"/>
      <c r="J150" s="75"/>
    </row>
    <row r="151" spans="2:10" x14ac:dyDescent="0.25">
      <c r="B151" s="5"/>
      <c r="C151" s="73"/>
      <c r="D151" s="5"/>
      <c r="E151" s="5"/>
      <c r="F151" s="5"/>
      <c r="G151" s="5"/>
      <c r="H151" s="5"/>
      <c r="I151" s="5"/>
      <c r="J151" s="75"/>
    </row>
    <row r="152" spans="2:10" x14ac:dyDescent="0.25">
      <c r="B152" s="5"/>
      <c r="C152" s="73"/>
      <c r="D152" s="5"/>
      <c r="E152" s="5"/>
      <c r="F152" s="5"/>
      <c r="G152" s="5"/>
      <c r="H152" s="5"/>
      <c r="I152" s="5"/>
      <c r="J152" s="75"/>
    </row>
    <row r="153" spans="2:10" x14ac:dyDescent="0.25">
      <c r="B153" s="5"/>
      <c r="C153" s="73"/>
      <c r="D153" s="5"/>
      <c r="E153" s="5"/>
      <c r="F153" s="5"/>
      <c r="G153" s="5"/>
      <c r="H153" s="5"/>
      <c r="I153" s="5"/>
      <c r="J153" s="75"/>
    </row>
    <row r="154" spans="2:10" x14ac:dyDescent="0.25">
      <c r="B154" s="5"/>
      <c r="C154" s="73"/>
      <c r="D154" s="5"/>
      <c r="E154" s="5"/>
      <c r="F154" s="5"/>
      <c r="G154" s="5"/>
      <c r="H154" s="5"/>
      <c r="I154" s="5"/>
      <c r="J154" s="75"/>
    </row>
    <row r="155" spans="2:10" x14ac:dyDescent="0.25">
      <c r="B155" s="5"/>
      <c r="C155" s="73"/>
      <c r="D155" s="5"/>
      <c r="E155" s="5"/>
      <c r="F155" s="5"/>
      <c r="G155" s="5"/>
      <c r="H155" s="5"/>
      <c r="I155" s="5"/>
      <c r="J155" s="75"/>
    </row>
    <row r="156" spans="2:10" x14ac:dyDescent="0.25">
      <c r="B156" s="5"/>
      <c r="C156" s="73"/>
      <c r="D156" s="5"/>
      <c r="E156" s="5"/>
      <c r="F156" s="5"/>
      <c r="G156" s="5"/>
      <c r="H156" s="5"/>
      <c r="I156" s="5"/>
      <c r="J156" s="75"/>
    </row>
    <row r="157" spans="2:10" x14ac:dyDescent="0.25">
      <c r="B157" s="5"/>
      <c r="C157" s="73"/>
      <c r="D157" s="5"/>
      <c r="E157" s="5"/>
      <c r="F157" s="5"/>
      <c r="G157" s="5"/>
      <c r="H157" s="5"/>
      <c r="I157" s="5"/>
      <c r="J157" s="75"/>
    </row>
    <row r="158" spans="2:10" x14ac:dyDescent="0.25">
      <c r="B158" s="5"/>
      <c r="C158" s="73"/>
      <c r="D158" s="5"/>
      <c r="E158" s="5"/>
      <c r="F158" s="5"/>
      <c r="G158" s="5"/>
      <c r="H158" s="5"/>
      <c r="I158" s="5"/>
      <c r="J158" s="75"/>
    </row>
    <row r="159" spans="2:10" x14ac:dyDescent="0.25">
      <c r="B159" s="5"/>
      <c r="C159" s="73"/>
      <c r="D159" s="5"/>
      <c r="E159" s="5"/>
      <c r="F159" s="5"/>
      <c r="G159" s="5"/>
      <c r="H159" s="5"/>
      <c r="I159" s="5"/>
      <c r="J159" s="75"/>
    </row>
    <row r="160" spans="2:10" x14ac:dyDescent="0.25">
      <c r="B160" s="5"/>
      <c r="C160" s="73"/>
      <c r="D160" s="5"/>
      <c r="E160" s="5"/>
      <c r="F160" s="5"/>
      <c r="G160" s="5"/>
      <c r="H160" s="5"/>
      <c r="I160" s="5"/>
      <c r="J160" s="75"/>
    </row>
    <row r="161" spans="2:10" x14ac:dyDescent="0.25">
      <c r="B161" s="5"/>
      <c r="C161" s="73"/>
      <c r="D161" s="5"/>
      <c r="E161" s="5"/>
      <c r="F161" s="5"/>
      <c r="G161" s="5"/>
      <c r="H161" s="5"/>
      <c r="I161" s="5"/>
      <c r="J161" s="75"/>
    </row>
    <row r="162" spans="2:10" x14ac:dyDescent="0.25">
      <c r="B162" s="5"/>
      <c r="C162" s="73"/>
      <c r="D162" s="5"/>
      <c r="E162" s="5"/>
      <c r="F162" s="5"/>
      <c r="G162" s="5"/>
      <c r="H162" s="5"/>
      <c r="I162" s="5"/>
      <c r="J162" s="75"/>
    </row>
    <row r="163" spans="2:10" x14ac:dyDescent="0.25">
      <c r="B163" s="5"/>
      <c r="C163" s="73"/>
      <c r="D163" s="5"/>
      <c r="E163" s="5"/>
      <c r="F163" s="5"/>
      <c r="G163" s="5"/>
      <c r="H163" s="5"/>
      <c r="I163" s="5"/>
      <c r="J163" s="75"/>
    </row>
    <row r="164" spans="2:10" x14ac:dyDescent="0.25">
      <c r="B164" s="5"/>
      <c r="C164" s="73"/>
      <c r="D164" s="5"/>
      <c r="E164" s="5"/>
      <c r="F164" s="5"/>
      <c r="G164" s="5"/>
      <c r="H164" s="5"/>
      <c r="I164" s="5"/>
      <c r="J164" s="75"/>
    </row>
    <row r="165" spans="2:10" x14ac:dyDescent="0.25">
      <c r="B165" s="5"/>
      <c r="C165" s="73"/>
      <c r="D165" s="5"/>
      <c r="E165" s="5"/>
      <c r="F165" s="5"/>
      <c r="G165" s="5"/>
      <c r="H165" s="5"/>
      <c r="I165" s="5"/>
      <c r="J165" s="75"/>
    </row>
    <row r="166" spans="2:10" x14ac:dyDescent="0.25">
      <c r="B166" s="5"/>
      <c r="C166" s="73"/>
      <c r="D166" s="5"/>
      <c r="E166" s="5"/>
      <c r="F166" s="5"/>
      <c r="G166" s="5"/>
      <c r="H166" s="5"/>
      <c r="I166" s="5"/>
      <c r="J166" s="75"/>
    </row>
    <row r="167" spans="2:10" x14ac:dyDescent="0.25">
      <c r="B167" s="5"/>
      <c r="C167" s="73"/>
      <c r="D167" s="5"/>
      <c r="E167" s="5"/>
      <c r="F167" s="5"/>
      <c r="G167" s="5"/>
      <c r="H167" s="5"/>
      <c r="I167" s="5"/>
      <c r="J167" s="75"/>
    </row>
    <row r="168" spans="2:10" x14ac:dyDescent="0.25">
      <c r="B168" s="5"/>
      <c r="C168" s="73"/>
      <c r="D168" s="5"/>
      <c r="E168" s="5"/>
      <c r="F168" s="5"/>
      <c r="G168" s="5"/>
      <c r="H168" s="5"/>
      <c r="I168" s="5"/>
      <c r="J168" s="75"/>
    </row>
    <row r="169" spans="2:10" x14ac:dyDescent="0.25">
      <c r="B169" s="5"/>
      <c r="C169" s="73"/>
      <c r="D169" s="5"/>
      <c r="E169" s="5"/>
      <c r="F169" s="5"/>
      <c r="G169" s="5"/>
      <c r="H169" s="5"/>
      <c r="I169" s="5"/>
      <c r="J169" s="75"/>
    </row>
    <row r="170" spans="2:10" x14ac:dyDescent="0.25">
      <c r="B170" s="5"/>
      <c r="C170" s="73"/>
      <c r="D170" s="5"/>
      <c r="E170" s="5"/>
      <c r="F170" s="5"/>
      <c r="G170" s="5"/>
      <c r="H170" s="5"/>
      <c r="I170" s="5"/>
      <c r="J170" s="75"/>
    </row>
    <row r="171" spans="2:10" x14ac:dyDescent="0.25">
      <c r="B171" s="5"/>
      <c r="C171" s="73"/>
      <c r="D171" s="5"/>
      <c r="E171" s="5"/>
      <c r="F171" s="5"/>
      <c r="G171" s="5"/>
      <c r="H171" s="5"/>
      <c r="I171" s="5"/>
      <c r="J171" s="75"/>
    </row>
    <row r="172" spans="2:10" x14ac:dyDescent="0.25">
      <c r="B172" s="5"/>
      <c r="C172" s="73"/>
      <c r="D172" s="5"/>
      <c r="E172" s="5"/>
      <c r="F172" s="5"/>
      <c r="G172" s="5"/>
      <c r="H172" s="5"/>
      <c r="I172" s="5"/>
      <c r="J172" s="75"/>
    </row>
    <row r="173" spans="2:10" x14ac:dyDescent="0.25">
      <c r="B173" s="5"/>
      <c r="C173" s="73"/>
      <c r="D173" s="5"/>
      <c r="E173" s="5"/>
      <c r="F173" s="5"/>
      <c r="G173" s="5"/>
      <c r="H173" s="5"/>
      <c r="I173" s="5"/>
      <c r="J173" s="75"/>
    </row>
    <row r="174" spans="2:10" x14ac:dyDescent="0.25">
      <c r="B174" s="5"/>
      <c r="C174" s="73"/>
      <c r="D174" s="5"/>
      <c r="E174" s="5"/>
      <c r="F174" s="5"/>
      <c r="G174" s="5"/>
      <c r="H174" s="5"/>
      <c r="I174" s="5"/>
      <c r="J174" s="75"/>
    </row>
    <row r="175" spans="2:10" x14ac:dyDescent="0.25">
      <c r="B175" s="5"/>
      <c r="C175" s="73"/>
      <c r="D175" s="5"/>
      <c r="E175" s="5"/>
      <c r="F175" s="5"/>
      <c r="G175" s="5"/>
      <c r="H175" s="5"/>
      <c r="I175" s="5"/>
      <c r="J175" s="75"/>
    </row>
    <row r="176" spans="2:10" x14ac:dyDescent="0.25">
      <c r="B176" s="5"/>
      <c r="C176" s="73"/>
      <c r="D176" s="5"/>
      <c r="E176" s="5"/>
      <c r="F176" s="5"/>
      <c r="G176" s="5"/>
      <c r="H176" s="5"/>
      <c r="I176" s="5"/>
      <c r="J176" s="75"/>
    </row>
    <row r="177" spans="2:10" x14ac:dyDescent="0.25">
      <c r="B177" s="5"/>
      <c r="C177" s="73"/>
      <c r="D177" s="5"/>
      <c r="E177" s="5"/>
      <c r="F177" s="5"/>
      <c r="G177" s="5"/>
      <c r="H177" s="5"/>
      <c r="I177" s="5"/>
      <c r="J177" s="75"/>
    </row>
    <row r="178" spans="2:10" x14ac:dyDescent="0.25">
      <c r="B178" s="5"/>
      <c r="C178" s="73"/>
      <c r="D178" s="5"/>
      <c r="E178" s="5"/>
      <c r="F178" s="5"/>
      <c r="G178" s="5"/>
      <c r="H178" s="5"/>
      <c r="I178" s="5"/>
      <c r="J178" s="75"/>
    </row>
    <row r="179" spans="2:10" x14ac:dyDescent="0.25">
      <c r="B179" s="5"/>
      <c r="C179" s="73"/>
      <c r="D179" s="5"/>
      <c r="E179" s="5"/>
      <c r="F179" s="5"/>
      <c r="G179" s="5"/>
      <c r="H179" s="5"/>
      <c r="I179" s="5"/>
      <c r="J179" s="75"/>
    </row>
    <row r="180" spans="2:10" x14ac:dyDescent="0.25">
      <c r="B180" s="5"/>
      <c r="C180" s="73"/>
      <c r="D180" s="5"/>
      <c r="E180" s="5"/>
      <c r="F180" s="5"/>
      <c r="G180" s="5"/>
      <c r="H180" s="5"/>
      <c r="I180" s="5"/>
      <c r="J180" s="75"/>
    </row>
    <row r="181" spans="2:10" x14ac:dyDescent="0.25">
      <c r="B181" s="5"/>
      <c r="C181" s="73"/>
      <c r="D181" s="5"/>
      <c r="E181" s="5"/>
      <c r="F181" s="5"/>
      <c r="G181" s="5"/>
      <c r="H181" s="5"/>
      <c r="I181" s="5"/>
      <c r="J181" s="75"/>
    </row>
    <row r="182" spans="2:10" x14ac:dyDescent="0.25">
      <c r="B182" s="5"/>
      <c r="C182" s="73"/>
      <c r="D182" s="5"/>
      <c r="E182" s="5"/>
      <c r="F182" s="5"/>
      <c r="G182" s="5"/>
      <c r="H182" s="5"/>
      <c r="I182" s="5"/>
      <c r="J182" s="75"/>
    </row>
    <row r="183" spans="2:10" x14ac:dyDescent="0.25">
      <c r="B183" s="5"/>
      <c r="C183" s="73"/>
      <c r="D183" s="5"/>
      <c r="E183" s="5"/>
      <c r="F183" s="5"/>
      <c r="G183" s="5"/>
      <c r="H183" s="5"/>
      <c r="I183" s="5"/>
      <c r="J183" s="75"/>
    </row>
    <row r="184" spans="2:10" x14ac:dyDescent="0.25">
      <c r="B184" s="5"/>
      <c r="C184" s="73"/>
      <c r="D184" s="5"/>
      <c r="E184" s="5"/>
      <c r="F184" s="5"/>
      <c r="G184" s="5"/>
      <c r="H184" s="5"/>
      <c r="I184" s="5"/>
      <c r="J184" s="75"/>
    </row>
    <row r="185" spans="2:10" x14ac:dyDescent="0.25">
      <c r="B185" s="5"/>
      <c r="C185" s="73"/>
      <c r="D185" s="5"/>
      <c r="E185" s="5"/>
      <c r="F185" s="5"/>
      <c r="G185" s="5"/>
      <c r="H185" s="5"/>
      <c r="I185" s="5"/>
      <c r="J185" s="75"/>
    </row>
    <row r="186" spans="2:10" x14ac:dyDescent="0.25">
      <c r="B186" s="5"/>
      <c r="C186" s="73"/>
      <c r="D186" s="5"/>
      <c r="E186" s="5"/>
      <c r="F186" s="5"/>
      <c r="G186" s="5"/>
      <c r="H186" s="5"/>
      <c r="I186" s="5"/>
      <c r="J186" s="75"/>
    </row>
    <row r="187" spans="2:10" x14ac:dyDescent="0.25">
      <c r="B187" s="5"/>
      <c r="C187" s="73"/>
      <c r="D187" s="5"/>
      <c r="E187" s="5"/>
      <c r="F187" s="5"/>
      <c r="G187" s="5"/>
      <c r="H187" s="5"/>
      <c r="I187" s="5"/>
      <c r="J187" s="75"/>
    </row>
    <row r="188" spans="2:10" x14ac:dyDescent="0.25">
      <c r="B188" s="5"/>
      <c r="C188" s="73"/>
      <c r="D188" s="5"/>
      <c r="E188" s="5"/>
      <c r="F188" s="5"/>
      <c r="G188" s="5"/>
      <c r="H188" s="5"/>
      <c r="I188" s="5"/>
      <c r="J188" s="75"/>
    </row>
    <row r="189" spans="2:10" x14ac:dyDescent="0.25">
      <c r="B189" s="5"/>
      <c r="C189" s="73"/>
      <c r="D189" s="5"/>
      <c r="E189" s="5"/>
      <c r="F189" s="5"/>
      <c r="G189" s="5"/>
      <c r="H189" s="5"/>
      <c r="I189" s="5"/>
      <c r="J189" s="75"/>
    </row>
    <row r="190" spans="2:10" x14ac:dyDescent="0.25">
      <c r="B190" s="5"/>
      <c r="C190" s="73"/>
      <c r="D190" s="5"/>
      <c r="E190" s="5"/>
      <c r="F190" s="5"/>
      <c r="G190" s="5"/>
      <c r="H190" s="5"/>
      <c r="I190" s="5"/>
      <c r="J190" s="75"/>
    </row>
    <row r="191" spans="2:10" x14ac:dyDescent="0.25">
      <c r="B191" s="5"/>
      <c r="C191" s="73"/>
      <c r="D191" s="5"/>
      <c r="E191" s="5"/>
      <c r="F191" s="5"/>
      <c r="G191" s="5"/>
      <c r="H191" s="5"/>
      <c r="I191" s="5"/>
      <c r="J191" s="75"/>
    </row>
    <row r="192" spans="2:10" x14ac:dyDescent="0.25">
      <c r="B192" s="5"/>
      <c r="C192" s="73"/>
      <c r="D192" s="5"/>
      <c r="E192" s="5"/>
      <c r="F192" s="5"/>
      <c r="G192" s="5"/>
      <c r="H192" s="5"/>
      <c r="I192" s="5"/>
      <c r="J192" s="75"/>
    </row>
    <row r="193" spans="2:10" x14ac:dyDescent="0.25">
      <c r="B193" s="5"/>
      <c r="C193" s="73"/>
      <c r="D193" s="5"/>
      <c r="E193" s="5"/>
      <c r="F193" s="5"/>
      <c r="G193" s="5"/>
      <c r="H193" s="5"/>
      <c r="I193" s="5"/>
      <c r="J193" s="75"/>
    </row>
    <row r="194" spans="2:10" x14ac:dyDescent="0.25">
      <c r="B194" s="5"/>
      <c r="C194" s="73"/>
      <c r="D194" s="5"/>
      <c r="E194" s="5"/>
      <c r="F194" s="5"/>
      <c r="G194" s="5"/>
      <c r="H194" s="5"/>
      <c r="I194" s="5"/>
      <c r="J194" s="75"/>
    </row>
    <row r="195" spans="2:10" x14ac:dyDescent="0.25">
      <c r="B195" s="5"/>
      <c r="C195" s="73"/>
      <c r="D195" s="5"/>
      <c r="E195" s="5"/>
      <c r="F195" s="5"/>
      <c r="G195" s="5"/>
      <c r="H195" s="5"/>
      <c r="I195" s="5"/>
      <c r="J195" s="75"/>
    </row>
    <row r="196" spans="2:10" x14ac:dyDescent="0.25">
      <c r="B196" s="5"/>
      <c r="C196" s="73"/>
      <c r="D196" s="5"/>
      <c r="E196" s="5"/>
      <c r="F196" s="5"/>
      <c r="G196" s="5"/>
      <c r="H196" s="5"/>
      <c r="I196" s="5"/>
      <c r="J196" s="75"/>
    </row>
    <row r="197" spans="2:10" x14ac:dyDescent="0.25">
      <c r="B197" s="5"/>
      <c r="C197" s="73"/>
      <c r="D197" s="5"/>
      <c r="E197" s="5"/>
      <c r="F197" s="5"/>
      <c r="G197" s="5"/>
      <c r="H197" s="5"/>
      <c r="I197" s="5"/>
      <c r="J197" s="75"/>
    </row>
    <row r="198" spans="2:10" x14ac:dyDescent="0.25">
      <c r="B198" s="5"/>
      <c r="C198" s="73"/>
      <c r="D198" s="5"/>
      <c r="E198" s="5"/>
      <c r="F198" s="5"/>
      <c r="G198" s="5"/>
      <c r="H198" s="5"/>
      <c r="I198" s="5"/>
      <c r="J198" s="75"/>
    </row>
    <row r="199" spans="2:10" x14ac:dyDescent="0.25">
      <c r="B199" s="5"/>
      <c r="C199" s="73"/>
      <c r="D199" s="5"/>
      <c r="E199" s="5"/>
      <c r="F199" s="5"/>
      <c r="G199" s="5"/>
      <c r="H199" s="5"/>
      <c r="I199" s="5"/>
      <c r="J199" s="75"/>
    </row>
    <row r="200" spans="2:10" x14ac:dyDescent="0.25">
      <c r="B200" s="5"/>
      <c r="C200" s="73"/>
      <c r="D200" s="5"/>
      <c r="E200" s="5"/>
      <c r="F200" s="5"/>
      <c r="G200" s="5"/>
      <c r="H200" s="5"/>
      <c r="I200" s="5"/>
      <c r="J200" s="75"/>
    </row>
    <row r="201" spans="2:10" x14ac:dyDescent="0.25">
      <c r="B201" s="5"/>
      <c r="C201" s="73"/>
      <c r="D201" s="5"/>
      <c r="E201" s="5"/>
      <c r="F201" s="5"/>
      <c r="G201" s="5"/>
      <c r="H201" s="5"/>
      <c r="I201" s="5"/>
      <c r="J201" s="75"/>
    </row>
    <row r="202" spans="2:10" x14ac:dyDescent="0.25">
      <c r="B202" s="5"/>
      <c r="C202" s="73"/>
      <c r="D202" s="5"/>
      <c r="E202" s="5"/>
      <c r="F202" s="5"/>
      <c r="G202" s="5"/>
      <c r="H202" s="5"/>
      <c r="I202" s="5"/>
      <c r="J202" s="75"/>
    </row>
    <row r="203" spans="2:10" x14ac:dyDescent="0.25">
      <c r="B203" s="5"/>
      <c r="C203" s="73"/>
      <c r="D203" s="5"/>
      <c r="E203" s="5"/>
      <c r="F203" s="5"/>
      <c r="G203" s="5"/>
      <c r="H203" s="5"/>
      <c r="I203" s="5"/>
      <c r="J203" s="75"/>
    </row>
    <row r="204" spans="2:10" x14ac:dyDescent="0.25">
      <c r="B204" s="5"/>
      <c r="C204" s="73"/>
      <c r="D204" s="5"/>
      <c r="E204" s="5"/>
      <c r="F204" s="5"/>
      <c r="G204" s="5"/>
      <c r="H204" s="5"/>
      <c r="I204" s="5"/>
      <c r="J204" s="75"/>
    </row>
    <row r="205" spans="2:10" x14ac:dyDescent="0.25">
      <c r="B205" s="5"/>
      <c r="C205" s="73"/>
      <c r="D205" s="5"/>
      <c r="E205" s="5"/>
      <c r="F205" s="5"/>
      <c r="G205" s="5"/>
      <c r="H205" s="5"/>
      <c r="I205" s="5"/>
      <c r="J205" s="75"/>
    </row>
    <row r="206" spans="2:10" x14ac:dyDescent="0.25">
      <c r="B206" s="5"/>
      <c r="C206" s="73"/>
      <c r="D206" s="5"/>
      <c r="E206" s="5"/>
      <c r="F206" s="5"/>
      <c r="G206" s="5"/>
      <c r="H206" s="5"/>
      <c r="I206" s="5"/>
      <c r="J206" s="75"/>
    </row>
    <row r="207" spans="2:10" x14ac:dyDescent="0.25">
      <c r="B207" s="5"/>
      <c r="C207" s="73"/>
      <c r="D207" s="5"/>
      <c r="E207" s="5"/>
      <c r="F207" s="5"/>
      <c r="G207" s="5"/>
      <c r="H207" s="5"/>
      <c r="I207" s="5"/>
      <c r="J207" s="75"/>
    </row>
    <row r="208" spans="2:10" x14ac:dyDescent="0.25">
      <c r="B208" s="5"/>
      <c r="C208" s="73"/>
      <c r="D208" s="5"/>
      <c r="E208" s="5"/>
      <c r="F208" s="5"/>
      <c r="G208" s="5"/>
      <c r="H208" s="5"/>
      <c r="I208" s="5"/>
      <c r="J208" s="75"/>
    </row>
    <row r="209" spans="2:10" x14ac:dyDescent="0.25">
      <c r="B209" s="5"/>
      <c r="C209" s="73"/>
      <c r="D209" s="5"/>
      <c r="E209" s="5"/>
      <c r="F209" s="5"/>
      <c r="G209" s="5"/>
      <c r="H209" s="5"/>
      <c r="I209" s="5"/>
      <c r="J209" s="75"/>
    </row>
    <row r="210" spans="2:10" x14ac:dyDescent="0.25">
      <c r="B210" s="5"/>
      <c r="C210" s="73"/>
      <c r="D210" s="5"/>
      <c r="E210" s="5"/>
      <c r="F210" s="5"/>
      <c r="G210" s="5"/>
      <c r="H210" s="5"/>
      <c r="I210" s="5"/>
      <c r="J210" s="75"/>
    </row>
    <row r="211" spans="2:10" x14ac:dyDescent="0.25">
      <c r="B211" s="5"/>
      <c r="C211" s="73"/>
      <c r="D211" s="5"/>
      <c r="E211" s="5"/>
      <c r="F211" s="5"/>
      <c r="G211" s="5"/>
      <c r="H211" s="5"/>
      <c r="I211" s="5"/>
      <c r="J211" s="75"/>
    </row>
    <row r="212" spans="2:10" x14ac:dyDescent="0.25">
      <c r="B212" s="5"/>
      <c r="C212" s="73"/>
      <c r="D212" s="5"/>
      <c r="E212" s="5"/>
      <c r="F212" s="5"/>
      <c r="G212" s="5"/>
      <c r="H212" s="5"/>
      <c r="I212" s="5"/>
      <c r="J212" s="75"/>
    </row>
    <row r="213" spans="2:10" x14ac:dyDescent="0.25">
      <c r="B213" s="5"/>
      <c r="C213" s="73"/>
      <c r="D213" s="5"/>
      <c r="E213" s="5"/>
      <c r="F213" s="5"/>
      <c r="G213" s="5"/>
      <c r="H213" s="5"/>
      <c r="I213" s="5"/>
      <c r="J213" s="75"/>
    </row>
    <row r="214" spans="2:10" x14ac:dyDescent="0.25">
      <c r="B214" s="5"/>
      <c r="C214" s="73"/>
      <c r="D214" s="5"/>
      <c r="E214" s="5"/>
      <c r="F214" s="5"/>
      <c r="G214" s="5"/>
      <c r="H214" s="5"/>
      <c r="I214" s="5"/>
      <c r="J214" s="75"/>
    </row>
    <row r="215" spans="2:10" x14ac:dyDescent="0.25">
      <c r="B215" s="5"/>
      <c r="C215" s="73"/>
      <c r="D215" s="5"/>
      <c r="E215" s="5"/>
      <c r="F215" s="5"/>
      <c r="G215" s="5"/>
      <c r="H215" s="5"/>
      <c r="I215" s="5"/>
      <c r="J215" s="75"/>
    </row>
    <row r="216" spans="2:10" x14ac:dyDescent="0.25">
      <c r="B216" s="75"/>
      <c r="C216" s="76"/>
      <c r="D216" s="75"/>
      <c r="E216" s="75"/>
      <c r="F216" s="76"/>
      <c r="G216" s="75"/>
      <c r="J216" s="75"/>
    </row>
    <row r="217" spans="2:10" x14ac:dyDescent="0.25">
      <c r="B217" s="75"/>
      <c r="C217" s="76"/>
      <c r="D217" s="75"/>
      <c r="E217" s="75"/>
      <c r="F217" s="76"/>
      <c r="G217" s="75"/>
      <c r="J217" s="75"/>
    </row>
    <row r="218" spans="2:10" x14ac:dyDescent="0.25">
      <c r="B218" s="75"/>
      <c r="C218" s="76"/>
      <c r="D218" s="75"/>
      <c r="E218" s="75"/>
      <c r="F218" s="76"/>
      <c r="G218" s="75"/>
      <c r="J218" s="75"/>
    </row>
    <row r="219" spans="2:10" x14ac:dyDescent="0.25">
      <c r="B219" s="75"/>
      <c r="C219" s="76"/>
      <c r="D219" s="75"/>
      <c r="E219" s="75"/>
      <c r="F219" s="76"/>
      <c r="G219" s="75"/>
      <c r="J219" s="75"/>
    </row>
    <row r="220" spans="2:10" x14ac:dyDescent="0.25">
      <c r="B220" s="75"/>
      <c r="C220" s="76"/>
      <c r="D220" s="75"/>
      <c r="E220" s="75"/>
      <c r="F220" s="76"/>
      <c r="G220" s="75"/>
      <c r="J220" s="75"/>
    </row>
    <row r="221" spans="2:10" x14ac:dyDescent="0.25">
      <c r="B221" s="75"/>
      <c r="C221" s="76"/>
      <c r="D221" s="75"/>
      <c r="E221" s="75"/>
      <c r="F221" s="76"/>
      <c r="G221" s="75"/>
      <c r="J221" s="75"/>
    </row>
    <row r="222" spans="2:10" x14ac:dyDescent="0.25">
      <c r="B222" s="75"/>
      <c r="C222" s="76"/>
      <c r="D222" s="75"/>
      <c r="E222" s="75"/>
      <c r="F222" s="76"/>
      <c r="G222" s="75"/>
      <c r="J222" s="75"/>
    </row>
    <row r="223" spans="2:10" x14ac:dyDescent="0.25">
      <c r="B223" s="75"/>
      <c r="C223" s="76"/>
      <c r="D223" s="75"/>
      <c r="E223" s="75"/>
      <c r="F223" s="76"/>
      <c r="G223" s="75"/>
      <c r="J223" s="75"/>
    </row>
    <row r="224" spans="2:10" x14ac:dyDescent="0.25">
      <c r="B224" s="75"/>
      <c r="C224" s="76"/>
      <c r="D224" s="75"/>
      <c r="E224" s="75"/>
      <c r="F224" s="76"/>
      <c r="G224" s="75"/>
      <c r="J224" s="75"/>
    </row>
    <row r="225" spans="2:10" x14ac:dyDescent="0.25">
      <c r="B225" s="75"/>
      <c r="C225" s="76"/>
      <c r="D225" s="75"/>
      <c r="E225" s="75"/>
      <c r="F225" s="76"/>
      <c r="G225" s="75"/>
      <c r="J225" s="75"/>
    </row>
  </sheetData>
  <sheetProtection pivotTables="0"/>
  <mergeCells count="3">
    <mergeCell ref="B8:C8"/>
    <mergeCell ref="B9:C9"/>
    <mergeCell ref="B11:C11"/>
  </mergeCells>
  <conditionalFormatting sqref="J14:AI14">
    <cfRule type="expression" dxfId="729" priority="17">
      <formula>J$14&lt;&gt;""</formula>
    </cfRule>
  </conditionalFormatting>
  <conditionalFormatting sqref="I15:I214">
    <cfRule type="dataBar" priority="7">
      <dataBar>
        <cfvo type="percent" val="0"/>
        <cfvo type="percent" val="100"/>
        <color theme="2" tint="-0.249977111117893"/>
      </dataBar>
      <extLst>
        <ext xmlns:x14="http://schemas.microsoft.com/office/spreadsheetml/2009/9/main" uri="{B025F937-C7B1-47D3-B67F-A62EFF666E3E}">
          <x14:id>{E0925094-E235-4113-B929-2C33F493A70E}</x14:id>
        </ext>
      </extLst>
    </cfRule>
  </conditionalFormatting>
  <conditionalFormatting sqref="J15:AI214">
    <cfRule type="expression" dxfId="728" priority="1">
      <formula>$B15="Grand Total"</formula>
    </cfRule>
    <cfRule type="expression" dxfId="727" priority="12" stopIfTrue="1">
      <formula>AND(WEEKDAY(J$14,2)&gt;5,$C15&lt;&gt;"")</formula>
    </cfRule>
    <cfRule type="expression" dxfId="726" priority="14">
      <formula>AND(J$14&gt;=WORKDAY.INTL($E15,$H15,1),$I15=0,J$14&lt;=$G15)</formula>
    </cfRule>
    <cfRule type="expression" dxfId="725" priority="15">
      <formula>AND(J$14&gt;=WORKDAY.INTL($E15,$H15,1),$I15&lt;&gt;1,J$14&lt;=$G15)</formula>
    </cfRule>
    <cfRule type="expression" dxfId="724" priority="16">
      <formula>AND(J$14&gt;=$E15,WORKDAY.INTL($E15,$H15,1)-1&gt;=J$14)</formula>
    </cfRule>
  </conditionalFormatting>
  <pageMargins left="0.19685039370078741" right="0.19685039370078741" top="0.39370078740157483" bottom="0.39370078740157483" header="0.19685039370078741" footer="0.19685039370078741"/>
  <pageSetup paperSize="8" scale="58" orientation="landscape" horizontalDpi="360" verticalDpi="360" r:id="rId2"/>
  <headerFooter>
    <oddFooter>&amp;L&amp;D&amp;CPage &amp;P of &amp;N</oddFooter>
  </headerFooter>
  <colBreaks count="2" manualBreakCount="2">
    <brk id="12" max="1048575" man="1"/>
    <brk id="18" max="1048575" man="1"/>
  </colBreaks>
  <drawing r:id="rId3"/>
  <legacyDrawing r:id="rId4"/>
  <mc:AlternateContent xmlns:mc="http://schemas.openxmlformats.org/markup-compatibility/2006">
    <mc:Choice Requires="x14">
      <controls>
        <mc:AlternateContent xmlns:mc="http://schemas.openxmlformats.org/markup-compatibility/2006">
          <mc:Choice Requires="x14">
            <control shapeId="2051" r:id="rId5" name="Scroll Bar 3">
              <controlPr defaultSize="0" autoPict="0">
                <anchor moveWithCells="1">
                  <from>
                    <xdr:col>1</xdr:col>
                    <xdr:colOff>47625</xdr:colOff>
                    <xdr:row>11</xdr:row>
                    <xdr:rowOff>9525</xdr:rowOff>
                  </from>
                  <to>
                    <xdr:col>2</xdr:col>
                    <xdr:colOff>4000500</xdr:colOff>
                    <xdr:row>11</xdr:row>
                    <xdr:rowOff>285750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dataBar" id="{E0925094-E235-4113-B929-2C33F493A70E}">
            <x14:dataBar minLength="0" maxLength="100" gradient="0">
              <x14:cfvo type="percent">
                <xm:f>0</xm:f>
              </x14:cfvo>
              <x14:cfvo type="percent">
                <xm:f>100</xm:f>
              </x14:cfvo>
              <x14:negativeFillColor rgb="FFFF0000"/>
              <x14:axisColor rgb="FF000000"/>
            </x14:dataBar>
          </x14:cfRule>
          <xm:sqref>I15:I214</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4FD00C-F281-45B6-B04B-8DEAAFDB071C}">
  <sheetPr>
    <pageSetUpPr fitToPage="1"/>
  </sheetPr>
  <dimension ref="B1:Z427"/>
  <sheetViews>
    <sheetView showGridLines="0" zoomScaleNormal="100" workbookViewId="0"/>
  </sheetViews>
  <sheetFormatPr defaultColWidth="12.7109375" defaultRowHeight="15" x14ac:dyDescent="0.25"/>
  <cols>
    <col min="1" max="1" width="2.85546875" style="12" customWidth="1"/>
    <col min="2" max="2" width="8.7109375" style="12" customWidth="1"/>
    <col min="3" max="3" width="13.140625" style="12" customWidth="1"/>
    <col min="4" max="6" width="8.7109375" style="12" customWidth="1"/>
    <col min="7" max="7" width="16.28515625" style="12" customWidth="1"/>
    <col min="8" max="9" width="8.7109375" style="20" customWidth="1"/>
    <col min="10" max="10" width="8.7109375" style="12" customWidth="1"/>
    <col min="11" max="11" width="8.7109375" style="20" customWidth="1"/>
    <col min="12" max="24" width="8.7109375" style="12" customWidth="1"/>
    <col min="25" max="16384" width="12.7109375" style="12"/>
  </cols>
  <sheetData>
    <row r="1" spans="2:26" x14ac:dyDescent="0.25">
      <c r="H1" s="12"/>
      <c r="I1" s="12"/>
      <c r="K1" s="12"/>
    </row>
    <row r="2" spans="2:26" ht="15" customHeight="1" x14ac:dyDescent="0.25">
      <c r="G2" s="13"/>
      <c r="H2" s="12"/>
      <c r="I2" s="12"/>
      <c r="K2" s="12"/>
    </row>
    <row r="3" spans="2:26" x14ac:dyDescent="0.25">
      <c r="H3" s="12"/>
      <c r="I3" s="12"/>
      <c r="K3" s="12"/>
    </row>
    <row r="4" spans="2:26" x14ac:dyDescent="0.25">
      <c r="H4" s="12"/>
      <c r="I4" s="12"/>
      <c r="K4" s="12"/>
    </row>
    <row r="5" spans="2:26" x14ac:dyDescent="0.25">
      <c r="H5" s="12"/>
      <c r="I5" s="12"/>
      <c r="K5" s="12"/>
    </row>
    <row r="6" spans="2:26" x14ac:dyDescent="0.25">
      <c r="H6" s="12"/>
      <c r="I6" s="12"/>
      <c r="K6" s="12"/>
      <c r="N6" s="14"/>
    </row>
    <row r="7" spans="2:26" x14ac:dyDescent="0.25">
      <c r="H7" s="12"/>
      <c r="I7" s="12"/>
      <c r="K7" s="12"/>
      <c r="N7" s="14"/>
    </row>
    <row r="8" spans="2:26" ht="21" x14ac:dyDescent="0.25">
      <c r="B8" s="70" t="s">
        <v>57</v>
      </c>
      <c r="G8" s="68"/>
      <c r="H8" s="12"/>
      <c r="I8" s="12"/>
      <c r="K8" s="12"/>
      <c r="N8" s="14"/>
    </row>
    <row r="9" spans="2:26" ht="15.75" x14ac:dyDescent="0.25">
      <c r="B9" s="97" t="s">
        <v>48</v>
      </c>
      <c r="G9" s="68"/>
      <c r="H9" s="12"/>
      <c r="I9" s="12"/>
      <c r="K9" s="12"/>
      <c r="N9" s="14"/>
    </row>
    <row r="10" spans="2:26" x14ac:dyDescent="0.25">
      <c r="B10" s="15"/>
      <c r="H10" s="12"/>
      <c r="I10" s="12"/>
      <c r="K10" s="12"/>
      <c r="N10" s="14"/>
    </row>
    <row r="11" spans="2:26" ht="18.75" x14ac:dyDescent="0.25">
      <c r="B11" s="64" t="s">
        <v>53</v>
      </c>
      <c r="C11" s="64"/>
      <c r="D11" s="65" t="str">
        <f>TEXT(MIN('Project Gantt Chart'!E15:E49),"d-mmmm-yyyy")&amp;" to "&amp;TEXT(MAX('Project Gantt Chart'!G15:G49),"d-mmmm-yyyy")</f>
        <v>0-January-1900 to 0-January-1900</v>
      </c>
      <c r="E11" s="64"/>
      <c r="F11" s="64"/>
      <c r="G11" s="64"/>
      <c r="J11" s="26"/>
      <c r="L11" s="26"/>
      <c r="M11" s="26"/>
      <c r="N11" s="26"/>
      <c r="O11" s="26"/>
    </row>
    <row r="12" spans="2:26" s="26" customFormat="1" ht="18.75" x14ac:dyDescent="0.25">
      <c r="B12" s="57"/>
      <c r="C12" s="58"/>
      <c r="D12" s="58"/>
      <c r="E12" s="58"/>
      <c r="H12" s="59"/>
      <c r="I12" s="59"/>
      <c r="K12" s="59"/>
    </row>
    <row r="13" spans="2:26" x14ac:dyDescent="0.25">
      <c r="F13" s="26"/>
      <c r="J13" s="26"/>
      <c r="L13" s="26"/>
      <c r="M13" s="26"/>
      <c r="N13" s="26"/>
      <c r="O13" s="26"/>
    </row>
    <row r="14" spans="2:26" ht="20.100000000000001" customHeight="1" x14ac:dyDescent="0.3">
      <c r="B14" s="61" t="s">
        <v>54</v>
      </c>
      <c r="C14" s="49"/>
      <c r="D14" s="49"/>
      <c r="E14" s="49"/>
      <c r="F14" s="49"/>
      <c r="G14" s="49"/>
      <c r="H14" s="49"/>
      <c r="I14" s="60"/>
      <c r="J14" s="56"/>
      <c r="K14" s="62"/>
      <c r="L14" s="56"/>
      <c r="M14" s="56"/>
      <c r="N14" s="56"/>
      <c r="O14" s="56"/>
      <c r="P14" s="56"/>
      <c r="Q14" s="56"/>
      <c r="R14" s="56"/>
      <c r="S14" s="56"/>
      <c r="T14" s="56"/>
      <c r="U14" s="56"/>
      <c r="V14" s="56"/>
      <c r="W14" s="56"/>
      <c r="X14" s="56"/>
      <c r="Y14" s="56"/>
      <c r="Z14" s="56"/>
    </row>
    <row r="15" spans="2:26" x14ac:dyDescent="0.25">
      <c r="F15" s="26"/>
      <c r="J15" s="26"/>
      <c r="L15" s="26"/>
      <c r="M15" s="26"/>
      <c r="N15" s="26"/>
      <c r="O15" s="26"/>
    </row>
    <row r="16" spans="2:26" x14ac:dyDescent="0.25">
      <c r="F16" s="26"/>
      <c r="J16" s="26"/>
      <c r="L16" s="26"/>
      <c r="M16" s="26"/>
      <c r="N16" s="26"/>
      <c r="O16" s="26"/>
    </row>
    <row r="17" spans="6:18" x14ac:dyDescent="0.25">
      <c r="F17" s="26"/>
      <c r="J17" s="26"/>
      <c r="L17" s="26"/>
      <c r="M17" s="26"/>
      <c r="N17" s="26"/>
      <c r="O17" s="26"/>
    </row>
    <row r="18" spans="6:18" x14ac:dyDescent="0.25">
      <c r="F18" s="26"/>
      <c r="J18" s="26"/>
      <c r="L18" s="26"/>
      <c r="M18" s="26"/>
      <c r="N18" s="26"/>
      <c r="O18" s="26"/>
      <c r="P18" s="26"/>
      <c r="Q18" s="26"/>
      <c r="R18" s="26"/>
    </row>
    <row r="19" spans="6:18" x14ac:dyDescent="0.25">
      <c r="F19" s="26"/>
      <c r="J19" s="26"/>
      <c r="L19" s="26"/>
      <c r="M19" s="26"/>
      <c r="N19" s="26"/>
      <c r="O19" s="26"/>
      <c r="P19" s="26"/>
      <c r="Q19" s="26"/>
      <c r="R19" s="26"/>
    </row>
    <row r="20" spans="6:18" x14ac:dyDescent="0.25">
      <c r="F20" s="26"/>
      <c r="J20" s="26"/>
      <c r="L20" s="26"/>
      <c r="M20" s="26"/>
      <c r="N20" s="26"/>
      <c r="O20" s="26"/>
      <c r="P20" s="26"/>
      <c r="Q20" s="26"/>
      <c r="R20" s="26"/>
    </row>
    <row r="21" spans="6:18" x14ac:dyDescent="0.25">
      <c r="F21" s="26"/>
      <c r="J21" s="26"/>
      <c r="L21" s="26"/>
      <c r="M21" s="26"/>
      <c r="N21" s="26"/>
      <c r="O21" s="26"/>
      <c r="P21" s="26"/>
      <c r="Q21" s="26"/>
      <c r="R21" s="26"/>
    </row>
    <row r="22" spans="6:18" x14ac:dyDescent="0.25">
      <c r="F22" s="26"/>
      <c r="J22" s="26"/>
      <c r="L22" s="26"/>
      <c r="M22" s="26"/>
      <c r="N22" s="26"/>
      <c r="O22" s="26"/>
      <c r="P22" s="26"/>
      <c r="Q22" s="26"/>
      <c r="R22" s="26"/>
    </row>
    <row r="23" spans="6:18" x14ac:dyDescent="0.25">
      <c r="F23" s="26"/>
      <c r="J23" s="26"/>
      <c r="L23" s="26"/>
      <c r="M23" s="26"/>
      <c r="N23" s="26"/>
      <c r="O23" s="26"/>
      <c r="P23" s="26"/>
      <c r="Q23" s="26"/>
      <c r="R23" s="26"/>
    </row>
    <row r="24" spans="6:18" ht="15" customHeight="1" x14ac:dyDescent="0.25">
      <c r="F24" s="26"/>
      <c r="J24" s="26"/>
      <c r="L24" s="26"/>
      <c r="M24" s="26"/>
      <c r="N24" s="26"/>
      <c r="O24" s="26"/>
      <c r="P24" s="26"/>
      <c r="Q24" s="26"/>
      <c r="R24" s="26"/>
    </row>
    <row r="25" spans="6:18" x14ac:dyDescent="0.25">
      <c r="F25" s="26"/>
      <c r="J25" s="26"/>
      <c r="L25" s="26"/>
      <c r="M25" s="26"/>
      <c r="N25" s="26"/>
      <c r="O25" s="26"/>
      <c r="P25" s="26"/>
      <c r="Q25" s="26"/>
      <c r="R25" s="26"/>
    </row>
    <row r="26" spans="6:18" x14ac:dyDescent="0.25">
      <c r="F26" s="26"/>
      <c r="J26" s="26"/>
      <c r="L26" s="26"/>
      <c r="M26" s="26"/>
      <c r="N26" s="26"/>
      <c r="O26" s="26"/>
      <c r="P26" s="26"/>
      <c r="Q26" s="26"/>
      <c r="R26" s="26"/>
    </row>
    <row r="27" spans="6:18" x14ac:dyDescent="0.25">
      <c r="F27" s="26"/>
      <c r="J27" s="26"/>
      <c r="L27" s="26"/>
      <c r="M27" s="26"/>
      <c r="N27" s="26"/>
      <c r="O27" s="26"/>
      <c r="P27" s="26"/>
      <c r="Q27" s="26"/>
      <c r="R27" s="26"/>
    </row>
    <row r="28" spans="6:18" x14ac:dyDescent="0.25">
      <c r="F28" s="26"/>
      <c r="J28" s="26"/>
      <c r="L28" s="26"/>
      <c r="M28" s="26"/>
      <c r="N28" s="26"/>
      <c r="O28" s="26"/>
      <c r="P28" s="26"/>
      <c r="Q28" s="26"/>
      <c r="R28" s="26"/>
    </row>
    <row r="29" spans="6:18" x14ac:dyDescent="0.25">
      <c r="F29" s="26"/>
      <c r="J29" s="26"/>
      <c r="L29" s="26"/>
      <c r="M29" s="26"/>
      <c r="N29" s="26"/>
      <c r="O29" s="26"/>
      <c r="P29" s="26"/>
      <c r="Q29" s="26"/>
      <c r="R29" s="26"/>
    </row>
    <row r="30" spans="6:18" x14ac:dyDescent="0.25">
      <c r="F30" s="26"/>
      <c r="J30" s="26"/>
      <c r="L30" s="26"/>
      <c r="M30" s="26"/>
      <c r="N30" s="26"/>
      <c r="O30" s="26"/>
      <c r="P30" s="26"/>
      <c r="Q30" s="26"/>
      <c r="R30" s="26"/>
    </row>
    <row r="31" spans="6:18" x14ac:dyDescent="0.25">
      <c r="F31" s="26"/>
      <c r="J31" s="26"/>
      <c r="L31" s="26"/>
      <c r="M31" s="26"/>
      <c r="N31" s="26"/>
      <c r="O31" s="26"/>
      <c r="P31" s="26"/>
      <c r="Q31" s="26"/>
      <c r="R31" s="26"/>
    </row>
    <row r="32" spans="6:18" x14ac:dyDescent="0.25">
      <c r="F32" s="26"/>
      <c r="J32" s="26"/>
      <c r="L32" s="26"/>
      <c r="M32" s="26"/>
      <c r="N32" s="26"/>
      <c r="O32" s="26"/>
      <c r="P32" s="26"/>
      <c r="Q32" s="26"/>
      <c r="R32" s="26"/>
    </row>
    <row r="33" spans="2:26" x14ac:dyDescent="0.25">
      <c r="F33" s="26"/>
      <c r="J33" s="26"/>
      <c r="L33" s="26"/>
      <c r="M33" s="26"/>
      <c r="N33" s="26"/>
      <c r="O33" s="26"/>
      <c r="P33" s="26"/>
      <c r="Q33" s="26"/>
      <c r="R33" s="26"/>
    </row>
    <row r="34" spans="2:26" x14ac:dyDescent="0.25">
      <c r="F34" s="26"/>
      <c r="J34" s="26"/>
      <c r="L34" s="26"/>
      <c r="M34" s="26"/>
      <c r="N34" s="26"/>
      <c r="O34" s="26"/>
      <c r="P34" s="26"/>
      <c r="Q34" s="26"/>
      <c r="R34" s="26"/>
    </row>
    <row r="35" spans="2:26" x14ac:dyDescent="0.25">
      <c r="F35" s="26"/>
      <c r="J35" s="26"/>
      <c r="L35" s="26"/>
      <c r="M35" s="26"/>
      <c r="N35" s="26"/>
      <c r="O35" s="26"/>
      <c r="P35" s="26"/>
      <c r="Q35" s="26"/>
      <c r="R35" s="26"/>
    </row>
    <row r="36" spans="2:26" ht="18.75" x14ac:dyDescent="0.3">
      <c r="B36" s="61" t="s">
        <v>55</v>
      </c>
      <c r="C36" s="49"/>
      <c r="D36" s="49"/>
      <c r="E36" s="49"/>
      <c r="F36" s="49"/>
      <c r="G36" s="49"/>
      <c r="H36" s="49"/>
      <c r="I36" s="60"/>
      <c r="J36" s="56"/>
      <c r="K36" s="62"/>
      <c r="L36" s="56"/>
      <c r="M36" s="56"/>
      <c r="N36" s="56"/>
      <c r="O36" s="56"/>
      <c r="P36" s="56"/>
      <c r="Q36" s="56"/>
      <c r="R36" s="56"/>
      <c r="S36" s="56"/>
      <c r="T36" s="56"/>
      <c r="U36" s="56"/>
      <c r="V36" s="56"/>
      <c r="W36" s="56"/>
      <c r="X36" s="56"/>
      <c r="Y36" s="56"/>
      <c r="Z36" s="56"/>
    </row>
    <row r="37" spans="2:26" x14ac:dyDescent="0.25">
      <c r="F37" s="26"/>
      <c r="J37" s="26"/>
      <c r="L37" s="26"/>
      <c r="M37" s="26"/>
      <c r="N37" s="26"/>
      <c r="O37" s="26"/>
      <c r="P37" s="26"/>
      <c r="Q37" s="26"/>
      <c r="R37" s="26"/>
    </row>
    <row r="38" spans="2:26" x14ac:dyDescent="0.25">
      <c r="F38" s="26"/>
      <c r="J38" s="26"/>
      <c r="L38" s="26"/>
      <c r="M38" s="26"/>
      <c r="N38" s="26"/>
      <c r="O38" s="26"/>
      <c r="P38" s="26"/>
      <c r="Q38" s="26"/>
      <c r="R38" s="26"/>
    </row>
    <row r="39" spans="2:26" x14ac:dyDescent="0.25">
      <c r="F39" s="26"/>
      <c r="J39" s="26"/>
      <c r="L39" s="26"/>
      <c r="M39" s="26"/>
      <c r="N39" s="26"/>
      <c r="O39" s="26"/>
      <c r="P39" s="26"/>
      <c r="Q39" s="26"/>
      <c r="R39" s="26"/>
    </row>
    <row r="40" spans="2:26" x14ac:dyDescent="0.25">
      <c r="F40" s="26"/>
      <c r="J40" s="26"/>
      <c r="L40" s="26"/>
      <c r="M40" s="26"/>
      <c r="N40" s="26"/>
      <c r="O40" s="26"/>
      <c r="P40" s="26"/>
      <c r="Q40" s="26"/>
      <c r="R40" s="26"/>
    </row>
    <row r="41" spans="2:26" x14ac:dyDescent="0.25">
      <c r="F41" s="26"/>
      <c r="J41" s="26"/>
      <c r="L41" s="26"/>
      <c r="M41" s="26"/>
      <c r="N41" s="26"/>
      <c r="O41" s="26"/>
      <c r="P41" s="26"/>
      <c r="Q41" s="26"/>
      <c r="R41" s="26"/>
    </row>
    <row r="42" spans="2:26" x14ac:dyDescent="0.25">
      <c r="F42" s="26"/>
      <c r="J42" s="26"/>
      <c r="L42" s="26"/>
      <c r="M42" s="26"/>
      <c r="N42" s="26"/>
      <c r="O42" s="26"/>
      <c r="P42" s="26"/>
      <c r="Q42" s="26"/>
      <c r="R42" s="26"/>
    </row>
    <row r="43" spans="2:26" x14ac:dyDescent="0.25">
      <c r="F43" s="26"/>
      <c r="J43" s="26"/>
      <c r="L43" s="26"/>
      <c r="M43" s="26"/>
      <c r="N43" s="26"/>
      <c r="O43" s="26"/>
      <c r="P43" s="26"/>
      <c r="Q43" s="26"/>
      <c r="R43" s="26"/>
    </row>
    <row r="44" spans="2:26" x14ac:dyDescent="0.25">
      <c r="F44" s="26"/>
      <c r="J44" s="26"/>
      <c r="L44" s="26"/>
      <c r="M44" s="26"/>
      <c r="N44" s="26"/>
      <c r="O44" s="26"/>
      <c r="P44" s="26"/>
      <c r="Q44" s="26"/>
      <c r="R44" s="26"/>
    </row>
    <row r="45" spans="2:26" x14ac:dyDescent="0.25">
      <c r="F45" s="26"/>
      <c r="J45" s="26"/>
      <c r="L45" s="26"/>
      <c r="M45" s="26"/>
      <c r="N45" s="26"/>
      <c r="O45" s="26"/>
      <c r="P45" s="26"/>
      <c r="Q45" s="26"/>
      <c r="R45" s="26"/>
    </row>
    <row r="46" spans="2:26" x14ac:dyDescent="0.25">
      <c r="F46" s="26"/>
      <c r="J46" s="26"/>
      <c r="L46" s="26"/>
      <c r="M46" s="26"/>
      <c r="N46" s="26"/>
      <c r="O46" s="26"/>
      <c r="P46" s="26"/>
      <c r="Q46" s="26"/>
      <c r="R46" s="26"/>
    </row>
    <row r="47" spans="2:26" x14ac:dyDescent="0.25">
      <c r="F47" s="26"/>
      <c r="J47" s="26"/>
      <c r="L47" s="26"/>
      <c r="M47" s="26"/>
      <c r="N47" s="26"/>
      <c r="O47" s="26"/>
      <c r="P47" s="26"/>
      <c r="Q47" s="26"/>
      <c r="R47" s="26"/>
    </row>
    <row r="48" spans="2:26" x14ac:dyDescent="0.25">
      <c r="F48" s="26"/>
      <c r="J48" s="26"/>
      <c r="L48" s="26"/>
      <c r="M48" s="26"/>
      <c r="N48" s="26"/>
      <c r="O48" s="26"/>
      <c r="P48" s="26"/>
      <c r="Q48" s="26"/>
      <c r="R48" s="26"/>
    </row>
    <row r="49" spans="6:18" x14ac:dyDescent="0.25">
      <c r="F49" s="26"/>
      <c r="J49" s="26"/>
      <c r="L49" s="26"/>
      <c r="M49" s="26"/>
      <c r="N49" s="26"/>
      <c r="O49" s="26"/>
      <c r="P49" s="26"/>
      <c r="Q49" s="26"/>
      <c r="R49" s="26"/>
    </row>
    <row r="50" spans="6:18" x14ac:dyDescent="0.25">
      <c r="F50" s="26"/>
      <c r="J50" s="26"/>
      <c r="L50" s="26"/>
      <c r="M50" s="26"/>
      <c r="N50" s="26"/>
      <c r="O50" s="26"/>
      <c r="P50" s="26"/>
      <c r="Q50" s="26"/>
      <c r="R50" s="26"/>
    </row>
    <row r="51" spans="6:18" x14ac:dyDescent="0.25">
      <c r="F51" s="26"/>
      <c r="J51" s="26"/>
      <c r="L51" s="26"/>
      <c r="M51" s="26"/>
      <c r="N51" s="26"/>
      <c r="O51" s="26"/>
      <c r="P51" s="26"/>
      <c r="Q51" s="26"/>
      <c r="R51" s="26"/>
    </row>
    <row r="52" spans="6:18" x14ac:dyDescent="0.25">
      <c r="F52" s="26"/>
      <c r="J52" s="26"/>
      <c r="L52" s="26"/>
      <c r="M52" s="26"/>
      <c r="N52" s="26"/>
      <c r="O52" s="26"/>
      <c r="P52" s="26"/>
      <c r="Q52" s="26"/>
      <c r="R52" s="26"/>
    </row>
    <row r="53" spans="6:18" x14ac:dyDescent="0.25">
      <c r="F53" s="26"/>
      <c r="J53" s="26"/>
      <c r="L53" s="26"/>
      <c r="M53" s="26"/>
      <c r="N53" s="26"/>
      <c r="O53" s="26"/>
      <c r="P53" s="26"/>
      <c r="Q53" s="26"/>
      <c r="R53" s="26"/>
    </row>
    <row r="54" spans="6:18" x14ac:dyDescent="0.25">
      <c r="F54" s="26"/>
      <c r="J54" s="26"/>
      <c r="L54" s="26"/>
      <c r="M54" s="26"/>
      <c r="N54" s="26"/>
      <c r="O54" s="26"/>
      <c r="P54" s="26"/>
      <c r="Q54" s="26"/>
      <c r="R54" s="26"/>
    </row>
    <row r="55" spans="6:18" x14ac:dyDescent="0.25">
      <c r="F55" s="26"/>
      <c r="J55" s="26"/>
      <c r="L55" s="26"/>
      <c r="M55" s="26"/>
      <c r="N55" s="26"/>
      <c r="O55" s="26"/>
      <c r="P55" s="26"/>
      <c r="Q55" s="26"/>
      <c r="R55" s="26"/>
    </row>
    <row r="56" spans="6:18" x14ac:dyDescent="0.25">
      <c r="F56" s="26"/>
      <c r="J56" s="26"/>
      <c r="L56" s="26"/>
      <c r="M56" s="26"/>
      <c r="N56" s="26"/>
      <c r="O56" s="26"/>
      <c r="P56" s="26"/>
      <c r="Q56" s="26"/>
      <c r="R56" s="26"/>
    </row>
    <row r="57" spans="6:18" x14ac:dyDescent="0.25">
      <c r="F57" s="26"/>
      <c r="J57" s="26"/>
      <c r="L57" s="26"/>
      <c r="M57" s="26"/>
      <c r="N57" s="26"/>
      <c r="O57" s="26"/>
      <c r="P57" s="26"/>
      <c r="Q57" s="26"/>
      <c r="R57" s="26"/>
    </row>
    <row r="58" spans="6:18" x14ac:dyDescent="0.25">
      <c r="F58" s="26"/>
      <c r="J58" s="26"/>
      <c r="L58" s="26"/>
      <c r="M58" s="26"/>
      <c r="N58" s="26"/>
      <c r="O58" s="26"/>
      <c r="P58" s="26"/>
      <c r="Q58" s="26"/>
      <c r="R58" s="26"/>
    </row>
    <row r="59" spans="6:18" x14ac:dyDescent="0.25">
      <c r="F59" s="26"/>
      <c r="J59" s="26"/>
      <c r="L59" s="26"/>
      <c r="M59" s="26"/>
      <c r="N59" s="26"/>
      <c r="O59" s="26"/>
      <c r="P59" s="26"/>
      <c r="Q59" s="26"/>
      <c r="R59" s="26"/>
    </row>
    <row r="60" spans="6:18" x14ac:dyDescent="0.25">
      <c r="F60" s="26"/>
      <c r="J60" s="26"/>
      <c r="L60" s="26"/>
      <c r="M60" s="26"/>
      <c r="N60" s="26"/>
      <c r="O60" s="26"/>
      <c r="P60" s="26"/>
      <c r="Q60" s="26"/>
      <c r="R60" s="26"/>
    </row>
    <row r="61" spans="6:18" x14ac:dyDescent="0.25">
      <c r="F61" s="26"/>
      <c r="J61" s="26"/>
      <c r="L61" s="26"/>
      <c r="M61" s="26"/>
      <c r="N61" s="26"/>
      <c r="O61" s="26"/>
      <c r="P61" s="26"/>
      <c r="Q61" s="26"/>
      <c r="R61" s="26"/>
    </row>
    <row r="62" spans="6:18" x14ac:dyDescent="0.25">
      <c r="F62" s="26"/>
      <c r="J62" s="26"/>
      <c r="L62" s="26"/>
      <c r="M62" s="26"/>
      <c r="N62" s="26"/>
      <c r="O62" s="26"/>
      <c r="P62" s="26"/>
      <c r="Q62" s="26"/>
      <c r="R62" s="26"/>
    </row>
    <row r="63" spans="6:18" x14ac:dyDescent="0.25">
      <c r="F63" s="26"/>
      <c r="J63" s="26"/>
      <c r="L63" s="26"/>
      <c r="M63" s="26"/>
      <c r="N63" s="26"/>
      <c r="O63" s="26"/>
      <c r="P63" s="26"/>
      <c r="Q63" s="26"/>
      <c r="R63" s="26"/>
    </row>
    <row r="64" spans="6:18" x14ac:dyDescent="0.25">
      <c r="F64" s="26"/>
      <c r="J64" s="26"/>
      <c r="L64" s="26"/>
      <c r="M64" s="26"/>
      <c r="N64" s="26"/>
      <c r="O64" s="26"/>
      <c r="P64" s="26"/>
      <c r="Q64" s="26"/>
      <c r="R64" s="26"/>
    </row>
    <row r="65" spans="6:18" x14ac:dyDescent="0.25">
      <c r="F65" s="26"/>
      <c r="J65" s="26"/>
      <c r="L65" s="26"/>
      <c r="M65" s="26"/>
      <c r="N65" s="26"/>
      <c r="O65" s="26"/>
      <c r="P65" s="26"/>
      <c r="Q65" s="26"/>
      <c r="R65" s="26"/>
    </row>
    <row r="66" spans="6:18" x14ac:dyDescent="0.25">
      <c r="F66" s="26"/>
      <c r="J66" s="26"/>
      <c r="L66" s="26"/>
      <c r="M66" s="26"/>
      <c r="N66" s="26"/>
      <c r="O66" s="26"/>
      <c r="P66" s="26"/>
      <c r="Q66" s="26"/>
      <c r="R66" s="26"/>
    </row>
    <row r="67" spans="6:18" x14ac:dyDescent="0.25">
      <c r="F67" s="26"/>
      <c r="J67" s="26"/>
      <c r="L67" s="26"/>
      <c r="M67" s="26"/>
      <c r="N67" s="26"/>
      <c r="O67" s="26"/>
      <c r="P67" s="26"/>
      <c r="Q67" s="26"/>
      <c r="R67" s="26"/>
    </row>
    <row r="68" spans="6:18" x14ac:dyDescent="0.25">
      <c r="F68" s="26"/>
      <c r="J68" s="26"/>
      <c r="L68" s="26"/>
      <c r="M68" s="26"/>
      <c r="N68" s="26"/>
      <c r="O68" s="26"/>
      <c r="P68" s="26"/>
      <c r="Q68" s="26"/>
      <c r="R68" s="26"/>
    </row>
    <row r="69" spans="6:18" x14ac:dyDescent="0.25">
      <c r="F69" s="26"/>
      <c r="J69" s="26"/>
      <c r="L69" s="26"/>
      <c r="M69" s="26"/>
      <c r="N69" s="26"/>
      <c r="O69" s="26"/>
      <c r="P69" s="26"/>
      <c r="Q69" s="26"/>
      <c r="R69" s="26"/>
    </row>
    <row r="70" spans="6:18" x14ac:dyDescent="0.25">
      <c r="F70" s="26"/>
      <c r="J70" s="26"/>
      <c r="L70" s="26"/>
      <c r="M70" s="26"/>
      <c r="N70" s="26"/>
      <c r="O70" s="26"/>
      <c r="P70" s="26"/>
      <c r="Q70" s="26"/>
      <c r="R70" s="26"/>
    </row>
    <row r="71" spans="6:18" x14ac:dyDescent="0.25">
      <c r="F71" s="26"/>
      <c r="J71" s="26"/>
      <c r="L71" s="26"/>
      <c r="M71" s="26"/>
      <c r="N71" s="26"/>
      <c r="O71" s="26"/>
      <c r="P71" s="26"/>
      <c r="Q71" s="26"/>
      <c r="R71" s="26"/>
    </row>
    <row r="72" spans="6:18" x14ac:dyDescent="0.25">
      <c r="F72" s="26"/>
      <c r="J72" s="26"/>
      <c r="L72" s="26"/>
      <c r="M72" s="26"/>
      <c r="N72" s="26"/>
      <c r="O72" s="26"/>
      <c r="P72" s="26"/>
      <c r="Q72" s="26"/>
      <c r="R72" s="26"/>
    </row>
    <row r="73" spans="6:18" x14ac:dyDescent="0.25">
      <c r="F73" s="26"/>
      <c r="J73" s="26"/>
      <c r="L73" s="26"/>
      <c r="M73" s="26"/>
      <c r="N73" s="26"/>
      <c r="O73" s="26"/>
      <c r="P73" s="26"/>
      <c r="Q73" s="26"/>
      <c r="R73" s="26"/>
    </row>
    <row r="74" spans="6:18" x14ac:dyDescent="0.25">
      <c r="F74" s="26"/>
      <c r="J74" s="26"/>
      <c r="L74" s="26"/>
      <c r="M74" s="26"/>
      <c r="N74" s="26"/>
      <c r="O74" s="26"/>
      <c r="P74" s="26"/>
      <c r="Q74" s="26"/>
      <c r="R74" s="26"/>
    </row>
    <row r="75" spans="6:18" x14ac:dyDescent="0.25">
      <c r="F75" s="26"/>
      <c r="J75" s="26"/>
      <c r="L75" s="26"/>
      <c r="M75" s="26"/>
      <c r="N75" s="26"/>
      <c r="O75" s="26"/>
      <c r="P75" s="26"/>
      <c r="Q75" s="26"/>
      <c r="R75" s="26"/>
    </row>
    <row r="76" spans="6:18" x14ac:dyDescent="0.25">
      <c r="F76" s="26"/>
      <c r="J76" s="26"/>
      <c r="L76" s="26"/>
      <c r="M76" s="26"/>
      <c r="N76" s="26"/>
      <c r="O76" s="26"/>
      <c r="P76" s="26"/>
      <c r="Q76" s="26"/>
      <c r="R76" s="26"/>
    </row>
    <row r="77" spans="6:18" x14ac:dyDescent="0.25">
      <c r="F77" s="26"/>
      <c r="J77" s="26"/>
      <c r="L77" s="26"/>
      <c r="M77" s="26"/>
      <c r="N77" s="26"/>
      <c r="O77" s="26"/>
      <c r="P77" s="26"/>
      <c r="Q77" s="26"/>
      <c r="R77" s="26"/>
    </row>
    <row r="78" spans="6:18" x14ac:dyDescent="0.25">
      <c r="F78" s="26"/>
      <c r="J78" s="26"/>
      <c r="L78" s="26"/>
      <c r="M78" s="26"/>
      <c r="N78" s="26"/>
      <c r="O78" s="26"/>
      <c r="P78" s="26"/>
      <c r="Q78" s="26"/>
      <c r="R78" s="26"/>
    </row>
    <row r="79" spans="6:18" x14ac:dyDescent="0.25">
      <c r="F79" s="26"/>
      <c r="J79" s="26"/>
      <c r="L79" s="26"/>
      <c r="M79" s="26"/>
      <c r="N79" s="26"/>
      <c r="O79" s="26"/>
      <c r="P79" s="26"/>
      <c r="Q79" s="26"/>
      <c r="R79" s="26"/>
    </row>
    <row r="80" spans="6:18" x14ac:dyDescent="0.25">
      <c r="F80" s="26"/>
      <c r="J80" s="26"/>
      <c r="L80" s="26"/>
      <c r="M80" s="26"/>
      <c r="N80" s="26"/>
      <c r="O80" s="26"/>
      <c r="P80" s="26"/>
      <c r="Q80" s="26"/>
      <c r="R80" s="26"/>
    </row>
    <row r="81" spans="6:18" x14ac:dyDescent="0.25">
      <c r="F81" s="26"/>
      <c r="J81" s="26"/>
      <c r="L81" s="26"/>
      <c r="M81" s="26"/>
      <c r="N81" s="26"/>
      <c r="O81" s="26"/>
      <c r="P81" s="26"/>
      <c r="Q81" s="26"/>
      <c r="R81" s="26"/>
    </row>
    <row r="82" spans="6:18" x14ac:dyDescent="0.25">
      <c r="F82" s="26"/>
      <c r="J82" s="26"/>
      <c r="L82" s="26"/>
      <c r="M82" s="26"/>
      <c r="N82" s="26"/>
      <c r="O82" s="26"/>
      <c r="P82" s="26"/>
      <c r="Q82" s="26"/>
      <c r="R82" s="26"/>
    </row>
    <row r="83" spans="6:18" x14ac:dyDescent="0.25">
      <c r="F83" s="26"/>
      <c r="J83" s="26"/>
      <c r="L83" s="26"/>
      <c r="M83" s="26"/>
      <c r="N83" s="26"/>
      <c r="O83" s="26"/>
      <c r="P83" s="26"/>
      <c r="Q83" s="26"/>
      <c r="R83" s="26"/>
    </row>
    <row r="84" spans="6:18" x14ac:dyDescent="0.25">
      <c r="F84" s="26"/>
      <c r="J84" s="26"/>
      <c r="L84" s="26"/>
      <c r="M84" s="26"/>
      <c r="N84" s="26"/>
      <c r="O84" s="26"/>
      <c r="P84" s="26"/>
      <c r="Q84" s="26"/>
      <c r="R84" s="26"/>
    </row>
    <row r="85" spans="6:18" ht="15" customHeight="1" x14ac:dyDescent="0.25">
      <c r="F85" s="26"/>
      <c r="J85" s="26"/>
      <c r="L85" s="26"/>
      <c r="M85" s="26"/>
      <c r="N85" s="26"/>
      <c r="O85" s="26"/>
      <c r="P85" s="26"/>
      <c r="Q85" s="26"/>
      <c r="R85" s="26"/>
    </row>
    <row r="86" spans="6:18" x14ac:dyDescent="0.25">
      <c r="F86" s="26"/>
      <c r="J86" s="26"/>
      <c r="L86" s="26"/>
      <c r="M86" s="26"/>
      <c r="N86" s="26"/>
      <c r="O86" s="26"/>
      <c r="P86" s="26"/>
      <c r="Q86" s="26"/>
      <c r="R86" s="26"/>
    </row>
    <row r="87" spans="6:18" x14ac:dyDescent="0.25">
      <c r="F87" s="26"/>
      <c r="J87" s="26"/>
      <c r="L87" s="26"/>
      <c r="M87" s="26"/>
      <c r="N87" s="26"/>
      <c r="O87" s="26"/>
      <c r="P87" s="26"/>
      <c r="Q87" s="26"/>
      <c r="R87" s="26"/>
    </row>
    <row r="88" spans="6:18" x14ac:dyDescent="0.25">
      <c r="F88" s="26"/>
      <c r="J88" s="26"/>
      <c r="L88" s="26"/>
      <c r="M88" s="26"/>
      <c r="N88" s="26"/>
      <c r="O88" s="26"/>
      <c r="P88" s="26"/>
      <c r="Q88" s="26"/>
      <c r="R88" s="26"/>
    </row>
    <row r="89" spans="6:18" x14ac:dyDescent="0.25">
      <c r="F89" s="26"/>
      <c r="J89" s="26"/>
      <c r="L89" s="26"/>
      <c r="M89" s="26"/>
      <c r="N89" s="26"/>
      <c r="O89" s="26"/>
      <c r="P89" s="26"/>
      <c r="Q89" s="26"/>
      <c r="R89" s="26"/>
    </row>
    <row r="90" spans="6:18" x14ac:dyDescent="0.25">
      <c r="F90" s="26"/>
      <c r="J90" s="26"/>
      <c r="L90" s="26"/>
      <c r="M90" s="26"/>
      <c r="N90" s="26"/>
      <c r="O90" s="26"/>
      <c r="P90" s="26"/>
      <c r="Q90" s="26"/>
      <c r="R90" s="26"/>
    </row>
    <row r="91" spans="6:18" x14ac:dyDescent="0.25">
      <c r="F91" s="26"/>
      <c r="J91" s="26"/>
      <c r="L91" s="26"/>
      <c r="M91" s="26"/>
      <c r="N91" s="26"/>
      <c r="O91" s="26"/>
      <c r="P91" s="26"/>
      <c r="Q91" s="26"/>
      <c r="R91" s="26"/>
    </row>
    <row r="92" spans="6:18" x14ac:dyDescent="0.25">
      <c r="F92" s="26"/>
      <c r="J92" s="26"/>
      <c r="L92" s="26"/>
      <c r="M92" s="26"/>
      <c r="N92" s="26"/>
      <c r="O92" s="26"/>
      <c r="P92" s="26"/>
      <c r="Q92" s="26"/>
      <c r="R92" s="26"/>
    </row>
    <row r="93" spans="6:18" x14ac:dyDescent="0.25">
      <c r="F93" s="26"/>
      <c r="J93" s="26"/>
      <c r="L93" s="26"/>
      <c r="M93" s="26"/>
      <c r="N93" s="26"/>
      <c r="O93" s="26"/>
      <c r="P93" s="26"/>
      <c r="Q93" s="26"/>
      <c r="R93" s="26"/>
    </row>
    <row r="94" spans="6:18" x14ac:dyDescent="0.25">
      <c r="F94" s="26"/>
      <c r="J94" s="26"/>
      <c r="L94" s="26"/>
      <c r="M94" s="26"/>
      <c r="N94" s="26"/>
      <c r="O94" s="26"/>
      <c r="P94" s="26"/>
      <c r="Q94" s="26"/>
      <c r="R94" s="26"/>
    </row>
    <row r="95" spans="6:18" x14ac:dyDescent="0.25">
      <c r="F95" s="26"/>
      <c r="J95" s="26"/>
      <c r="L95" s="26"/>
      <c r="M95" s="26"/>
      <c r="N95" s="26"/>
      <c r="O95" s="26"/>
      <c r="P95" s="26"/>
      <c r="Q95" s="26"/>
      <c r="R95" s="26"/>
    </row>
    <row r="96" spans="6:18" x14ac:dyDescent="0.25">
      <c r="F96" s="26"/>
      <c r="J96" s="26"/>
      <c r="L96" s="26"/>
      <c r="M96" s="26"/>
      <c r="N96" s="26"/>
      <c r="O96" s="26"/>
      <c r="P96" s="26"/>
      <c r="Q96" s="26"/>
      <c r="R96" s="26"/>
    </row>
    <row r="97" spans="6:18" x14ac:dyDescent="0.25">
      <c r="F97" s="26"/>
      <c r="J97" s="26"/>
      <c r="L97" s="26"/>
      <c r="M97" s="26"/>
      <c r="N97" s="26"/>
      <c r="O97" s="26"/>
      <c r="P97" s="26"/>
      <c r="Q97" s="26"/>
      <c r="R97" s="26"/>
    </row>
    <row r="98" spans="6:18" ht="15" customHeight="1" x14ac:dyDescent="0.25">
      <c r="F98" s="26"/>
      <c r="J98" s="26"/>
      <c r="L98" s="26"/>
      <c r="M98" s="26"/>
      <c r="N98" s="26"/>
      <c r="O98" s="26"/>
      <c r="P98" s="26"/>
      <c r="Q98" s="26"/>
      <c r="R98" s="26"/>
    </row>
    <row r="99" spans="6:18" x14ac:dyDescent="0.25">
      <c r="F99" s="26"/>
      <c r="J99" s="26"/>
      <c r="L99" s="26"/>
      <c r="M99" s="26"/>
      <c r="N99" s="26"/>
      <c r="O99" s="26"/>
      <c r="P99" s="26"/>
      <c r="Q99" s="26"/>
      <c r="R99" s="26"/>
    </row>
    <row r="100" spans="6:18" x14ac:dyDescent="0.25">
      <c r="F100" s="26"/>
      <c r="J100" s="26"/>
      <c r="L100" s="26"/>
      <c r="M100" s="26"/>
      <c r="N100" s="26"/>
      <c r="O100" s="26"/>
      <c r="P100" s="26"/>
      <c r="Q100" s="26"/>
      <c r="R100" s="26"/>
    </row>
    <row r="101" spans="6:18" x14ac:dyDescent="0.25">
      <c r="F101" s="26"/>
      <c r="J101" s="26"/>
      <c r="L101" s="26"/>
      <c r="M101" s="26"/>
      <c r="N101" s="26"/>
      <c r="O101" s="26"/>
      <c r="P101" s="26"/>
      <c r="Q101" s="26"/>
      <c r="R101" s="26"/>
    </row>
    <row r="102" spans="6:18" x14ac:dyDescent="0.25">
      <c r="F102" s="26"/>
      <c r="J102" s="26"/>
      <c r="L102" s="26"/>
      <c r="M102" s="26"/>
      <c r="N102" s="26"/>
      <c r="O102" s="26"/>
      <c r="P102" s="26"/>
      <c r="Q102" s="26"/>
      <c r="R102" s="26"/>
    </row>
    <row r="103" spans="6:18" x14ac:dyDescent="0.25">
      <c r="F103" s="26"/>
      <c r="J103" s="26"/>
      <c r="L103" s="26"/>
      <c r="M103" s="26"/>
      <c r="N103" s="26"/>
      <c r="O103" s="26"/>
      <c r="P103" s="26"/>
      <c r="Q103" s="26"/>
      <c r="R103" s="26"/>
    </row>
    <row r="104" spans="6:18" x14ac:dyDescent="0.25">
      <c r="F104" s="26"/>
      <c r="J104" s="26"/>
      <c r="L104" s="26"/>
      <c r="M104" s="26"/>
      <c r="N104" s="26"/>
      <c r="O104" s="26"/>
      <c r="P104" s="26"/>
      <c r="Q104" s="26"/>
      <c r="R104" s="26"/>
    </row>
    <row r="105" spans="6:18" x14ac:dyDescent="0.25">
      <c r="F105" s="26"/>
      <c r="J105" s="26"/>
      <c r="L105" s="26"/>
      <c r="M105" s="26"/>
      <c r="N105" s="26"/>
      <c r="O105" s="26"/>
      <c r="P105" s="26"/>
      <c r="Q105" s="26"/>
      <c r="R105" s="26"/>
    </row>
    <row r="106" spans="6:18" x14ac:dyDescent="0.25">
      <c r="F106" s="26"/>
      <c r="J106" s="26"/>
      <c r="L106" s="26"/>
      <c r="M106" s="26"/>
      <c r="N106" s="26"/>
      <c r="O106" s="26"/>
      <c r="P106" s="26"/>
      <c r="Q106" s="26"/>
      <c r="R106" s="26"/>
    </row>
    <row r="107" spans="6:18" x14ac:dyDescent="0.25">
      <c r="F107" s="26"/>
      <c r="J107" s="26"/>
      <c r="L107" s="26"/>
      <c r="M107" s="26"/>
      <c r="N107" s="26"/>
      <c r="O107" s="26"/>
      <c r="P107" s="26"/>
      <c r="Q107" s="26"/>
      <c r="R107" s="26"/>
    </row>
    <row r="108" spans="6:18" x14ac:dyDescent="0.25">
      <c r="F108" s="26"/>
      <c r="J108" s="26"/>
      <c r="L108" s="26"/>
      <c r="M108" s="26"/>
      <c r="N108" s="26"/>
      <c r="O108" s="26"/>
      <c r="P108" s="26"/>
      <c r="Q108" s="26"/>
      <c r="R108" s="26"/>
    </row>
    <row r="109" spans="6:18" x14ac:dyDescent="0.25">
      <c r="F109" s="26"/>
      <c r="J109" s="26"/>
      <c r="L109" s="26"/>
      <c r="M109" s="26"/>
      <c r="N109" s="26"/>
      <c r="O109" s="26"/>
      <c r="P109" s="26"/>
      <c r="Q109" s="26"/>
      <c r="R109" s="26"/>
    </row>
    <row r="110" spans="6:18" x14ac:dyDescent="0.25">
      <c r="F110" s="26"/>
      <c r="J110" s="26"/>
      <c r="L110" s="26"/>
      <c r="M110" s="26"/>
      <c r="N110" s="26"/>
      <c r="O110" s="26"/>
      <c r="P110" s="26"/>
      <c r="Q110" s="26"/>
      <c r="R110" s="26"/>
    </row>
    <row r="111" spans="6:18" x14ac:dyDescent="0.25">
      <c r="F111" s="26"/>
      <c r="J111" s="26"/>
      <c r="L111" s="26"/>
      <c r="M111" s="26"/>
      <c r="N111" s="26"/>
      <c r="O111" s="26"/>
      <c r="P111" s="26"/>
      <c r="Q111" s="26"/>
      <c r="R111" s="26"/>
    </row>
    <row r="112" spans="6:18" x14ac:dyDescent="0.25">
      <c r="F112" s="26"/>
      <c r="J112" s="26"/>
      <c r="L112" s="26"/>
      <c r="M112" s="26"/>
      <c r="N112" s="26"/>
      <c r="O112" s="26"/>
      <c r="P112" s="26"/>
      <c r="Q112" s="26"/>
      <c r="R112" s="26"/>
    </row>
    <row r="113" spans="6:18" x14ac:dyDescent="0.25">
      <c r="F113" s="26"/>
      <c r="J113" s="26"/>
      <c r="L113" s="26"/>
      <c r="M113" s="26"/>
      <c r="N113" s="26"/>
      <c r="O113" s="26"/>
      <c r="P113" s="26"/>
      <c r="Q113" s="26"/>
      <c r="R113" s="26"/>
    </row>
    <row r="114" spans="6:18" x14ac:dyDescent="0.25">
      <c r="F114" s="26"/>
      <c r="J114" s="26"/>
      <c r="L114" s="26"/>
      <c r="M114" s="26"/>
      <c r="N114" s="26"/>
      <c r="O114" s="26"/>
      <c r="P114" s="26"/>
      <c r="Q114" s="26"/>
      <c r="R114" s="26"/>
    </row>
    <row r="115" spans="6:18" x14ac:dyDescent="0.25">
      <c r="F115" s="26"/>
      <c r="J115" s="26"/>
      <c r="L115" s="26"/>
      <c r="M115" s="26"/>
      <c r="N115" s="26"/>
      <c r="O115" s="26"/>
      <c r="P115" s="26"/>
      <c r="Q115" s="26"/>
      <c r="R115" s="26"/>
    </row>
    <row r="116" spans="6:18" x14ac:dyDescent="0.25">
      <c r="F116" s="26"/>
      <c r="J116" s="26"/>
      <c r="L116" s="26"/>
      <c r="M116" s="26"/>
      <c r="N116" s="26"/>
      <c r="O116" s="26"/>
      <c r="P116" s="26"/>
      <c r="Q116" s="26"/>
      <c r="R116" s="26"/>
    </row>
    <row r="117" spans="6:18" x14ac:dyDescent="0.25">
      <c r="F117" s="26"/>
      <c r="J117" s="26"/>
      <c r="L117" s="26"/>
      <c r="M117" s="26"/>
      <c r="N117" s="26"/>
      <c r="O117" s="26"/>
      <c r="P117" s="26"/>
      <c r="Q117" s="26"/>
      <c r="R117" s="26"/>
    </row>
    <row r="118" spans="6:18" x14ac:dyDescent="0.25">
      <c r="F118" s="26"/>
      <c r="J118" s="26"/>
      <c r="L118" s="26"/>
      <c r="M118" s="26"/>
      <c r="N118" s="26"/>
      <c r="O118" s="26"/>
      <c r="P118" s="26"/>
      <c r="Q118" s="26"/>
      <c r="R118" s="26"/>
    </row>
    <row r="119" spans="6:18" x14ac:dyDescent="0.25">
      <c r="F119" s="26"/>
      <c r="J119" s="26"/>
      <c r="L119" s="26"/>
      <c r="M119" s="26"/>
      <c r="N119" s="26"/>
      <c r="O119" s="26"/>
      <c r="P119" s="26"/>
      <c r="Q119" s="26"/>
      <c r="R119" s="26"/>
    </row>
    <row r="120" spans="6:18" x14ac:dyDescent="0.25">
      <c r="F120" s="26"/>
      <c r="J120" s="26"/>
      <c r="L120" s="26"/>
      <c r="M120" s="26"/>
      <c r="N120" s="26"/>
      <c r="O120" s="26"/>
      <c r="P120" s="26"/>
      <c r="Q120" s="26"/>
      <c r="R120" s="26"/>
    </row>
    <row r="121" spans="6:18" x14ac:dyDescent="0.25">
      <c r="F121" s="26"/>
      <c r="J121" s="26"/>
      <c r="L121" s="26"/>
      <c r="M121" s="26"/>
      <c r="N121" s="26"/>
      <c r="O121" s="26"/>
      <c r="P121" s="26"/>
      <c r="Q121" s="26"/>
      <c r="R121" s="26"/>
    </row>
    <row r="122" spans="6:18" x14ac:dyDescent="0.25">
      <c r="F122" s="26"/>
      <c r="J122" s="26"/>
      <c r="L122" s="26"/>
      <c r="M122" s="26"/>
      <c r="N122" s="26"/>
      <c r="O122" s="26"/>
      <c r="P122" s="26"/>
      <c r="Q122" s="26"/>
      <c r="R122" s="26"/>
    </row>
    <row r="123" spans="6:18" x14ac:dyDescent="0.25">
      <c r="F123" s="26"/>
      <c r="J123" s="26"/>
      <c r="L123" s="26"/>
      <c r="M123" s="26"/>
      <c r="N123" s="26"/>
      <c r="O123" s="26"/>
      <c r="P123" s="26"/>
      <c r="Q123" s="26"/>
      <c r="R123" s="26"/>
    </row>
    <row r="124" spans="6:18" x14ac:dyDescent="0.25">
      <c r="F124" s="26"/>
      <c r="J124" s="26"/>
      <c r="L124" s="26"/>
      <c r="M124" s="26"/>
      <c r="N124" s="26"/>
      <c r="O124" s="26"/>
      <c r="P124" s="26"/>
      <c r="Q124" s="26"/>
      <c r="R124" s="26"/>
    </row>
    <row r="125" spans="6:18" x14ac:dyDescent="0.25">
      <c r="F125" s="26"/>
      <c r="J125" s="26"/>
      <c r="L125" s="26"/>
      <c r="M125" s="26"/>
      <c r="N125" s="26"/>
      <c r="O125" s="26"/>
      <c r="P125" s="26"/>
      <c r="Q125" s="26"/>
      <c r="R125" s="26"/>
    </row>
    <row r="126" spans="6:18" x14ac:dyDescent="0.25">
      <c r="F126" s="26"/>
      <c r="J126" s="26"/>
      <c r="L126" s="26"/>
      <c r="M126" s="26"/>
      <c r="N126" s="26"/>
      <c r="O126" s="26"/>
      <c r="P126" s="26"/>
      <c r="Q126" s="26"/>
      <c r="R126" s="26"/>
    </row>
    <row r="127" spans="6:18" x14ac:dyDescent="0.25">
      <c r="F127" s="26"/>
      <c r="J127" s="26"/>
      <c r="L127" s="26"/>
      <c r="M127" s="26"/>
      <c r="N127" s="26"/>
      <c r="O127" s="26"/>
      <c r="P127" s="26"/>
      <c r="Q127" s="26"/>
      <c r="R127" s="26"/>
    </row>
    <row r="128" spans="6:18" x14ac:dyDescent="0.25">
      <c r="F128" s="26"/>
      <c r="J128" s="26"/>
      <c r="L128" s="26"/>
      <c r="M128" s="26"/>
      <c r="N128" s="26"/>
      <c r="O128" s="26"/>
      <c r="P128" s="26"/>
      <c r="Q128" s="26"/>
      <c r="R128" s="26"/>
    </row>
    <row r="129" spans="6:18" ht="21.75" customHeight="1" x14ac:dyDescent="0.25">
      <c r="F129" s="26"/>
      <c r="J129" s="26"/>
      <c r="L129" s="26"/>
      <c r="M129" s="26"/>
      <c r="N129" s="26"/>
      <c r="O129" s="26"/>
      <c r="P129" s="26"/>
      <c r="Q129" s="26"/>
      <c r="R129" s="26"/>
    </row>
    <row r="130" spans="6:18" x14ac:dyDescent="0.25">
      <c r="F130" s="26"/>
      <c r="J130" s="26"/>
      <c r="L130" s="26"/>
      <c r="M130" s="26"/>
      <c r="N130" s="26"/>
      <c r="O130" s="26"/>
      <c r="P130" s="26"/>
      <c r="Q130" s="26"/>
      <c r="R130" s="26"/>
    </row>
    <row r="131" spans="6:18" x14ac:dyDescent="0.25">
      <c r="F131" s="26"/>
      <c r="J131" s="26"/>
      <c r="L131" s="26"/>
      <c r="M131" s="26"/>
      <c r="N131" s="26"/>
      <c r="O131" s="26"/>
      <c r="P131" s="26"/>
      <c r="Q131" s="26"/>
      <c r="R131" s="26"/>
    </row>
    <row r="132" spans="6:18" x14ac:dyDescent="0.25">
      <c r="F132" s="26"/>
      <c r="J132" s="26"/>
      <c r="L132" s="26"/>
      <c r="M132" s="26"/>
      <c r="N132" s="26"/>
      <c r="O132" s="26"/>
      <c r="P132" s="26"/>
      <c r="Q132" s="26"/>
      <c r="R132" s="26"/>
    </row>
    <row r="133" spans="6:18" x14ac:dyDescent="0.25">
      <c r="F133" s="26"/>
      <c r="J133" s="26"/>
      <c r="L133" s="26"/>
      <c r="M133" s="26"/>
      <c r="N133" s="26"/>
      <c r="O133" s="26"/>
      <c r="P133" s="26"/>
      <c r="Q133" s="26"/>
      <c r="R133" s="26"/>
    </row>
    <row r="134" spans="6:18" x14ac:dyDescent="0.25">
      <c r="F134" s="26"/>
      <c r="J134" s="26"/>
      <c r="L134" s="26"/>
      <c r="M134" s="26"/>
      <c r="N134" s="26"/>
      <c r="O134" s="26"/>
      <c r="P134" s="26"/>
      <c r="Q134" s="26"/>
      <c r="R134" s="26"/>
    </row>
    <row r="135" spans="6:18" x14ac:dyDescent="0.25">
      <c r="F135" s="26"/>
      <c r="J135" s="26"/>
      <c r="L135" s="26"/>
      <c r="M135" s="26"/>
      <c r="N135" s="26"/>
      <c r="O135" s="26"/>
      <c r="P135" s="26"/>
      <c r="Q135" s="26"/>
      <c r="R135" s="26"/>
    </row>
    <row r="136" spans="6:18" x14ac:dyDescent="0.25">
      <c r="F136" s="26"/>
      <c r="J136" s="26"/>
      <c r="L136" s="26"/>
      <c r="M136" s="26"/>
      <c r="N136" s="26"/>
      <c r="O136" s="26"/>
      <c r="P136" s="26"/>
      <c r="Q136" s="26"/>
      <c r="R136" s="26"/>
    </row>
    <row r="137" spans="6:18" x14ac:dyDescent="0.25">
      <c r="F137" s="26"/>
      <c r="J137" s="26"/>
      <c r="L137" s="26"/>
      <c r="M137" s="26"/>
      <c r="N137" s="26"/>
      <c r="O137" s="26"/>
      <c r="P137" s="26"/>
      <c r="Q137" s="26"/>
      <c r="R137" s="26"/>
    </row>
    <row r="138" spans="6:18" x14ac:dyDescent="0.25">
      <c r="F138" s="26"/>
      <c r="J138" s="26"/>
      <c r="L138" s="26"/>
      <c r="M138" s="26"/>
      <c r="N138" s="26"/>
      <c r="O138" s="26"/>
      <c r="P138" s="26"/>
      <c r="Q138" s="26"/>
      <c r="R138" s="26"/>
    </row>
    <row r="139" spans="6:18" x14ac:dyDescent="0.25">
      <c r="F139" s="26"/>
      <c r="J139" s="26"/>
      <c r="L139" s="26"/>
      <c r="M139" s="26"/>
      <c r="N139" s="26"/>
      <c r="O139" s="26"/>
      <c r="P139" s="26"/>
      <c r="Q139" s="26"/>
      <c r="R139" s="26"/>
    </row>
    <row r="140" spans="6:18" x14ac:dyDescent="0.25">
      <c r="F140" s="26"/>
      <c r="J140" s="26"/>
      <c r="L140" s="26"/>
      <c r="M140" s="26"/>
      <c r="N140" s="26"/>
      <c r="O140" s="26"/>
      <c r="P140" s="26"/>
      <c r="Q140" s="26"/>
      <c r="R140" s="26"/>
    </row>
    <row r="141" spans="6:18" x14ac:dyDescent="0.25">
      <c r="F141" s="26"/>
      <c r="J141" s="26"/>
      <c r="L141" s="26"/>
      <c r="M141" s="26"/>
      <c r="N141" s="26"/>
      <c r="O141" s="26"/>
      <c r="P141" s="26"/>
      <c r="Q141" s="26"/>
      <c r="R141" s="26"/>
    </row>
    <row r="142" spans="6:18" x14ac:dyDescent="0.25">
      <c r="F142" s="26"/>
      <c r="J142" s="26"/>
      <c r="L142" s="26"/>
      <c r="M142" s="26"/>
      <c r="N142" s="26"/>
      <c r="O142" s="26"/>
      <c r="P142" s="26"/>
      <c r="Q142" s="26"/>
      <c r="R142" s="26"/>
    </row>
    <row r="143" spans="6:18" x14ac:dyDescent="0.25">
      <c r="F143" s="26"/>
      <c r="J143" s="26"/>
      <c r="L143" s="26"/>
      <c r="M143" s="26"/>
      <c r="N143" s="26"/>
      <c r="O143" s="26"/>
      <c r="P143" s="26"/>
      <c r="Q143" s="26"/>
      <c r="R143" s="26"/>
    </row>
    <row r="144" spans="6:18" x14ac:dyDescent="0.25">
      <c r="F144" s="26"/>
      <c r="J144" s="26"/>
      <c r="L144" s="26"/>
      <c r="M144" s="26"/>
      <c r="N144" s="26"/>
      <c r="O144" s="26"/>
      <c r="P144" s="26"/>
      <c r="Q144" s="26"/>
      <c r="R144" s="26"/>
    </row>
    <row r="145" spans="6:18" x14ac:dyDescent="0.25">
      <c r="F145" s="26"/>
      <c r="J145" s="26"/>
      <c r="L145" s="26"/>
      <c r="M145" s="26"/>
      <c r="N145" s="26"/>
      <c r="O145" s="26"/>
      <c r="P145" s="26"/>
      <c r="Q145" s="26"/>
      <c r="R145" s="26"/>
    </row>
    <row r="146" spans="6:18" ht="15" customHeight="1" x14ac:dyDescent="0.25">
      <c r="F146" s="26"/>
      <c r="J146" s="26"/>
      <c r="L146" s="26"/>
      <c r="M146" s="26"/>
      <c r="N146" s="26"/>
      <c r="O146" s="26"/>
      <c r="P146" s="26"/>
      <c r="Q146" s="26"/>
      <c r="R146" s="26"/>
    </row>
    <row r="147" spans="6:18" x14ac:dyDescent="0.25">
      <c r="F147" s="26"/>
      <c r="J147" s="26"/>
      <c r="L147" s="26"/>
      <c r="M147" s="26"/>
      <c r="N147" s="26"/>
      <c r="O147" s="26"/>
      <c r="P147" s="26"/>
      <c r="Q147" s="26"/>
      <c r="R147" s="26"/>
    </row>
    <row r="148" spans="6:18" x14ac:dyDescent="0.25">
      <c r="F148" s="26"/>
      <c r="J148" s="26"/>
      <c r="L148" s="26"/>
      <c r="M148" s="26"/>
      <c r="N148" s="26"/>
      <c r="O148" s="26"/>
      <c r="P148" s="26"/>
      <c r="Q148" s="26"/>
      <c r="R148" s="26"/>
    </row>
    <row r="149" spans="6:18" x14ac:dyDescent="0.25">
      <c r="F149" s="26"/>
      <c r="J149" s="26"/>
      <c r="L149" s="26"/>
      <c r="M149" s="26"/>
      <c r="N149" s="26"/>
      <c r="O149" s="26"/>
      <c r="P149" s="26"/>
      <c r="Q149" s="26"/>
      <c r="R149" s="26"/>
    </row>
    <row r="150" spans="6:18" x14ac:dyDescent="0.25">
      <c r="F150" s="26"/>
      <c r="J150" s="26"/>
      <c r="L150" s="26"/>
      <c r="M150" s="26"/>
      <c r="N150" s="26"/>
      <c r="O150" s="26"/>
      <c r="P150" s="26"/>
      <c r="Q150" s="26"/>
      <c r="R150" s="26"/>
    </row>
    <row r="151" spans="6:18" x14ac:dyDescent="0.25">
      <c r="F151" s="26"/>
      <c r="J151" s="26"/>
      <c r="L151" s="26"/>
      <c r="M151" s="26"/>
      <c r="N151" s="26"/>
      <c r="O151" s="26"/>
      <c r="P151" s="26"/>
      <c r="Q151" s="26"/>
      <c r="R151" s="26"/>
    </row>
    <row r="152" spans="6:18" x14ac:dyDescent="0.25">
      <c r="F152" s="26"/>
      <c r="J152" s="26"/>
      <c r="L152" s="26"/>
      <c r="M152" s="26"/>
      <c r="N152" s="26"/>
      <c r="O152" s="26"/>
      <c r="P152" s="26"/>
      <c r="Q152" s="26"/>
      <c r="R152" s="26"/>
    </row>
    <row r="153" spans="6:18" x14ac:dyDescent="0.25">
      <c r="F153" s="26"/>
      <c r="J153" s="26"/>
      <c r="L153" s="26"/>
      <c r="M153" s="26"/>
      <c r="N153" s="26"/>
      <c r="O153" s="26"/>
      <c r="P153" s="26"/>
      <c r="Q153" s="26"/>
      <c r="R153" s="26"/>
    </row>
    <row r="154" spans="6:18" x14ac:dyDescent="0.25">
      <c r="F154" s="26"/>
      <c r="J154" s="26"/>
      <c r="L154" s="26"/>
      <c r="M154" s="26"/>
      <c r="N154" s="26"/>
      <c r="O154" s="26"/>
      <c r="P154" s="26"/>
      <c r="Q154" s="26"/>
      <c r="R154" s="26"/>
    </row>
    <row r="155" spans="6:18" x14ac:dyDescent="0.25">
      <c r="F155" s="26"/>
      <c r="J155" s="26"/>
      <c r="L155" s="26"/>
      <c r="M155" s="26"/>
      <c r="N155" s="26"/>
      <c r="O155" s="26"/>
      <c r="P155" s="26"/>
      <c r="Q155" s="26"/>
      <c r="R155" s="26"/>
    </row>
    <row r="156" spans="6:18" x14ac:dyDescent="0.25">
      <c r="F156" s="26"/>
      <c r="J156" s="26"/>
      <c r="L156" s="26"/>
      <c r="M156" s="26"/>
      <c r="N156" s="26"/>
      <c r="O156" s="26"/>
      <c r="P156" s="26"/>
      <c r="Q156" s="26"/>
      <c r="R156" s="26"/>
    </row>
    <row r="157" spans="6:18" x14ac:dyDescent="0.25">
      <c r="F157" s="26"/>
      <c r="J157" s="26"/>
      <c r="L157" s="26"/>
      <c r="M157" s="26"/>
      <c r="N157" s="26"/>
      <c r="O157" s="26"/>
      <c r="P157" s="26"/>
      <c r="Q157" s="26"/>
      <c r="R157" s="26"/>
    </row>
    <row r="158" spans="6:18" x14ac:dyDescent="0.25">
      <c r="F158" s="26"/>
      <c r="J158" s="26"/>
      <c r="L158" s="26"/>
      <c r="M158" s="26"/>
      <c r="N158" s="26"/>
      <c r="O158" s="26"/>
      <c r="P158" s="26"/>
      <c r="Q158" s="26"/>
      <c r="R158" s="26"/>
    </row>
    <row r="159" spans="6:18" x14ac:dyDescent="0.25">
      <c r="F159" s="26"/>
      <c r="J159" s="26"/>
      <c r="L159" s="26"/>
      <c r="M159" s="26"/>
      <c r="N159" s="26"/>
      <c r="O159" s="26"/>
      <c r="P159" s="26"/>
      <c r="Q159" s="26"/>
      <c r="R159" s="26"/>
    </row>
    <row r="160" spans="6:18" ht="21.75" customHeight="1" x14ac:dyDescent="0.25">
      <c r="F160" s="26"/>
      <c r="J160" s="26"/>
      <c r="L160" s="26"/>
      <c r="M160" s="26"/>
      <c r="N160" s="26"/>
      <c r="O160" s="26"/>
      <c r="P160" s="26"/>
      <c r="Q160" s="26"/>
      <c r="R160" s="26"/>
    </row>
    <row r="161" spans="6:18" x14ac:dyDescent="0.25">
      <c r="F161" s="26"/>
      <c r="J161" s="26"/>
      <c r="L161" s="26"/>
      <c r="M161" s="26"/>
      <c r="N161" s="26"/>
      <c r="O161" s="26"/>
      <c r="P161" s="26"/>
      <c r="Q161" s="26"/>
      <c r="R161" s="26"/>
    </row>
    <row r="162" spans="6:18" x14ac:dyDescent="0.25">
      <c r="F162" s="26"/>
      <c r="J162" s="26"/>
      <c r="L162" s="26"/>
      <c r="M162" s="26"/>
      <c r="N162" s="26"/>
      <c r="O162" s="26"/>
      <c r="P162" s="26"/>
      <c r="Q162" s="26"/>
      <c r="R162" s="26"/>
    </row>
    <row r="163" spans="6:18" x14ac:dyDescent="0.25">
      <c r="F163" s="26"/>
      <c r="J163" s="26"/>
      <c r="L163" s="26"/>
      <c r="M163" s="26"/>
      <c r="N163" s="26"/>
      <c r="O163" s="26"/>
      <c r="P163" s="26"/>
      <c r="Q163" s="26"/>
      <c r="R163" s="26"/>
    </row>
    <row r="164" spans="6:18" x14ac:dyDescent="0.25">
      <c r="F164" s="26"/>
      <c r="J164" s="26"/>
      <c r="L164" s="26"/>
      <c r="M164" s="26"/>
      <c r="N164" s="26"/>
      <c r="O164" s="26"/>
      <c r="P164" s="26"/>
      <c r="Q164" s="26"/>
      <c r="R164" s="26"/>
    </row>
    <row r="165" spans="6:18" x14ac:dyDescent="0.25">
      <c r="F165" s="26"/>
      <c r="J165" s="26"/>
      <c r="L165" s="26"/>
      <c r="M165" s="26"/>
      <c r="N165" s="26"/>
      <c r="O165" s="26"/>
      <c r="P165" s="26"/>
      <c r="Q165" s="26"/>
      <c r="R165" s="26"/>
    </row>
    <row r="166" spans="6:18" x14ac:dyDescent="0.25">
      <c r="F166" s="26"/>
      <c r="J166" s="26"/>
      <c r="L166" s="26"/>
      <c r="M166" s="26"/>
      <c r="N166" s="26"/>
      <c r="O166" s="26"/>
      <c r="P166" s="26"/>
      <c r="Q166" s="26"/>
      <c r="R166" s="26"/>
    </row>
    <row r="167" spans="6:18" x14ac:dyDescent="0.25">
      <c r="F167" s="26"/>
      <c r="J167" s="26"/>
      <c r="L167" s="26"/>
      <c r="M167" s="26"/>
      <c r="N167" s="26"/>
      <c r="O167" s="26"/>
      <c r="P167" s="26"/>
      <c r="Q167" s="26"/>
      <c r="R167" s="26"/>
    </row>
    <row r="168" spans="6:18" x14ac:dyDescent="0.25">
      <c r="F168" s="26"/>
      <c r="J168" s="26"/>
      <c r="L168" s="26"/>
      <c r="M168" s="26"/>
      <c r="N168" s="26"/>
      <c r="O168" s="26"/>
      <c r="P168" s="26"/>
      <c r="Q168" s="26"/>
      <c r="R168" s="26"/>
    </row>
    <row r="169" spans="6:18" x14ac:dyDescent="0.25">
      <c r="F169" s="26"/>
      <c r="J169" s="26"/>
      <c r="L169" s="26"/>
      <c r="M169" s="26"/>
      <c r="N169" s="26"/>
      <c r="O169" s="26"/>
      <c r="P169" s="26"/>
      <c r="Q169" s="26"/>
      <c r="R169" s="26"/>
    </row>
    <row r="170" spans="6:18" x14ac:dyDescent="0.25">
      <c r="F170" s="26"/>
      <c r="J170" s="26"/>
      <c r="L170" s="26"/>
      <c r="M170" s="26"/>
      <c r="N170" s="26"/>
      <c r="O170" s="26"/>
      <c r="P170" s="26"/>
      <c r="Q170" s="26"/>
      <c r="R170" s="26"/>
    </row>
    <row r="171" spans="6:18" x14ac:dyDescent="0.25">
      <c r="F171" s="26"/>
      <c r="J171" s="26"/>
      <c r="L171" s="26"/>
      <c r="M171" s="26"/>
      <c r="N171" s="26"/>
      <c r="O171" s="26"/>
      <c r="P171" s="26"/>
      <c r="Q171" s="26"/>
      <c r="R171" s="26"/>
    </row>
    <row r="172" spans="6:18" x14ac:dyDescent="0.25">
      <c r="F172" s="26"/>
      <c r="J172" s="26"/>
      <c r="L172" s="26"/>
      <c r="M172" s="26"/>
      <c r="N172" s="26"/>
      <c r="O172" s="26"/>
      <c r="P172" s="26"/>
      <c r="Q172" s="26"/>
      <c r="R172" s="26"/>
    </row>
    <row r="173" spans="6:18" x14ac:dyDescent="0.25">
      <c r="F173" s="26"/>
      <c r="J173" s="26"/>
      <c r="L173" s="26"/>
      <c r="M173" s="26"/>
      <c r="N173" s="26"/>
      <c r="O173" s="26"/>
      <c r="P173" s="26"/>
      <c r="Q173" s="26"/>
      <c r="R173" s="26"/>
    </row>
    <row r="174" spans="6:18" x14ac:dyDescent="0.25">
      <c r="F174" s="26"/>
      <c r="J174" s="26"/>
      <c r="L174" s="26"/>
      <c r="M174" s="26"/>
      <c r="N174" s="26"/>
      <c r="O174" s="26"/>
      <c r="P174" s="26"/>
      <c r="Q174" s="26"/>
      <c r="R174" s="26"/>
    </row>
    <row r="175" spans="6:18" x14ac:dyDescent="0.25">
      <c r="F175" s="26"/>
      <c r="J175" s="26"/>
      <c r="L175" s="26"/>
      <c r="M175" s="26"/>
      <c r="N175" s="26"/>
      <c r="O175" s="26"/>
      <c r="P175" s="26"/>
      <c r="Q175" s="26"/>
      <c r="R175" s="26"/>
    </row>
    <row r="176" spans="6:18" x14ac:dyDescent="0.25">
      <c r="F176" s="26"/>
      <c r="J176" s="26"/>
      <c r="L176" s="26"/>
      <c r="M176" s="26"/>
      <c r="N176" s="26"/>
      <c r="O176" s="26"/>
      <c r="P176" s="26"/>
      <c r="Q176" s="26"/>
      <c r="R176" s="26"/>
    </row>
    <row r="177" spans="6:18" x14ac:dyDescent="0.25">
      <c r="F177" s="26"/>
      <c r="J177" s="26"/>
      <c r="L177" s="26"/>
      <c r="M177" s="26"/>
      <c r="N177" s="26"/>
      <c r="O177" s="26"/>
      <c r="P177" s="26"/>
      <c r="Q177" s="26"/>
      <c r="R177" s="26"/>
    </row>
    <row r="178" spans="6:18" x14ac:dyDescent="0.25">
      <c r="F178" s="26"/>
      <c r="J178" s="26"/>
      <c r="L178" s="26"/>
      <c r="M178" s="26"/>
      <c r="N178" s="26"/>
      <c r="O178" s="26"/>
      <c r="P178" s="26"/>
      <c r="Q178" s="26"/>
      <c r="R178" s="26"/>
    </row>
    <row r="179" spans="6:18" x14ac:dyDescent="0.25">
      <c r="F179" s="26"/>
      <c r="J179" s="26"/>
      <c r="L179" s="26"/>
      <c r="M179" s="26"/>
      <c r="N179" s="26"/>
      <c r="O179" s="26"/>
      <c r="P179" s="26"/>
      <c r="Q179" s="26"/>
      <c r="R179" s="26"/>
    </row>
    <row r="180" spans="6:18" x14ac:dyDescent="0.25">
      <c r="F180" s="26"/>
      <c r="J180" s="26"/>
      <c r="L180" s="26"/>
      <c r="M180" s="26"/>
      <c r="N180" s="26"/>
      <c r="O180" s="26"/>
      <c r="P180" s="26"/>
      <c r="Q180" s="26"/>
      <c r="R180" s="26"/>
    </row>
    <row r="181" spans="6:18" x14ac:dyDescent="0.25">
      <c r="F181" s="26"/>
      <c r="J181" s="26"/>
      <c r="L181" s="26"/>
      <c r="M181" s="26"/>
      <c r="N181" s="26"/>
      <c r="O181" s="26"/>
      <c r="P181" s="26"/>
      <c r="Q181" s="26"/>
      <c r="R181" s="26"/>
    </row>
    <row r="182" spans="6:18" x14ac:dyDescent="0.25">
      <c r="F182" s="26"/>
      <c r="J182" s="26"/>
      <c r="L182" s="26"/>
      <c r="M182" s="26"/>
      <c r="N182" s="26"/>
      <c r="O182" s="26"/>
      <c r="P182" s="26"/>
      <c r="Q182" s="26"/>
      <c r="R182" s="26"/>
    </row>
    <row r="183" spans="6:18" x14ac:dyDescent="0.25">
      <c r="F183" s="26"/>
      <c r="J183" s="26"/>
      <c r="L183" s="26"/>
      <c r="M183" s="26"/>
      <c r="N183" s="26"/>
      <c r="O183" s="26"/>
      <c r="P183" s="26"/>
      <c r="Q183" s="26"/>
      <c r="R183" s="26"/>
    </row>
    <row r="184" spans="6:18" x14ac:dyDescent="0.25">
      <c r="F184" s="26"/>
      <c r="J184" s="26"/>
      <c r="L184" s="26"/>
      <c r="M184" s="26"/>
      <c r="N184" s="26"/>
      <c r="O184" s="26"/>
      <c r="P184" s="26"/>
      <c r="Q184" s="26"/>
      <c r="R184" s="26"/>
    </row>
    <row r="185" spans="6:18" x14ac:dyDescent="0.25">
      <c r="F185" s="26"/>
      <c r="J185" s="26"/>
      <c r="L185" s="26"/>
      <c r="M185" s="26"/>
      <c r="N185" s="26"/>
      <c r="O185" s="26"/>
      <c r="P185" s="26"/>
      <c r="Q185" s="26"/>
      <c r="R185" s="26"/>
    </row>
    <row r="186" spans="6:18" x14ac:dyDescent="0.25">
      <c r="F186" s="26"/>
      <c r="J186" s="26"/>
      <c r="L186" s="26"/>
      <c r="M186" s="26"/>
      <c r="N186" s="26"/>
      <c r="O186" s="26"/>
      <c r="P186" s="26"/>
      <c r="Q186" s="26"/>
      <c r="R186" s="26"/>
    </row>
    <row r="187" spans="6:18" x14ac:dyDescent="0.25">
      <c r="F187" s="26"/>
      <c r="J187" s="26"/>
      <c r="L187" s="26"/>
      <c r="M187" s="26"/>
      <c r="N187" s="26"/>
      <c r="O187" s="26"/>
      <c r="P187" s="26"/>
      <c r="Q187" s="26"/>
      <c r="R187" s="26"/>
    </row>
    <row r="188" spans="6:18" x14ac:dyDescent="0.25">
      <c r="F188" s="26"/>
      <c r="J188" s="26"/>
      <c r="L188" s="26"/>
      <c r="M188" s="26"/>
      <c r="N188" s="26"/>
      <c r="O188" s="26"/>
      <c r="P188" s="26"/>
      <c r="Q188" s="26"/>
      <c r="R188" s="26"/>
    </row>
    <row r="189" spans="6:18" x14ac:dyDescent="0.25">
      <c r="F189" s="26"/>
      <c r="J189" s="26"/>
      <c r="L189" s="26"/>
      <c r="M189" s="26"/>
      <c r="N189" s="26"/>
      <c r="O189" s="26"/>
      <c r="P189" s="26"/>
      <c r="Q189" s="26"/>
      <c r="R189" s="26"/>
    </row>
    <row r="190" spans="6:18" x14ac:dyDescent="0.25">
      <c r="F190" s="26"/>
      <c r="J190" s="26"/>
      <c r="L190" s="26"/>
      <c r="M190" s="26"/>
      <c r="N190" s="26"/>
      <c r="O190" s="26"/>
      <c r="P190" s="26"/>
      <c r="Q190" s="26"/>
      <c r="R190" s="26"/>
    </row>
    <row r="191" spans="6:18" x14ac:dyDescent="0.25">
      <c r="F191" s="26"/>
      <c r="J191" s="26"/>
      <c r="L191" s="26"/>
      <c r="M191" s="26"/>
      <c r="N191" s="26"/>
      <c r="O191" s="26"/>
      <c r="P191" s="26"/>
      <c r="Q191" s="26"/>
      <c r="R191" s="26"/>
    </row>
    <row r="192" spans="6:18" x14ac:dyDescent="0.25">
      <c r="F192" s="26"/>
      <c r="J192" s="26"/>
      <c r="L192" s="26"/>
      <c r="M192" s="26"/>
      <c r="N192" s="26"/>
      <c r="O192" s="26"/>
      <c r="P192" s="26"/>
      <c r="Q192" s="26"/>
      <c r="R192" s="26"/>
    </row>
    <row r="193" spans="6:18" x14ac:dyDescent="0.25">
      <c r="F193" s="26"/>
      <c r="J193" s="26"/>
      <c r="L193" s="26"/>
      <c r="M193" s="26"/>
      <c r="N193" s="26"/>
      <c r="O193" s="26"/>
      <c r="P193" s="26"/>
      <c r="Q193" s="26"/>
      <c r="R193" s="26"/>
    </row>
    <row r="194" spans="6:18" x14ac:dyDescent="0.25">
      <c r="F194" s="26"/>
      <c r="J194" s="26"/>
      <c r="L194" s="26"/>
      <c r="M194" s="26"/>
      <c r="N194" s="26"/>
      <c r="O194" s="26"/>
      <c r="P194" s="26"/>
      <c r="Q194" s="26"/>
      <c r="R194" s="26"/>
    </row>
    <row r="195" spans="6:18" x14ac:dyDescent="0.25">
      <c r="F195" s="26"/>
      <c r="J195" s="26"/>
      <c r="L195" s="26"/>
      <c r="M195" s="26"/>
      <c r="N195" s="26"/>
      <c r="O195" s="26"/>
      <c r="P195" s="26"/>
      <c r="Q195" s="26"/>
      <c r="R195" s="26"/>
    </row>
    <row r="196" spans="6:18" x14ac:dyDescent="0.25">
      <c r="F196" s="26"/>
      <c r="J196" s="26"/>
      <c r="L196" s="26"/>
      <c r="M196" s="26"/>
      <c r="N196" s="26"/>
      <c r="O196" s="26"/>
      <c r="P196" s="26"/>
      <c r="Q196" s="26"/>
      <c r="R196" s="26"/>
    </row>
    <row r="197" spans="6:18" x14ac:dyDescent="0.25">
      <c r="F197" s="26"/>
      <c r="J197" s="26"/>
      <c r="L197" s="26"/>
      <c r="M197" s="26"/>
      <c r="N197" s="26"/>
      <c r="O197" s="26"/>
      <c r="P197" s="26"/>
      <c r="Q197" s="26"/>
      <c r="R197" s="26"/>
    </row>
    <row r="198" spans="6:18" x14ac:dyDescent="0.25">
      <c r="F198" s="26"/>
      <c r="J198" s="26"/>
      <c r="L198" s="26"/>
      <c r="M198" s="26"/>
      <c r="N198" s="26"/>
      <c r="O198" s="26"/>
      <c r="P198" s="26"/>
      <c r="Q198" s="26"/>
      <c r="R198" s="26"/>
    </row>
    <row r="199" spans="6:18" x14ac:dyDescent="0.25">
      <c r="F199" s="26"/>
      <c r="J199" s="26"/>
      <c r="L199" s="26"/>
      <c r="M199" s="26"/>
      <c r="N199" s="26"/>
      <c r="O199" s="26"/>
      <c r="P199" s="26"/>
      <c r="Q199" s="26"/>
      <c r="R199" s="26"/>
    </row>
    <row r="200" spans="6:18" x14ac:dyDescent="0.25">
      <c r="F200" s="26"/>
      <c r="J200" s="26"/>
      <c r="L200" s="26"/>
      <c r="M200" s="26"/>
      <c r="N200" s="26"/>
      <c r="O200" s="26"/>
      <c r="P200" s="26"/>
      <c r="Q200" s="26"/>
      <c r="R200" s="26"/>
    </row>
    <row r="201" spans="6:18" x14ac:dyDescent="0.25">
      <c r="F201" s="26"/>
      <c r="J201" s="26"/>
      <c r="L201" s="26"/>
      <c r="M201" s="26"/>
      <c r="N201" s="26"/>
      <c r="O201" s="26"/>
      <c r="P201" s="26"/>
      <c r="Q201" s="26"/>
      <c r="R201" s="26"/>
    </row>
    <row r="202" spans="6:18" x14ac:dyDescent="0.25">
      <c r="F202" s="26"/>
      <c r="J202" s="26"/>
      <c r="L202" s="26"/>
      <c r="M202" s="26"/>
      <c r="N202" s="26"/>
      <c r="O202" s="26"/>
      <c r="P202" s="26"/>
      <c r="Q202" s="26"/>
      <c r="R202" s="26"/>
    </row>
    <row r="203" spans="6:18" x14ac:dyDescent="0.25">
      <c r="F203" s="26"/>
      <c r="J203" s="26"/>
      <c r="L203" s="26"/>
      <c r="M203" s="26"/>
      <c r="N203" s="26"/>
      <c r="O203" s="26"/>
      <c r="P203" s="26"/>
      <c r="Q203" s="26"/>
      <c r="R203" s="26"/>
    </row>
    <row r="204" spans="6:18" x14ac:dyDescent="0.25">
      <c r="F204" s="26"/>
      <c r="J204" s="26"/>
      <c r="L204" s="26"/>
      <c r="M204" s="26"/>
      <c r="N204" s="26"/>
      <c r="O204" s="26"/>
      <c r="P204" s="26"/>
      <c r="Q204" s="26"/>
      <c r="R204" s="26"/>
    </row>
    <row r="205" spans="6:18" x14ac:dyDescent="0.25">
      <c r="F205" s="26"/>
      <c r="J205" s="26"/>
      <c r="L205" s="26"/>
      <c r="M205" s="26"/>
      <c r="N205" s="26"/>
      <c r="O205" s="26"/>
      <c r="P205" s="26"/>
      <c r="Q205" s="26"/>
      <c r="R205" s="26"/>
    </row>
    <row r="206" spans="6:18" x14ac:dyDescent="0.25">
      <c r="F206" s="26"/>
      <c r="J206" s="26"/>
      <c r="L206" s="26"/>
      <c r="M206" s="26"/>
      <c r="N206" s="26"/>
      <c r="O206" s="26"/>
      <c r="P206" s="26"/>
      <c r="Q206" s="26"/>
      <c r="R206" s="26"/>
    </row>
    <row r="207" spans="6:18" x14ac:dyDescent="0.25">
      <c r="F207" s="26"/>
      <c r="J207" s="26"/>
      <c r="L207" s="26"/>
      <c r="M207" s="26"/>
      <c r="N207" s="26"/>
      <c r="O207" s="26"/>
      <c r="P207" s="26"/>
      <c r="Q207" s="26"/>
      <c r="R207" s="26"/>
    </row>
    <row r="208" spans="6:18" x14ac:dyDescent="0.25">
      <c r="F208" s="26"/>
      <c r="J208" s="26"/>
      <c r="L208" s="26"/>
      <c r="M208" s="26"/>
      <c r="N208" s="26"/>
      <c r="O208" s="26"/>
      <c r="P208" s="26"/>
      <c r="Q208" s="26"/>
      <c r="R208" s="26"/>
    </row>
    <row r="209" spans="6:18" x14ac:dyDescent="0.25">
      <c r="F209" s="26"/>
      <c r="J209" s="26"/>
      <c r="L209" s="26"/>
      <c r="M209" s="26"/>
      <c r="N209" s="26"/>
      <c r="O209" s="26"/>
      <c r="P209" s="26"/>
      <c r="Q209" s="26"/>
      <c r="R209" s="26"/>
    </row>
    <row r="210" spans="6:18" x14ac:dyDescent="0.25">
      <c r="F210" s="26"/>
      <c r="J210" s="26"/>
      <c r="L210" s="26"/>
      <c r="M210" s="26"/>
      <c r="N210" s="26"/>
      <c r="O210" s="26"/>
      <c r="P210" s="26"/>
      <c r="Q210" s="26"/>
      <c r="R210" s="26"/>
    </row>
    <row r="211" spans="6:18" x14ac:dyDescent="0.25">
      <c r="F211" s="26"/>
      <c r="J211" s="26"/>
      <c r="L211" s="26"/>
      <c r="M211" s="26"/>
      <c r="N211" s="26"/>
      <c r="O211" s="26"/>
      <c r="P211" s="26"/>
      <c r="Q211" s="26"/>
      <c r="R211" s="26"/>
    </row>
    <row r="212" spans="6:18" x14ac:dyDescent="0.25">
      <c r="F212" s="26"/>
      <c r="J212" s="26"/>
      <c r="L212" s="26"/>
      <c r="M212" s="26"/>
      <c r="N212" s="26"/>
      <c r="O212" s="26"/>
      <c r="P212" s="26"/>
      <c r="Q212" s="26"/>
      <c r="R212" s="26"/>
    </row>
    <row r="213" spans="6:18" x14ac:dyDescent="0.25">
      <c r="F213" s="26"/>
      <c r="J213" s="26"/>
      <c r="L213" s="26"/>
      <c r="M213" s="26"/>
      <c r="N213" s="26"/>
      <c r="O213" s="26"/>
      <c r="P213" s="26"/>
      <c r="Q213" s="26"/>
      <c r="R213" s="26"/>
    </row>
    <row r="214" spans="6:18" x14ac:dyDescent="0.25">
      <c r="F214" s="26"/>
      <c r="J214" s="26"/>
      <c r="L214" s="26"/>
      <c r="M214" s="26"/>
      <c r="N214" s="26"/>
      <c r="O214" s="26"/>
      <c r="P214" s="26"/>
      <c r="Q214" s="26"/>
      <c r="R214" s="26"/>
    </row>
    <row r="215" spans="6:18" x14ac:dyDescent="0.25">
      <c r="F215" s="26"/>
      <c r="J215" s="26"/>
      <c r="L215" s="26"/>
      <c r="M215" s="26"/>
      <c r="N215" s="26"/>
      <c r="O215" s="26"/>
      <c r="P215" s="26"/>
      <c r="Q215" s="26"/>
      <c r="R215" s="26"/>
    </row>
    <row r="216" spans="6:18" x14ac:dyDescent="0.25">
      <c r="F216" s="26"/>
      <c r="J216" s="26"/>
      <c r="L216" s="26"/>
      <c r="M216" s="26"/>
      <c r="N216" s="26"/>
      <c r="O216" s="26"/>
      <c r="P216" s="26"/>
      <c r="Q216" s="26"/>
      <c r="R216" s="26"/>
    </row>
    <row r="217" spans="6:18" x14ac:dyDescent="0.25">
      <c r="F217" s="26"/>
      <c r="J217" s="26"/>
      <c r="L217" s="26"/>
      <c r="M217" s="26"/>
      <c r="N217" s="26"/>
      <c r="O217" s="26"/>
      <c r="P217" s="26"/>
      <c r="Q217" s="26"/>
      <c r="R217" s="26"/>
    </row>
    <row r="218" spans="6:18" x14ac:dyDescent="0.25">
      <c r="F218" s="26"/>
      <c r="J218" s="26"/>
      <c r="L218" s="26"/>
      <c r="M218" s="26"/>
      <c r="N218" s="26"/>
      <c r="O218" s="26"/>
      <c r="P218" s="26"/>
      <c r="Q218" s="26"/>
      <c r="R218" s="26"/>
    </row>
    <row r="219" spans="6:18" x14ac:dyDescent="0.25">
      <c r="F219" s="26"/>
      <c r="J219" s="26"/>
      <c r="L219" s="26"/>
      <c r="M219" s="26"/>
      <c r="N219" s="26"/>
      <c r="O219" s="26"/>
      <c r="P219" s="26"/>
      <c r="Q219" s="26"/>
      <c r="R219" s="26"/>
    </row>
    <row r="220" spans="6:18" x14ac:dyDescent="0.25">
      <c r="F220" s="26"/>
      <c r="J220" s="26"/>
      <c r="L220" s="26"/>
      <c r="M220" s="26"/>
      <c r="N220" s="26"/>
      <c r="O220" s="26"/>
      <c r="P220" s="26"/>
      <c r="Q220" s="26"/>
      <c r="R220" s="26"/>
    </row>
    <row r="221" spans="6:18" x14ac:dyDescent="0.25">
      <c r="F221" s="26"/>
      <c r="J221" s="26"/>
      <c r="L221" s="26"/>
      <c r="M221" s="26"/>
      <c r="N221" s="26"/>
      <c r="O221" s="26"/>
      <c r="P221" s="26"/>
      <c r="Q221" s="26"/>
      <c r="R221" s="26"/>
    </row>
    <row r="222" spans="6:18" x14ac:dyDescent="0.25">
      <c r="F222" s="26"/>
      <c r="J222" s="26"/>
      <c r="L222" s="26"/>
      <c r="M222" s="26"/>
      <c r="N222" s="26"/>
      <c r="O222" s="26"/>
      <c r="P222" s="26"/>
      <c r="Q222" s="26"/>
      <c r="R222" s="26"/>
    </row>
    <row r="223" spans="6:18" x14ac:dyDescent="0.25">
      <c r="F223" s="26"/>
      <c r="J223" s="26"/>
      <c r="L223" s="26"/>
      <c r="M223" s="26"/>
      <c r="N223" s="26"/>
      <c r="O223" s="26"/>
      <c r="P223" s="26"/>
      <c r="Q223" s="26"/>
      <c r="R223" s="26"/>
    </row>
    <row r="224" spans="6:18" x14ac:dyDescent="0.25">
      <c r="F224" s="26"/>
      <c r="J224" s="26"/>
      <c r="L224" s="26"/>
      <c r="M224" s="26"/>
      <c r="N224" s="26"/>
      <c r="O224" s="26"/>
      <c r="P224" s="26"/>
      <c r="Q224" s="26"/>
      <c r="R224" s="26"/>
    </row>
    <row r="225" spans="6:18" x14ac:dyDescent="0.25">
      <c r="F225" s="26"/>
      <c r="J225" s="26"/>
      <c r="L225" s="26"/>
      <c r="M225" s="26"/>
      <c r="N225" s="26"/>
      <c r="O225" s="26"/>
      <c r="P225" s="26"/>
      <c r="Q225" s="26"/>
      <c r="R225" s="26"/>
    </row>
    <row r="226" spans="6:18" x14ac:dyDescent="0.25">
      <c r="F226" s="26"/>
      <c r="J226" s="26"/>
      <c r="L226" s="26"/>
      <c r="M226" s="26"/>
      <c r="N226" s="26"/>
      <c r="O226" s="26"/>
      <c r="P226" s="26"/>
      <c r="Q226" s="26"/>
      <c r="R226" s="26"/>
    </row>
    <row r="227" spans="6:18" x14ac:dyDescent="0.25">
      <c r="F227" s="26"/>
      <c r="J227" s="26"/>
      <c r="L227" s="26"/>
      <c r="M227" s="26"/>
      <c r="N227" s="26"/>
      <c r="O227" s="26"/>
      <c r="P227" s="26"/>
      <c r="Q227" s="26"/>
      <c r="R227" s="26"/>
    </row>
    <row r="228" spans="6:18" x14ac:dyDescent="0.25">
      <c r="F228" s="26"/>
      <c r="J228" s="26"/>
      <c r="L228" s="26"/>
      <c r="M228" s="26"/>
      <c r="N228" s="26"/>
      <c r="O228" s="26"/>
      <c r="P228" s="26"/>
      <c r="Q228" s="26"/>
      <c r="R228" s="26"/>
    </row>
    <row r="229" spans="6:18" x14ac:dyDescent="0.25">
      <c r="F229" s="26"/>
      <c r="J229" s="26"/>
      <c r="L229" s="26"/>
      <c r="M229" s="26"/>
      <c r="N229" s="26"/>
      <c r="O229" s="26"/>
      <c r="P229" s="26"/>
      <c r="Q229" s="26"/>
      <c r="R229" s="26"/>
    </row>
    <row r="230" spans="6:18" x14ac:dyDescent="0.25">
      <c r="F230" s="26"/>
      <c r="J230" s="26"/>
      <c r="L230" s="26"/>
      <c r="M230" s="26"/>
      <c r="N230" s="26"/>
      <c r="O230" s="26"/>
      <c r="P230" s="26"/>
      <c r="Q230" s="26"/>
      <c r="R230" s="26"/>
    </row>
    <row r="231" spans="6:18" x14ac:dyDescent="0.25">
      <c r="F231" s="26"/>
      <c r="J231" s="26"/>
      <c r="L231" s="26"/>
      <c r="M231" s="26"/>
      <c r="N231" s="26"/>
      <c r="O231" s="26"/>
      <c r="P231" s="26"/>
      <c r="Q231" s="26"/>
      <c r="R231" s="26"/>
    </row>
    <row r="232" spans="6:18" x14ac:dyDescent="0.25">
      <c r="F232" s="26"/>
      <c r="J232" s="26"/>
      <c r="L232" s="26"/>
      <c r="M232" s="26"/>
      <c r="N232" s="26"/>
      <c r="O232" s="26"/>
      <c r="P232" s="26"/>
      <c r="Q232" s="26"/>
      <c r="R232" s="26"/>
    </row>
    <row r="233" spans="6:18" x14ac:dyDescent="0.25">
      <c r="F233" s="26"/>
      <c r="J233" s="26"/>
      <c r="L233" s="26"/>
      <c r="M233" s="26"/>
      <c r="N233" s="26"/>
      <c r="O233" s="26"/>
      <c r="P233" s="26"/>
      <c r="Q233" s="26"/>
      <c r="R233" s="26"/>
    </row>
    <row r="234" spans="6:18" x14ac:dyDescent="0.25">
      <c r="F234" s="26"/>
      <c r="J234" s="26"/>
      <c r="L234" s="26"/>
      <c r="M234" s="26"/>
      <c r="N234" s="26"/>
      <c r="O234" s="26"/>
      <c r="P234" s="26"/>
      <c r="Q234" s="26"/>
      <c r="R234" s="26"/>
    </row>
    <row r="235" spans="6:18" x14ac:dyDescent="0.25">
      <c r="F235" s="26"/>
      <c r="J235" s="26"/>
      <c r="L235" s="26"/>
      <c r="M235" s="26"/>
      <c r="N235" s="26"/>
      <c r="O235" s="26"/>
      <c r="P235" s="26"/>
      <c r="Q235" s="26"/>
      <c r="R235" s="26"/>
    </row>
    <row r="236" spans="6:18" x14ac:dyDescent="0.25">
      <c r="F236" s="26"/>
      <c r="J236" s="26"/>
      <c r="L236" s="26"/>
      <c r="M236" s="26"/>
      <c r="N236" s="26"/>
      <c r="O236" s="26"/>
      <c r="P236" s="26"/>
      <c r="Q236" s="26"/>
      <c r="R236" s="26"/>
    </row>
    <row r="237" spans="6:18" x14ac:dyDescent="0.25">
      <c r="F237" s="26"/>
      <c r="J237" s="26"/>
      <c r="L237" s="26"/>
      <c r="M237" s="26"/>
      <c r="N237" s="26"/>
      <c r="O237" s="26"/>
      <c r="P237" s="26"/>
      <c r="Q237" s="26"/>
      <c r="R237" s="26"/>
    </row>
    <row r="238" spans="6:18" x14ac:dyDescent="0.25">
      <c r="F238" s="26"/>
      <c r="J238" s="26"/>
      <c r="L238" s="26"/>
      <c r="M238" s="26"/>
      <c r="N238" s="26"/>
      <c r="O238" s="26"/>
      <c r="P238" s="26"/>
      <c r="Q238" s="26"/>
      <c r="R238" s="26"/>
    </row>
    <row r="239" spans="6:18" x14ac:dyDescent="0.25">
      <c r="F239" s="26"/>
      <c r="J239" s="26"/>
      <c r="L239" s="26"/>
      <c r="M239" s="26"/>
      <c r="N239" s="26"/>
      <c r="O239" s="26"/>
      <c r="P239" s="26"/>
      <c r="Q239" s="26"/>
      <c r="R239" s="26"/>
    </row>
    <row r="240" spans="6:18" x14ac:dyDescent="0.25">
      <c r="F240" s="26"/>
      <c r="J240" s="26"/>
      <c r="L240" s="26"/>
      <c r="M240" s="26"/>
      <c r="N240" s="26"/>
      <c r="O240" s="26"/>
      <c r="P240" s="26"/>
      <c r="Q240" s="26"/>
      <c r="R240" s="26"/>
    </row>
    <row r="241" spans="6:18" x14ac:dyDescent="0.25">
      <c r="F241" s="26"/>
      <c r="J241" s="26"/>
      <c r="L241" s="26"/>
      <c r="M241" s="26"/>
      <c r="N241" s="26"/>
      <c r="O241" s="26"/>
      <c r="P241" s="26"/>
      <c r="Q241" s="26"/>
      <c r="R241" s="26"/>
    </row>
    <row r="242" spans="6:18" x14ac:dyDescent="0.25">
      <c r="F242" s="26"/>
      <c r="J242" s="26"/>
      <c r="L242" s="26"/>
      <c r="M242" s="26"/>
      <c r="N242" s="26"/>
      <c r="O242" s="26"/>
      <c r="P242" s="26"/>
      <c r="Q242" s="26"/>
      <c r="R242" s="26"/>
    </row>
    <row r="243" spans="6:18" x14ac:dyDescent="0.25">
      <c r="F243" s="26"/>
      <c r="J243" s="26"/>
      <c r="L243" s="26"/>
      <c r="M243" s="26"/>
      <c r="N243" s="26"/>
      <c r="O243" s="26"/>
      <c r="P243" s="26"/>
      <c r="Q243" s="26"/>
      <c r="R243" s="26"/>
    </row>
    <row r="244" spans="6:18" x14ac:dyDescent="0.25">
      <c r="F244" s="26"/>
      <c r="J244" s="26"/>
      <c r="L244" s="26"/>
      <c r="M244" s="26"/>
      <c r="N244" s="26"/>
      <c r="O244" s="26"/>
      <c r="P244" s="26"/>
      <c r="Q244" s="26"/>
      <c r="R244" s="26"/>
    </row>
    <row r="245" spans="6:18" x14ac:dyDescent="0.25">
      <c r="F245" s="26"/>
      <c r="J245" s="26"/>
      <c r="L245" s="26"/>
      <c r="M245" s="26"/>
      <c r="N245" s="26"/>
      <c r="O245" s="26"/>
      <c r="P245" s="26"/>
      <c r="Q245" s="26"/>
      <c r="R245" s="26"/>
    </row>
    <row r="246" spans="6:18" x14ac:dyDescent="0.25">
      <c r="F246" s="26"/>
      <c r="J246" s="26"/>
      <c r="L246" s="26"/>
      <c r="M246" s="26"/>
      <c r="N246" s="26"/>
      <c r="O246" s="26"/>
      <c r="P246" s="26"/>
      <c r="Q246" s="26"/>
      <c r="R246" s="26"/>
    </row>
    <row r="247" spans="6:18" x14ac:dyDescent="0.25">
      <c r="F247" s="26"/>
      <c r="J247" s="26"/>
      <c r="L247" s="26"/>
      <c r="M247" s="26"/>
      <c r="N247" s="26"/>
      <c r="O247" s="26"/>
      <c r="P247" s="26"/>
      <c r="Q247" s="26"/>
      <c r="R247" s="26"/>
    </row>
    <row r="248" spans="6:18" x14ac:dyDescent="0.25">
      <c r="F248" s="26"/>
      <c r="J248" s="26"/>
      <c r="L248" s="26"/>
      <c r="M248" s="26"/>
      <c r="N248" s="26"/>
      <c r="O248" s="26"/>
      <c r="P248" s="26"/>
      <c r="Q248" s="26"/>
      <c r="R248" s="26"/>
    </row>
    <row r="249" spans="6:18" x14ac:dyDescent="0.25">
      <c r="F249" s="26"/>
      <c r="J249" s="26"/>
      <c r="L249" s="26"/>
      <c r="M249" s="26"/>
      <c r="N249" s="26"/>
      <c r="O249" s="26"/>
      <c r="P249" s="26"/>
      <c r="Q249" s="26"/>
      <c r="R249" s="26"/>
    </row>
    <row r="250" spans="6:18" x14ac:dyDescent="0.25">
      <c r="F250" s="26"/>
      <c r="J250" s="26"/>
      <c r="L250" s="26"/>
      <c r="M250" s="26"/>
      <c r="N250" s="26"/>
      <c r="O250" s="26"/>
      <c r="P250" s="26"/>
      <c r="Q250" s="26"/>
      <c r="R250" s="26"/>
    </row>
    <row r="251" spans="6:18" x14ac:dyDescent="0.25">
      <c r="F251" s="26"/>
      <c r="J251" s="26"/>
      <c r="L251" s="26"/>
      <c r="M251" s="26"/>
      <c r="N251" s="26"/>
      <c r="O251" s="26"/>
      <c r="P251" s="26"/>
      <c r="Q251" s="26"/>
      <c r="R251" s="26"/>
    </row>
    <row r="252" spans="6:18" x14ac:dyDescent="0.25">
      <c r="F252" s="26"/>
      <c r="J252" s="26"/>
      <c r="L252" s="26"/>
      <c r="M252" s="26"/>
      <c r="N252" s="26"/>
      <c r="O252" s="26"/>
      <c r="P252" s="26"/>
      <c r="Q252" s="26"/>
      <c r="R252" s="26"/>
    </row>
    <row r="253" spans="6:18" x14ac:dyDescent="0.25">
      <c r="F253" s="26"/>
      <c r="J253" s="26"/>
      <c r="L253" s="26"/>
      <c r="M253" s="26"/>
      <c r="N253" s="26"/>
      <c r="O253" s="26"/>
      <c r="P253" s="26"/>
      <c r="Q253" s="26"/>
      <c r="R253" s="26"/>
    </row>
    <row r="254" spans="6:18" x14ac:dyDescent="0.25">
      <c r="F254" s="26"/>
      <c r="J254" s="26"/>
      <c r="L254" s="26"/>
      <c r="M254" s="26"/>
      <c r="N254" s="26"/>
      <c r="O254" s="26"/>
      <c r="P254" s="26"/>
      <c r="Q254" s="26"/>
      <c r="R254" s="26"/>
    </row>
    <row r="255" spans="6:18" x14ac:dyDescent="0.25">
      <c r="F255" s="26"/>
      <c r="J255" s="26"/>
      <c r="L255" s="26"/>
      <c r="M255" s="26"/>
      <c r="N255" s="26"/>
      <c r="O255" s="26"/>
      <c r="P255" s="26"/>
      <c r="Q255" s="26"/>
      <c r="R255" s="26"/>
    </row>
    <row r="256" spans="6:18" x14ac:dyDescent="0.25">
      <c r="F256" s="26"/>
      <c r="J256" s="26"/>
      <c r="L256" s="26"/>
      <c r="M256" s="26"/>
      <c r="N256" s="26"/>
      <c r="O256" s="26"/>
      <c r="P256" s="26"/>
      <c r="Q256" s="26"/>
      <c r="R256" s="26"/>
    </row>
    <row r="257" spans="6:18" x14ac:dyDescent="0.25">
      <c r="F257" s="26"/>
      <c r="J257" s="26"/>
      <c r="L257" s="26"/>
      <c r="M257" s="26"/>
      <c r="N257" s="26"/>
      <c r="O257" s="26"/>
      <c r="P257" s="26"/>
      <c r="Q257" s="26"/>
      <c r="R257" s="26"/>
    </row>
    <row r="258" spans="6:18" x14ac:dyDescent="0.25">
      <c r="F258" s="26"/>
      <c r="J258" s="26"/>
      <c r="L258" s="26"/>
      <c r="M258" s="26"/>
      <c r="N258" s="26"/>
      <c r="O258" s="26"/>
      <c r="P258" s="26"/>
      <c r="Q258" s="26"/>
      <c r="R258" s="26"/>
    </row>
    <row r="259" spans="6:18" x14ac:dyDescent="0.25">
      <c r="F259" s="26"/>
      <c r="J259" s="26"/>
      <c r="L259" s="26"/>
      <c r="M259" s="26"/>
      <c r="N259" s="26"/>
      <c r="O259" s="26"/>
      <c r="P259" s="26"/>
      <c r="Q259" s="26"/>
      <c r="R259" s="26"/>
    </row>
    <row r="260" spans="6:18" x14ac:dyDescent="0.25">
      <c r="F260" s="26"/>
      <c r="J260" s="26"/>
      <c r="L260" s="26"/>
      <c r="M260" s="26"/>
      <c r="N260" s="26"/>
      <c r="O260" s="26"/>
      <c r="P260" s="26"/>
      <c r="Q260" s="26"/>
      <c r="R260" s="26"/>
    </row>
    <row r="261" spans="6:18" x14ac:dyDescent="0.25">
      <c r="F261" s="26"/>
      <c r="J261" s="26"/>
      <c r="L261" s="26"/>
      <c r="M261" s="26"/>
      <c r="N261" s="26"/>
      <c r="O261" s="26"/>
      <c r="P261" s="26"/>
      <c r="Q261" s="26"/>
      <c r="R261" s="26"/>
    </row>
    <row r="262" spans="6:18" x14ac:dyDescent="0.25">
      <c r="F262" s="26"/>
      <c r="J262" s="26"/>
      <c r="L262" s="26"/>
      <c r="M262" s="26"/>
      <c r="N262" s="26"/>
      <c r="O262" s="26"/>
      <c r="P262" s="26"/>
      <c r="Q262" s="26"/>
      <c r="R262" s="26"/>
    </row>
    <row r="263" spans="6:18" x14ac:dyDescent="0.25">
      <c r="F263" s="26"/>
      <c r="J263" s="26"/>
      <c r="L263" s="26"/>
      <c r="M263" s="26"/>
      <c r="N263" s="26"/>
      <c r="O263" s="26"/>
      <c r="P263" s="26"/>
      <c r="Q263" s="26"/>
      <c r="R263" s="26"/>
    </row>
    <row r="264" spans="6:18" x14ac:dyDescent="0.25">
      <c r="F264" s="26"/>
      <c r="J264" s="26"/>
      <c r="L264" s="26"/>
      <c r="M264" s="26"/>
      <c r="N264" s="26"/>
      <c r="O264" s="26"/>
      <c r="P264" s="26"/>
      <c r="Q264" s="26"/>
      <c r="R264" s="26"/>
    </row>
    <row r="265" spans="6:18" x14ac:dyDescent="0.25">
      <c r="F265" s="26"/>
      <c r="J265" s="26"/>
      <c r="L265" s="26"/>
      <c r="M265" s="26"/>
      <c r="N265" s="26"/>
      <c r="O265" s="26"/>
      <c r="P265" s="26"/>
      <c r="Q265" s="26"/>
      <c r="R265" s="26"/>
    </row>
    <row r="266" spans="6:18" x14ac:dyDescent="0.25">
      <c r="F266" s="26"/>
      <c r="J266" s="26"/>
      <c r="L266" s="26"/>
      <c r="M266" s="26"/>
      <c r="N266" s="26"/>
      <c r="O266" s="26"/>
      <c r="P266" s="26"/>
      <c r="Q266" s="26"/>
      <c r="R266" s="26"/>
    </row>
    <row r="267" spans="6:18" x14ac:dyDescent="0.25">
      <c r="F267" s="26"/>
      <c r="J267" s="26"/>
      <c r="L267" s="26"/>
      <c r="M267" s="26"/>
      <c r="N267" s="26"/>
      <c r="O267" s="26"/>
      <c r="P267" s="26"/>
      <c r="Q267" s="26"/>
      <c r="R267" s="26"/>
    </row>
    <row r="268" spans="6:18" x14ac:dyDescent="0.25">
      <c r="F268" s="26"/>
      <c r="J268" s="26"/>
      <c r="L268" s="26"/>
      <c r="M268" s="26"/>
      <c r="N268" s="26"/>
      <c r="O268" s="26"/>
      <c r="P268" s="26"/>
      <c r="Q268" s="26"/>
      <c r="R268" s="26"/>
    </row>
    <row r="269" spans="6:18" x14ac:dyDescent="0.25">
      <c r="F269" s="26"/>
      <c r="J269" s="26"/>
      <c r="L269" s="26"/>
      <c r="M269" s="26"/>
      <c r="N269" s="26"/>
      <c r="O269" s="26"/>
      <c r="P269" s="26"/>
      <c r="Q269" s="26"/>
      <c r="R269" s="26"/>
    </row>
    <row r="270" spans="6:18" x14ac:dyDescent="0.25">
      <c r="F270" s="26"/>
      <c r="J270" s="26"/>
      <c r="L270" s="26"/>
      <c r="M270" s="26"/>
      <c r="N270" s="26"/>
      <c r="O270" s="26"/>
      <c r="P270" s="26"/>
      <c r="Q270" s="26"/>
      <c r="R270" s="26"/>
    </row>
    <row r="271" spans="6:18" x14ac:dyDescent="0.25">
      <c r="F271" s="26"/>
      <c r="J271" s="26"/>
      <c r="L271" s="26"/>
      <c r="M271" s="26"/>
      <c r="N271" s="26"/>
      <c r="O271" s="26"/>
      <c r="P271" s="26"/>
      <c r="Q271" s="26"/>
      <c r="R271" s="26"/>
    </row>
    <row r="272" spans="6:18" x14ac:dyDescent="0.25">
      <c r="F272" s="26"/>
      <c r="J272" s="26"/>
      <c r="L272" s="26"/>
      <c r="M272" s="26"/>
      <c r="N272" s="26"/>
      <c r="O272" s="26"/>
      <c r="P272" s="26"/>
      <c r="Q272" s="26"/>
      <c r="R272" s="26"/>
    </row>
    <row r="273" spans="6:18" x14ac:dyDescent="0.25">
      <c r="F273" s="26"/>
      <c r="J273" s="26"/>
      <c r="L273" s="26"/>
      <c r="M273" s="26"/>
      <c r="N273" s="26"/>
      <c r="O273" s="26"/>
      <c r="P273" s="26"/>
      <c r="Q273" s="26"/>
      <c r="R273" s="26"/>
    </row>
    <row r="274" spans="6:18" x14ac:dyDescent="0.25">
      <c r="F274" s="26"/>
      <c r="J274" s="26"/>
      <c r="L274" s="26"/>
      <c r="M274" s="26"/>
      <c r="N274" s="26"/>
      <c r="O274" s="26"/>
      <c r="P274" s="26"/>
      <c r="Q274" s="26"/>
      <c r="R274" s="26"/>
    </row>
    <row r="275" spans="6:18" x14ac:dyDescent="0.25">
      <c r="F275" s="26"/>
      <c r="J275" s="26"/>
      <c r="L275" s="26"/>
      <c r="M275" s="26"/>
      <c r="N275" s="26"/>
      <c r="O275" s="26"/>
      <c r="P275" s="26"/>
      <c r="Q275" s="26"/>
      <c r="R275" s="26"/>
    </row>
    <row r="276" spans="6:18" x14ac:dyDescent="0.25">
      <c r="F276" s="26"/>
      <c r="J276" s="26"/>
      <c r="L276" s="26"/>
      <c r="M276" s="26"/>
      <c r="N276" s="26"/>
      <c r="O276" s="26"/>
      <c r="P276" s="26"/>
      <c r="Q276" s="26"/>
      <c r="R276" s="26"/>
    </row>
    <row r="277" spans="6:18" x14ac:dyDescent="0.25">
      <c r="F277" s="26"/>
      <c r="J277" s="26"/>
      <c r="L277" s="26"/>
      <c r="M277" s="26"/>
      <c r="N277" s="26"/>
      <c r="O277" s="26"/>
      <c r="P277" s="26"/>
      <c r="Q277" s="26"/>
      <c r="R277" s="26"/>
    </row>
    <row r="278" spans="6:18" x14ac:dyDescent="0.25">
      <c r="F278" s="26"/>
      <c r="J278" s="26"/>
      <c r="L278" s="26"/>
      <c r="M278" s="26"/>
      <c r="N278" s="26"/>
      <c r="O278" s="26"/>
      <c r="P278" s="26"/>
      <c r="Q278" s="26"/>
      <c r="R278" s="26"/>
    </row>
    <row r="279" spans="6:18" x14ac:dyDescent="0.25">
      <c r="F279" s="26"/>
      <c r="J279" s="26"/>
      <c r="L279" s="26"/>
      <c r="M279" s="26"/>
      <c r="N279" s="26"/>
      <c r="O279" s="26"/>
      <c r="P279" s="26"/>
      <c r="Q279" s="26"/>
      <c r="R279" s="26"/>
    </row>
    <row r="280" spans="6:18" x14ac:dyDescent="0.25">
      <c r="F280" s="26"/>
      <c r="J280" s="26"/>
      <c r="L280" s="26"/>
      <c r="M280" s="26"/>
      <c r="N280" s="26"/>
      <c r="O280" s="26"/>
      <c r="P280" s="26"/>
      <c r="Q280" s="26"/>
      <c r="R280" s="26"/>
    </row>
    <row r="281" spans="6:18" x14ac:dyDescent="0.25">
      <c r="F281" s="26"/>
      <c r="J281" s="26"/>
      <c r="L281" s="26"/>
      <c r="M281" s="26"/>
      <c r="N281" s="26"/>
      <c r="O281" s="26"/>
      <c r="P281" s="26"/>
      <c r="Q281" s="26"/>
      <c r="R281" s="26"/>
    </row>
    <row r="282" spans="6:18" x14ac:dyDescent="0.25">
      <c r="F282" s="26"/>
      <c r="J282" s="26"/>
      <c r="L282" s="26"/>
      <c r="M282" s="26"/>
      <c r="N282" s="26"/>
      <c r="O282" s="26"/>
      <c r="P282" s="26"/>
      <c r="Q282" s="26"/>
      <c r="R282" s="26"/>
    </row>
    <row r="283" spans="6:18" x14ac:dyDescent="0.25">
      <c r="F283" s="26"/>
      <c r="J283" s="26"/>
      <c r="L283" s="26"/>
      <c r="M283" s="26"/>
      <c r="N283" s="26"/>
      <c r="O283" s="26"/>
      <c r="P283" s="26"/>
      <c r="Q283" s="26"/>
      <c r="R283" s="26"/>
    </row>
    <row r="284" spans="6:18" x14ac:dyDescent="0.25">
      <c r="F284" s="26"/>
      <c r="J284" s="26"/>
      <c r="L284" s="26"/>
      <c r="M284" s="26"/>
      <c r="N284" s="26"/>
      <c r="O284" s="26"/>
      <c r="P284" s="26"/>
      <c r="Q284" s="26"/>
      <c r="R284" s="26"/>
    </row>
    <row r="285" spans="6:18" x14ac:dyDescent="0.25">
      <c r="F285" s="26"/>
      <c r="J285" s="26"/>
      <c r="L285" s="26"/>
      <c r="M285" s="26"/>
      <c r="N285" s="26"/>
      <c r="O285" s="26"/>
      <c r="P285" s="26"/>
      <c r="Q285" s="26"/>
      <c r="R285" s="26"/>
    </row>
    <row r="286" spans="6:18" x14ac:dyDescent="0.25">
      <c r="F286" s="26"/>
      <c r="J286" s="26"/>
      <c r="L286" s="26"/>
      <c r="M286" s="26"/>
      <c r="N286" s="26"/>
      <c r="O286" s="26"/>
      <c r="P286" s="26"/>
      <c r="Q286" s="26"/>
      <c r="R286" s="26"/>
    </row>
    <row r="287" spans="6:18" x14ac:dyDescent="0.25">
      <c r="F287" s="26"/>
      <c r="J287" s="26"/>
      <c r="L287" s="26"/>
      <c r="M287" s="26"/>
      <c r="N287" s="26"/>
      <c r="O287" s="26"/>
      <c r="P287" s="26"/>
      <c r="Q287" s="26"/>
      <c r="R287" s="26"/>
    </row>
    <row r="288" spans="6:18" x14ac:dyDescent="0.25">
      <c r="F288" s="26"/>
      <c r="J288" s="26"/>
      <c r="L288" s="26"/>
      <c r="M288" s="26"/>
      <c r="N288" s="26"/>
      <c r="O288" s="26"/>
      <c r="P288" s="26"/>
      <c r="Q288" s="26"/>
      <c r="R288" s="26"/>
    </row>
    <row r="289" spans="6:18" x14ac:dyDescent="0.25">
      <c r="F289" s="26"/>
      <c r="J289" s="26"/>
      <c r="L289" s="26"/>
      <c r="M289" s="26"/>
      <c r="N289" s="26"/>
      <c r="O289" s="26"/>
      <c r="P289" s="26"/>
      <c r="Q289" s="26"/>
      <c r="R289" s="26"/>
    </row>
    <row r="290" spans="6:18" x14ac:dyDescent="0.25">
      <c r="F290" s="26"/>
      <c r="J290" s="26"/>
      <c r="L290" s="26"/>
      <c r="M290" s="26"/>
      <c r="N290" s="26"/>
      <c r="O290" s="26"/>
      <c r="P290" s="26"/>
      <c r="Q290" s="26"/>
      <c r="R290" s="26"/>
    </row>
    <row r="291" spans="6:18" x14ac:dyDescent="0.25">
      <c r="F291" s="26"/>
      <c r="J291" s="26"/>
      <c r="L291" s="26"/>
      <c r="M291" s="26"/>
      <c r="N291" s="26"/>
      <c r="O291" s="26"/>
      <c r="P291" s="26"/>
      <c r="Q291" s="26"/>
      <c r="R291" s="26"/>
    </row>
    <row r="292" spans="6:18" x14ac:dyDescent="0.25">
      <c r="F292" s="26"/>
      <c r="J292" s="26"/>
      <c r="L292" s="26"/>
      <c r="M292" s="26"/>
      <c r="N292" s="26"/>
      <c r="O292" s="26"/>
      <c r="P292" s="26"/>
      <c r="Q292" s="26"/>
      <c r="R292" s="26"/>
    </row>
    <row r="293" spans="6:18" x14ac:dyDescent="0.25">
      <c r="F293" s="26"/>
      <c r="J293" s="26"/>
      <c r="L293" s="26"/>
      <c r="M293" s="26"/>
      <c r="N293" s="26"/>
      <c r="O293" s="26"/>
      <c r="P293" s="26"/>
      <c r="Q293" s="26"/>
      <c r="R293" s="26"/>
    </row>
    <row r="294" spans="6:18" x14ac:dyDescent="0.25">
      <c r="F294" s="26"/>
      <c r="J294" s="26"/>
      <c r="L294" s="26"/>
      <c r="M294" s="26"/>
      <c r="N294" s="26"/>
      <c r="O294" s="26"/>
      <c r="P294" s="26"/>
      <c r="Q294" s="26"/>
      <c r="R294" s="26"/>
    </row>
    <row r="295" spans="6:18" x14ac:dyDescent="0.25">
      <c r="F295" s="26"/>
      <c r="J295" s="26"/>
      <c r="L295" s="26"/>
      <c r="M295" s="26"/>
      <c r="N295" s="26"/>
      <c r="O295" s="26"/>
      <c r="P295" s="26"/>
      <c r="Q295" s="26"/>
      <c r="R295" s="26"/>
    </row>
    <row r="296" spans="6:18" x14ac:dyDescent="0.25">
      <c r="F296" s="26"/>
      <c r="J296" s="26"/>
      <c r="L296" s="26"/>
      <c r="M296" s="26"/>
      <c r="N296" s="26"/>
      <c r="O296" s="26"/>
      <c r="P296" s="26"/>
      <c r="Q296" s="26"/>
      <c r="R296" s="26"/>
    </row>
    <row r="297" spans="6:18" x14ac:dyDescent="0.25">
      <c r="F297" s="26"/>
      <c r="J297" s="26"/>
      <c r="L297" s="26"/>
      <c r="M297" s="26"/>
      <c r="N297" s="26"/>
      <c r="O297" s="26"/>
      <c r="P297" s="26"/>
      <c r="Q297" s="26"/>
      <c r="R297" s="26"/>
    </row>
    <row r="298" spans="6:18" x14ac:dyDescent="0.25">
      <c r="F298" s="26"/>
      <c r="J298" s="26"/>
      <c r="L298" s="26"/>
      <c r="M298" s="26"/>
      <c r="N298" s="26"/>
      <c r="O298" s="26"/>
      <c r="P298" s="26"/>
      <c r="Q298" s="26"/>
      <c r="R298" s="26"/>
    </row>
    <row r="299" spans="6:18" x14ac:dyDescent="0.25">
      <c r="F299" s="26"/>
      <c r="J299" s="26"/>
      <c r="L299" s="26"/>
      <c r="M299" s="26"/>
      <c r="N299" s="26"/>
      <c r="O299" s="26"/>
      <c r="P299" s="26"/>
      <c r="Q299" s="26"/>
      <c r="R299" s="26"/>
    </row>
    <row r="300" spans="6:18" x14ac:dyDescent="0.25">
      <c r="F300" s="26"/>
      <c r="J300" s="26"/>
      <c r="L300" s="26"/>
      <c r="M300" s="26"/>
      <c r="N300" s="26"/>
      <c r="O300" s="26"/>
      <c r="P300" s="26"/>
      <c r="Q300" s="26"/>
      <c r="R300" s="26"/>
    </row>
    <row r="301" spans="6:18" x14ac:dyDescent="0.25">
      <c r="F301" s="26"/>
      <c r="J301" s="26"/>
      <c r="L301" s="26"/>
      <c r="M301" s="26"/>
      <c r="N301" s="26"/>
      <c r="O301" s="26"/>
      <c r="P301" s="26"/>
      <c r="Q301" s="26"/>
      <c r="R301" s="26"/>
    </row>
    <row r="302" spans="6:18" x14ac:dyDescent="0.25">
      <c r="F302" s="26"/>
      <c r="J302" s="26"/>
      <c r="L302" s="26"/>
      <c r="M302" s="26"/>
      <c r="N302" s="26"/>
      <c r="O302" s="26"/>
      <c r="P302" s="26"/>
      <c r="Q302" s="26"/>
      <c r="R302" s="26"/>
    </row>
    <row r="303" spans="6:18" x14ac:dyDescent="0.25">
      <c r="F303" s="26"/>
      <c r="J303" s="26"/>
      <c r="L303" s="26"/>
      <c r="M303" s="26"/>
      <c r="N303" s="26"/>
      <c r="O303" s="26"/>
      <c r="P303" s="26"/>
      <c r="Q303" s="26"/>
      <c r="R303" s="26"/>
    </row>
    <row r="304" spans="6:18" x14ac:dyDescent="0.25">
      <c r="F304" s="26"/>
      <c r="J304" s="26"/>
      <c r="L304" s="26"/>
      <c r="M304" s="26"/>
      <c r="N304" s="26"/>
      <c r="O304" s="26"/>
      <c r="P304" s="26"/>
      <c r="Q304" s="26"/>
      <c r="R304" s="26"/>
    </row>
    <row r="305" spans="6:18" x14ac:dyDescent="0.25">
      <c r="F305" s="26"/>
      <c r="J305" s="26"/>
      <c r="L305" s="26"/>
      <c r="M305" s="26"/>
      <c r="N305" s="26"/>
      <c r="O305" s="26"/>
      <c r="P305" s="26"/>
      <c r="Q305" s="26"/>
      <c r="R305" s="26"/>
    </row>
    <row r="306" spans="6:18" x14ac:dyDescent="0.25">
      <c r="F306" s="26"/>
      <c r="J306" s="26"/>
      <c r="L306" s="26"/>
      <c r="M306" s="26"/>
      <c r="N306" s="26"/>
      <c r="O306" s="26"/>
      <c r="P306" s="26"/>
      <c r="Q306" s="26"/>
      <c r="R306" s="26"/>
    </row>
    <row r="307" spans="6:18" x14ac:dyDescent="0.25">
      <c r="F307" s="26"/>
      <c r="J307" s="26"/>
      <c r="L307" s="26"/>
      <c r="M307" s="26"/>
      <c r="N307" s="26"/>
      <c r="O307" s="26"/>
      <c r="P307" s="26"/>
      <c r="Q307" s="26"/>
      <c r="R307" s="26"/>
    </row>
    <row r="308" spans="6:18" x14ac:dyDescent="0.25">
      <c r="F308" s="26"/>
      <c r="J308" s="26"/>
      <c r="L308" s="26"/>
      <c r="M308" s="26"/>
      <c r="N308" s="26"/>
      <c r="O308" s="26"/>
      <c r="P308" s="26"/>
      <c r="Q308" s="26"/>
      <c r="R308" s="26"/>
    </row>
    <row r="309" spans="6:18" x14ac:dyDescent="0.25">
      <c r="F309" s="26"/>
      <c r="J309" s="26"/>
      <c r="L309" s="26"/>
      <c r="M309" s="26"/>
      <c r="N309" s="26"/>
      <c r="O309" s="26"/>
      <c r="P309" s="26"/>
      <c r="Q309" s="26"/>
      <c r="R309" s="26"/>
    </row>
    <row r="310" spans="6:18" x14ac:dyDescent="0.25">
      <c r="F310" s="26"/>
      <c r="J310" s="26"/>
      <c r="L310" s="26"/>
      <c r="M310" s="26"/>
      <c r="N310" s="26"/>
      <c r="O310" s="26"/>
      <c r="P310" s="26"/>
      <c r="Q310" s="26"/>
      <c r="R310" s="26"/>
    </row>
    <row r="311" spans="6:18" x14ac:dyDescent="0.25">
      <c r="F311" s="26"/>
      <c r="J311" s="26"/>
      <c r="L311" s="26"/>
      <c r="M311" s="26"/>
      <c r="N311" s="26"/>
      <c r="O311" s="26"/>
      <c r="P311" s="26"/>
      <c r="Q311" s="26"/>
      <c r="R311" s="26"/>
    </row>
    <row r="312" spans="6:18" x14ac:dyDescent="0.25">
      <c r="F312" s="26"/>
      <c r="J312" s="26"/>
      <c r="L312" s="26"/>
      <c r="M312" s="26"/>
      <c r="N312" s="26"/>
      <c r="O312" s="26"/>
      <c r="P312" s="26"/>
      <c r="Q312" s="26"/>
      <c r="R312" s="26"/>
    </row>
    <row r="313" spans="6:18" x14ac:dyDescent="0.25">
      <c r="F313" s="26"/>
      <c r="J313" s="26"/>
      <c r="L313" s="26"/>
      <c r="M313" s="26"/>
      <c r="N313" s="26"/>
      <c r="O313" s="26"/>
      <c r="P313" s="26"/>
      <c r="Q313" s="26"/>
      <c r="R313" s="26"/>
    </row>
    <row r="314" spans="6:18" x14ac:dyDescent="0.25">
      <c r="F314" s="26"/>
      <c r="J314" s="26"/>
      <c r="L314" s="26"/>
      <c r="M314" s="26"/>
      <c r="N314" s="26"/>
      <c r="O314" s="26"/>
      <c r="P314" s="26"/>
      <c r="Q314" s="26"/>
      <c r="R314" s="26"/>
    </row>
    <row r="315" spans="6:18" x14ac:dyDescent="0.25">
      <c r="F315" s="26"/>
      <c r="J315" s="26"/>
      <c r="L315" s="26"/>
      <c r="M315" s="26"/>
      <c r="N315" s="26"/>
      <c r="O315" s="26"/>
      <c r="P315" s="26"/>
      <c r="Q315" s="26"/>
      <c r="R315" s="26"/>
    </row>
    <row r="316" spans="6:18" x14ac:dyDescent="0.25">
      <c r="F316" s="26"/>
      <c r="J316" s="26"/>
      <c r="L316" s="26"/>
      <c r="M316" s="26"/>
      <c r="N316" s="26"/>
      <c r="O316" s="26"/>
      <c r="P316" s="26"/>
      <c r="Q316" s="26"/>
      <c r="R316" s="26"/>
    </row>
    <row r="317" spans="6:18" x14ac:dyDescent="0.25">
      <c r="F317" s="26"/>
      <c r="J317" s="26"/>
      <c r="L317" s="26"/>
      <c r="M317" s="26"/>
      <c r="N317" s="26"/>
      <c r="O317" s="26"/>
      <c r="P317" s="26"/>
      <c r="Q317" s="26"/>
      <c r="R317" s="26"/>
    </row>
    <row r="318" spans="6:18" x14ac:dyDescent="0.25">
      <c r="F318" s="26"/>
      <c r="J318" s="26"/>
      <c r="L318" s="26"/>
      <c r="M318" s="26"/>
      <c r="N318" s="26"/>
      <c r="O318" s="26"/>
      <c r="P318" s="26"/>
      <c r="Q318" s="26"/>
      <c r="R318" s="26"/>
    </row>
    <row r="319" spans="6:18" x14ac:dyDescent="0.25">
      <c r="F319" s="26"/>
      <c r="J319" s="26"/>
      <c r="L319" s="26"/>
      <c r="M319" s="26"/>
      <c r="N319" s="26"/>
      <c r="O319" s="26"/>
      <c r="P319" s="26"/>
      <c r="Q319" s="26"/>
      <c r="R319" s="26"/>
    </row>
    <row r="320" spans="6:18" x14ac:dyDescent="0.25">
      <c r="F320" s="26"/>
      <c r="J320" s="26"/>
      <c r="L320" s="26"/>
      <c r="M320" s="26"/>
      <c r="N320" s="26"/>
      <c r="O320" s="26"/>
      <c r="P320" s="26"/>
      <c r="Q320" s="26"/>
      <c r="R320" s="26"/>
    </row>
    <row r="321" spans="6:18" x14ac:dyDescent="0.25">
      <c r="F321" s="26"/>
      <c r="J321" s="26"/>
      <c r="L321" s="26"/>
      <c r="M321" s="26"/>
      <c r="N321" s="26"/>
      <c r="O321" s="26"/>
      <c r="P321" s="26"/>
      <c r="Q321" s="26"/>
      <c r="R321" s="26"/>
    </row>
    <row r="322" spans="6:18" x14ac:dyDescent="0.25">
      <c r="F322" s="26"/>
      <c r="J322" s="26"/>
      <c r="L322" s="26"/>
      <c r="M322" s="26"/>
      <c r="N322" s="26"/>
      <c r="O322" s="26"/>
      <c r="P322" s="26"/>
      <c r="Q322" s="26"/>
      <c r="R322" s="26"/>
    </row>
    <row r="323" spans="6:18" x14ac:dyDescent="0.25">
      <c r="F323" s="26"/>
      <c r="J323" s="26"/>
      <c r="L323" s="26"/>
      <c r="M323" s="26"/>
      <c r="N323" s="26"/>
      <c r="O323" s="26"/>
      <c r="P323" s="26"/>
      <c r="Q323" s="26"/>
      <c r="R323" s="26"/>
    </row>
    <row r="324" spans="6:18" x14ac:dyDescent="0.25">
      <c r="F324" s="26"/>
      <c r="J324" s="26"/>
      <c r="L324" s="26"/>
      <c r="M324" s="26"/>
      <c r="N324" s="26"/>
      <c r="O324" s="26"/>
      <c r="P324" s="26"/>
      <c r="Q324" s="26"/>
      <c r="R324" s="26"/>
    </row>
    <row r="325" spans="6:18" x14ac:dyDescent="0.25">
      <c r="F325" s="26"/>
      <c r="J325" s="26"/>
      <c r="L325" s="26"/>
      <c r="M325" s="26"/>
      <c r="N325" s="26"/>
      <c r="O325" s="26"/>
      <c r="P325" s="26"/>
      <c r="Q325" s="26"/>
      <c r="R325" s="26"/>
    </row>
    <row r="326" spans="6:18" x14ac:dyDescent="0.25">
      <c r="F326" s="26"/>
      <c r="J326" s="26"/>
      <c r="L326" s="26"/>
      <c r="M326" s="26"/>
      <c r="N326" s="26"/>
      <c r="O326" s="26"/>
      <c r="P326" s="26"/>
      <c r="Q326" s="26"/>
      <c r="R326" s="26"/>
    </row>
    <row r="327" spans="6:18" x14ac:dyDescent="0.25">
      <c r="F327" s="26"/>
      <c r="J327" s="26"/>
      <c r="L327" s="26"/>
      <c r="M327" s="26"/>
      <c r="N327" s="26"/>
      <c r="O327" s="26"/>
      <c r="P327" s="26"/>
      <c r="Q327" s="26"/>
      <c r="R327" s="26"/>
    </row>
    <row r="328" spans="6:18" x14ac:dyDescent="0.25">
      <c r="F328" s="26"/>
      <c r="J328" s="26"/>
      <c r="L328" s="26"/>
      <c r="M328" s="26"/>
      <c r="N328" s="26"/>
      <c r="O328" s="26"/>
      <c r="P328" s="26"/>
      <c r="Q328" s="26"/>
      <c r="R328" s="26"/>
    </row>
    <row r="329" spans="6:18" x14ac:dyDescent="0.25">
      <c r="F329" s="26"/>
      <c r="J329" s="26"/>
      <c r="L329" s="26"/>
      <c r="M329" s="26"/>
      <c r="N329" s="26"/>
      <c r="O329" s="26"/>
      <c r="P329" s="26"/>
      <c r="Q329" s="26"/>
      <c r="R329" s="26"/>
    </row>
    <row r="330" spans="6:18" x14ac:dyDescent="0.25">
      <c r="F330" s="26"/>
      <c r="J330" s="26"/>
      <c r="L330" s="26"/>
      <c r="M330" s="26"/>
      <c r="N330" s="26"/>
      <c r="O330" s="26"/>
      <c r="P330" s="26"/>
      <c r="Q330" s="26"/>
      <c r="R330" s="26"/>
    </row>
    <row r="331" spans="6:18" x14ac:dyDescent="0.25">
      <c r="F331" s="26"/>
      <c r="J331" s="26"/>
      <c r="L331" s="26"/>
      <c r="M331" s="26"/>
      <c r="N331" s="26"/>
      <c r="O331" s="26"/>
      <c r="P331" s="26"/>
      <c r="Q331" s="26"/>
      <c r="R331" s="26"/>
    </row>
    <row r="332" spans="6:18" x14ac:dyDescent="0.25">
      <c r="F332" s="26"/>
      <c r="J332" s="26"/>
      <c r="L332" s="26"/>
      <c r="M332" s="26"/>
      <c r="N332" s="26"/>
      <c r="O332" s="26"/>
      <c r="P332" s="26"/>
      <c r="Q332" s="26"/>
      <c r="R332" s="26"/>
    </row>
    <row r="333" spans="6:18" x14ac:dyDescent="0.25">
      <c r="F333" s="26"/>
      <c r="J333" s="26"/>
      <c r="L333" s="26"/>
      <c r="M333" s="26"/>
      <c r="N333" s="26"/>
      <c r="O333" s="26"/>
      <c r="P333" s="26"/>
      <c r="Q333" s="26"/>
      <c r="R333" s="26"/>
    </row>
    <row r="334" spans="6:18" x14ac:dyDescent="0.25">
      <c r="F334" s="26"/>
      <c r="J334" s="26"/>
      <c r="L334" s="26"/>
      <c r="M334" s="26"/>
      <c r="N334" s="26"/>
      <c r="O334" s="26"/>
      <c r="P334" s="26"/>
      <c r="Q334" s="26"/>
      <c r="R334" s="26"/>
    </row>
    <row r="335" spans="6:18" x14ac:dyDescent="0.25">
      <c r="F335" s="26"/>
      <c r="J335" s="26"/>
      <c r="L335" s="26"/>
      <c r="M335" s="26"/>
      <c r="N335" s="26"/>
      <c r="O335" s="26"/>
      <c r="P335" s="26"/>
      <c r="Q335" s="26"/>
      <c r="R335" s="26"/>
    </row>
    <row r="336" spans="6:18" x14ac:dyDescent="0.25">
      <c r="F336" s="26"/>
      <c r="J336" s="26"/>
      <c r="L336" s="26"/>
      <c r="M336" s="26"/>
      <c r="N336" s="26"/>
      <c r="O336" s="26"/>
      <c r="P336" s="26"/>
      <c r="Q336" s="26"/>
      <c r="R336" s="26"/>
    </row>
    <row r="337" spans="6:18" x14ac:dyDescent="0.25">
      <c r="F337" s="26"/>
      <c r="J337" s="26"/>
      <c r="L337" s="26"/>
      <c r="M337" s="26"/>
      <c r="N337" s="26"/>
      <c r="O337" s="26"/>
      <c r="P337" s="26"/>
      <c r="Q337" s="26"/>
      <c r="R337" s="26"/>
    </row>
    <row r="338" spans="6:18" x14ac:dyDescent="0.25">
      <c r="F338" s="26"/>
      <c r="J338" s="26"/>
      <c r="L338" s="26"/>
      <c r="M338" s="26"/>
      <c r="N338" s="26"/>
      <c r="O338" s="26"/>
      <c r="P338" s="26"/>
      <c r="Q338" s="26"/>
      <c r="R338" s="26"/>
    </row>
    <row r="339" spans="6:18" x14ac:dyDescent="0.25">
      <c r="F339" s="26"/>
      <c r="J339" s="26"/>
      <c r="L339" s="26"/>
      <c r="M339" s="26"/>
      <c r="N339" s="26"/>
      <c r="O339" s="26"/>
      <c r="P339" s="26"/>
      <c r="Q339" s="26"/>
      <c r="R339" s="26"/>
    </row>
    <row r="340" spans="6:18" x14ac:dyDescent="0.25">
      <c r="F340" s="26"/>
      <c r="J340" s="26"/>
      <c r="L340" s="26"/>
      <c r="M340" s="26"/>
      <c r="N340" s="26"/>
      <c r="O340" s="26"/>
      <c r="P340" s="26"/>
      <c r="Q340" s="26"/>
      <c r="R340" s="26"/>
    </row>
    <row r="341" spans="6:18" x14ac:dyDescent="0.25">
      <c r="F341" s="26"/>
      <c r="J341" s="26"/>
      <c r="L341" s="26"/>
      <c r="M341" s="26"/>
      <c r="N341" s="26"/>
      <c r="O341" s="26"/>
      <c r="P341" s="26"/>
      <c r="Q341" s="26"/>
      <c r="R341" s="26"/>
    </row>
    <row r="342" spans="6:18" x14ac:dyDescent="0.25">
      <c r="F342" s="26"/>
      <c r="J342" s="26"/>
      <c r="L342" s="26"/>
      <c r="M342" s="26"/>
      <c r="N342" s="26"/>
      <c r="O342" s="26"/>
      <c r="P342" s="26"/>
      <c r="Q342" s="26"/>
      <c r="R342" s="26"/>
    </row>
    <row r="343" spans="6:18" x14ac:dyDescent="0.25">
      <c r="F343" s="26"/>
      <c r="J343" s="26"/>
      <c r="L343" s="26"/>
      <c r="M343" s="26"/>
      <c r="N343" s="26"/>
      <c r="O343" s="26"/>
      <c r="P343" s="26"/>
      <c r="Q343" s="26"/>
      <c r="R343" s="26"/>
    </row>
    <row r="344" spans="6:18" x14ac:dyDescent="0.25">
      <c r="F344" s="26"/>
      <c r="J344" s="26"/>
      <c r="L344" s="26"/>
      <c r="M344" s="26"/>
      <c r="N344" s="26"/>
      <c r="O344" s="26"/>
      <c r="P344" s="26"/>
      <c r="Q344" s="26"/>
      <c r="R344" s="26"/>
    </row>
    <row r="345" spans="6:18" x14ac:dyDescent="0.25">
      <c r="F345" s="26"/>
      <c r="J345" s="26"/>
      <c r="L345" s="26"/>
      <c r="M345" s="26"/>
      <c r="N345" s="26"/>
      <c r="O345" s="26"/>
      <c r="P345" s="26"/>
      <c r="Q345" s="26"/>
      <c r="R345" s="26"/>
    </row>
    <row r="346" spans="6:18" x14ac:dyDescent="0.25">
      <c r="F346" s="26"/>
      <c r="J346" s="26"/>
      <c r="L346" s="26"/>
      <c r="M346" s="26"/>
      <c r="N346" s="26"/>
      <c r="O346" s="26"/>
      <c r="P346" s="26"/>
      <c r="Q346" s="26"/>
      <c r="R346" s="26"/>
    </row>
    <row r="347" spans="6:18" x14ac:dyDescent="0.25">
      <c r="F347" s="26"/>
      <c r="J347" s="26"/>
      <c r="L347" s="26"/>
      <c r="M347" s="26"/>
      <c r="N347" s="26"/>
      <c r="O347" s="26"/>
      <c r="P347" s="26"/>
      <c r="Q347" s="26"/>
      <c r="R347" s="26"/>
    </row>
    <row r="348" spans="6:18" x14ac:dyDescent="0.25">
      <c r="F348" s="26"/>
      <c r="J348" s="26"/>
      <c r="L348" s="26"/>
      <c r="M348" s="26"/>
      <c r="N348" s="26"/>
      <c r="O348" s="26"/>
      <c r="P348" s="26"/>
      <c r="Q348" s="26"/>
      <c r="R348" s="26"/>
    </row>
    <row r="349" spans="6:18" x14ac:dyDescent="0.25">
      <c r="F349" s="26"/>
      <c r="J349" s="26"/>
      <c r="L349" s="26"/>
      <c r="M349" s="26"/>
      <c r="N349" s="26"/>
      <c r="O349" s="26"/>
      <c r="P349" s="26"/>
      <c r="Q349" s="26"/>
      <c r="R349" s="26"/>
    </row>
    <row r="350" spans="6:18" x14ac:dyDescent="0.25">
      <c r="F350" s="26"/>
      <c r="J350" s="26"/>
      <c r="L350" s="26"/>
      <c r="M350" s="26"/>
      <c r="N350" s="26"/>
      <c r="O350" s="26"/>
      <c r="P350" s="26"/>
      <c r="Q350" s="26"/>
      <c r="R350" s="26"/>
    </row>
    <row r="351" spans="6:18" x14ac:dyDescent="0.25">
      <c r="F351" s="26"/>
      <c r="J351" s="26"/>
      <c r="L351" s="26"/>
      <c r="M351" s="26"/>
      <c r="N351" s="26"/>
      <c r="O351" s="26"/>
      <c r="P351" s="26"/>
      <c r="Q351" s="26"/>
      <c r="R351" s="26"/>
    </row>
    <row r="352" spans="6:18" x14ac:dyDescent="0.25">
      <c r="F352" s="26"/>
      <c r="J352" s="26"/>
      <c r="L352" s="26"/>
      <c r="M352" s="26"/>
      <c r="N352" s="26"/>
      <c r="O352" s="26"/>
      <c r="P352" s="26"/>
      <c r="Q352" s="26"/>
      <c r="R352" s="26"/>
    </row>
    <row r="353" spans="6:18" x14ac:dyDescent="0.25">
      <c r="F353" s="26"/>
      <c r="J353" s="26"/>
      <c r="L353" s="26"/>
      <c r="M353" s="26"/>
      <c r="N353" s="26"/>
      <c r="O353" s="26"/>
      <c r="P353" s="26"/>
      <c r="Q353" s="26"/>
      <c r="R353" s="26"/>
    </row>
    <row r="354" spans="6:18" x14ac:dyDescent="0.25">
      <c r="F354" s="26"/>
      <c r="J354" s="26"/>
      <c r="L354" s="26"/>
      <c r="M354" s="26"/>
      <c r="N354" s="26"/>
      <c r="O354" s="26"/>
      <c r="P354" s="26"/>
      <c r="Q354" s="26"/>
      <c r="R354" s="26"/>
    </row>
    <row r="355" spans="6:18" x14ac:dyDescent="0.25">
      <c r="F355" s="26"/>
      <c r="J355" s="26"/>
      <c r="L355" s="26"/>
      <c r="M355" s="26"/>
      <c r="N355" s="26"/>
      <c r="O355" s="26"/>
      <c r="P355" s="26"/>
      <c r="Q355" s="26"/>
      <c r="R355" s="26"/>
    </row>
    <row r="356" spans="6:18" x14ac:dyDescent="0.25">
      <c r="F356" s="26"/>
      <c r="J356" s="26"/>
      <c r="L356" s="26"/>
      <c r="M356" s="26"/>
      <c r="N356" s="26"/>
      <c r="O356" s="26"/>
      <c r="P356" s="26"/>
      <c r="Q356" s="26"/>
      <c r="R356" s="26"/>
    </row>
    <row r="357" spans="6:18" x14ac:dyDescent="0.25">
      <c r="F357" s="26"/>
      <c r="J357" s="26"/>
      <c r="L357" s="26"/>
      <c r="M357" s="26"/>
      <c r="N357" s="26"/>
      <c r="O357" s="26"/>
      <c r="P357" s="26"/>
      <c r="Q357" s="26"/>
      <c r="R357" s="26"/>
    </row>
    <row r="358" spans="6:18" x14ac:dyDescent="0.25">
      <c r="F358" s="26"/>
      <c r="J358" s="26"/>
      <c r="L358" s="26"/>
      <c r="M358" s="26"/>
      <c r="N358" s="26"/>
      <c r="O358" s="26"/>
      <c r="P358" s="26"/>
      <c r="Q358" s="26"/>
      <c r="R358" s="26"/>
    </row>
    <row r="359" spans="6:18" x14ac:dyDescent="0.25">
      <c r="F359" s="26"/>
      <c r="J359" s="26"/>
      <c r="L359" s="26"/>
      <c r="M359" s="26"/>
      <c r="N359" s="26"/>
      <c r="O359" s="26"/>
      <c r="P359" s="26"/>
      <c r="Q359" s="26"/>
      <c r="R359" s="26"/>
    </row>
    <row r="360" spans="6:18" x14ac:dyDescent="0.25">
      <c r="F360" s="26"/>
      <c r="J360" s="26"/>
      <c r="L360" s="26"/>
      <c r="M360" s="26"/>
      <c r="N360" s="26"/>
      <c r="O360" s="26"/>
      <c r="P360" s="26"/>
      <c r="Q360" s="26"/>
      <c r="R360" s="26"/>
    </row>
    <row r="361" spans="6:18" x14ac:dyDescent="0.25">
      <c r="F361" s="26"/>
      <c r="J361" s="26"/>
      <c r="L361" s="26"/>
      <c r="M361" s="26"/>
      <c r="N361" s="26"/>
      <c r="O361" s="26"/>
      <c r="P361" s="26"/>
      <c r="Q361" s="26"/>
      <c r="R361" s="26"/>
    </row>
    <row r="362" spans="6:18" x14ac:dyDescent="0.25">
      <c r="F362" s="26"/>
      <c r="J362" s="26"/>
      <c r="L362" s="26"/>
      <c r="M362" s="26"/>
      <c r="N362" s="26"/>
      <c r="O362" s="26"/>
      <c r="P362" s="26"/>
      <c r="Q362" s="26"/>
      <c r="R362" s="26"/>
    </row>
    <row r="363" spans="6:18" x14ac:dyDescent="0.25">
      <c r="F363" s="26"/>
      <c r="J363" s="26"/>
      <c r="L363" s="26"/>
      <c r="M363" s="26"/>
      <c r="N363" s="26"/>
      <c r="O363" s="26"/>
      <c r="P363" s="26"/>
      <c r="Q363" s="26"/>
      <c r="R363" s="26"/>
    </row>
    <row r="364" spans="6:18" x14ac:dyDescent="0.25">
      <c r="F364" s="26"/>
      <c r="J364" s="26"/>
      <c r="L364" s="26"/>
      <c r="M364" s="26"/>
      <c r="N364" s="26"/>
      <c r="O364" s="26"/>
      <c r="P364" s="26"/>
      <c r="Q364" s="26"/>
      <c r="R364" s="26"/>
    </row>
    <row r="365" spans="6:18" x14ac:dyDescent="0.25">
      <c r="F365" s="26"/>
      <c r="J365" s="26"/>
      <c r="L365" s="26"/>
      <c r="M365" s="26"/>
      <c r="N365" s="26"/>
      <c r="O365" s="26"/>
      <c r="P365" s="26"/>
      <c r="Q365" s="26"/>
      <c r="R365" s="26"/>
    </row>
    <row r="366" spans="6:18" x14ac:dyDescent="0.25">
      <c r="F366" s="26"/>
      <c r="J366" s="26"/>
      <c r="L366" s="26"/>
      <c r="M366" s="26"/>
      <c r="N366" s="26"/>
      <c r="O366" s="26"/>
      <c r="P366" s="26"/>
      <c r="Q366" s="26"/>
      <c r="R366" s="26"/>
    </row>
    <row r="367" spans="6:18" x14ac:dyDescent="0.25">
      <c r="F367" s="26"/>
      <c r="J367" s="26"/>
      <c r="L367" s="26"/>
      <c r="M367" s="26"/>
      <c r="N367" s="26"/>
      <c r="O367" s="26"/>
      <c r="P367" s="26"/>
      <c r="Q367" s="26"/>
      <c r="R367" s="26"/>
    </row>
    <row r="368" spans="6:18" x14ac:dyDescent="0.25">
      <c r="F368" s="26"/>
      <c r="J368" s="26"/>
      <c r="L368" s="26"/>
      <c r="M368" s="26"/>
      <c r="N368" s="26"/>
      <c r="O368" s="26"/>
      <c r="P368" s="26"/>
      <c r="Q368" s="26"/>
      <c r="R368" s="26"/>
    </row>
    <row r="369" spans="6:18" x14ac:dyDescent="0.25">
      <c r="F369" s="26"/>
      <c r="J369" s="26"/>
      <c r="L369" s="26"/>
      <c r="M369" s="26"/>
      <c r="N369" s="26"/>
      <c r="O369" s="26"/>
      <c r="P369" s="26"/>
      <c r="Q369" s="26"/>
      <c r="R369" s="26"/>
    </row>
    <row r="370" spans="6:18" x14ac:dyDescent="0.25">
      <c r="F370" s="26"/>
      <c r="J370" s="26"/>
      <c r="L370" s="26"/>
      <c r="M370" s="26"/>
      <c r="N370" s="26"/>
      <c r="O370" s="26"/>
      <c r="P370" s="26"/>
      <c r="Q370" s="26"/>
      <c r="R370" s="26"/>
    </row>
    <row r="371" spans="6:18" x14ac:dyDescent="0.25">
      <c r="F371" s="26"/>
      <c r="J371" s="26"/>
      <c r="L371" s="26"/>
      <c r="M371" s="26"/>
      <c r="N371" s="26"/>
      <c r="O371" s="26"/>
      <c r="P371" s="26"/>
      <c r="Q371" s="26"/>
      <c r="R371" s="26"/>
    </row>
    <row r="372" spans="6:18" x14ac:dyDescent="0.25">
      <c r="F372" s="26"/>
      <c r="J372" s="26"/>
      <c r="L372" s="26"/>
    </row>
    <row r="373" spans="6:18" x14ac:dyDescent="0.25">
      <c r="F373" s="26"/>
      <c r="J373" s="26"/>
      <c r="L373" s="26"/>
    </row>
    <row r="374" spans="6:18" x14ac:dyDescent="0.25">
      <c r="F374" s="26"/>
      <c r="J374" s="26"/>
      <c r="L374" s="26"/>
    </row>
    <row r="375" spans="6:18" x14ac:dyDescent="0.25">
      <c r="F375" s="26"/>
      <c r="J375" s="26"/>
      <c r="L375" s="26"/>
    </row>
    <row r="376" spans="6:18" x14ac:dyDescent="0.25">
      <c r="F376" s="26"/>
      <c r="J376" s="26"/>
      <c r="L376" s="26"/>
    </row>
    <row r="377" spans="6:18" x14ac:dyDescent="0.25">
      <c r="F377" s="26"/>
      <c r="J377" s="26"/>
      <c r="L377" s="26"/>
    </row>
    <row r="378" spans="6:18" x14ac:dyDescent="0.25">
      <c r="F378" s="26"/>
      <c r="J378" s="26"/>
      <c r="L378" s="26"/>
    </row>
    <row r="379" spans="6:18" x14ac:dyDescent="0.25">
      <c r="F379" s="26"/>
      <c r="J379" s="26"/>
      <c r="L379" s="26"/>
    </row>
    <row r="380" spans="6:18" x14ac:dyDescent="0.25">
      <c r="F380" s="26"/>
      <c r="J380" s="26"/>
      <c r="L380" s="26"/>
    </row>
    <row r="381" spans="6:18" x14ac:dyDescent="0.25">
      <c r="F381" s="26"/>
      <c r="J381" s="26"/>
      <c r="L381" s="26"/>
    </row>
    <row r="382" spans="6:18" x14ac:dyDescent="0.25">
      <c r="F382" s="26"/>
      <c r="J382" s="26"/>
      <c r="L382" s="26"/>
    </row>
    <row r="383" spans="6:18" x14ac:dyDescent="0.25">
      <c r="F383" s="26"/>
      <c r="J383" s="26"/>
      <c r="L383" s="26"/>
    </row>
    <row r="384" spans="6:18" x14ac:dyDescent="0.25">
      <c r="F384" s="26"/>
      <c r="J384" s="26"/>
      <c r="L384" s="26"/>
    </row>
    <row r="385" spans="6:12" x14ac:dyDescent="0.25">
      <c r="F385" s="26"/>
      <c r="J385" s="26"/>
      <c r="L385" s="26"/>
    </row>
    <row r="407" spans="13:17" x14ac:dyDescent="0.25">
      <c r="M407" s="26"/>
      <c r="N407" s="26"/>
      <c r="O407" s="26"/>
      <c r="P407" s="26"/>
      <c r="Q407" s="26"/>
    </row>
    <row r="408" spans="13:17" x14ac:dyDescent="0.25">
      <c r="M408" s="26"/>
      <c r="N408" s="26"/>
      <c r="O408" s="26"/>
      <c r="P408" s="26"/>
      <c r="Q408" s="26"/>
    </row>
    <row r="409" spans="13:17" x14ac:dyDescent="0.25">
      <c r="M409" s="26"/>
      <c r="N409" s="26"/>
      <c r="O409" s="26"/>
      <c r="P409" s="26"/>
      <c r="Q409" s="26"/>
    </row>
    <row r="410" spans="13:17" x14ac:dyDescent="0.25">
      <c r="M410" s="26"/>
      <c r="N410" s="26"/>
      <c r="O410" s="26"/>
      <c r="P410" s="26"/>
      <c r="Q410" s="26"/>
    </row>
    <row r="411" spans="13:17" x14ac:dyDescent="0.25">
      <c r="M411" s="26"/>
      <c r="N411" s="26"/>
      <c r="O411" s="26"/>
      <c r="P411" s="26"/>
      <c r="Q411" s="26"/>
    </row>
    <row r="412" spans="13:17" x14ac:dyDescent="0.25">
      <c r="M412" s="26"/>
      <c r="N412" s="26"/>
      <c r="O412" s="26"/>
      <c r="P412" s="26"/>
      <c r="Q412" s="26"/>
    </row>
    <row r="413" spans="13:17" x14ac:dyDescent="0.25">
      <c r="M413" s="26"/>
      <c r="N413" s="26"/>
      <c r="O413" s="26"/>
      <c r="P413" s="26"/>
      <c r="Q413" s="26"/>
    </row>
    <row r="421" spans="6:12" x14ac:dyDescent="0.25">
      <c r="F421" s="26"/>
      <c r="J421" s="26"/>
      <c r="L421" s="26"/>
    </row>
    <row r="422" spans="6:12" x14ac:dyDescent="0.25">
      <c r="F422" s="26"/>
      <c r="J422" s="26"/>
      <c r="L422" s="26"/>
    </row>
    <row r="423" spans="6:12" x14ac:dyDescent="0.25">
      <c r="F423" s="26"/>
      <c r="J423" s="26"/>
      <c r="L423" s="26"/>
    </row>
    <row r="424" spans="6:12" x14ac:dyDescent="0.25">
      <c r="F424" s="26"/>
      <c r="J424" s="26"/>
      <c r="L424" s="26"/>
    </row>
    <row r="425" spans="6:12" x14ac:dyDescent="0.25">
      <c r="F425" s="26"/>
      <c r="J425" s="26"/>
      <c r="L425" s="26"/>
    </row>
    <row r="426" spans="6:12" x14ac:dyDescent="0.25">
      <c r="F426" s="26"/>
      <c r="J426" s="26"/>
      <c r="L426" s="26"/>
    </row>
    <row r="427" spans="6:12" x14ac:dyDescent="0.25">
      <c r="F427" s="26"/>
      <c r="J427" s="26"/>
      <c r="L427" s="26"/>
    </row>
  </sheetData>
  <pageMargins left="0.23622047244094491" right="0.23622047244094491" top="0.39370078740157483" bottom="0.39370078740157483" header="0.19685039370078741" footer="0.19685039370078741"/>
  <pageSetup paperSize="8" scale="82" orientation="landscape" horizontalDpi="360" verticalDpi="360" r:id="rId1"/>
  <headerFooter>
    <oddFooter>&amp;L&amp;D&amp;CPage &amp;P of &amp;N</oddFooter>
  </headerFooter>
  <rowBreaks count="1" manualBreakCount="1">
    <brk id="84" max="16383" man="1"/>
  </rowBreaks>
  <colBreaks count="2" manualBreakCount="2">
    <brk id="12" max="1048575" man="1"/>
    <brk id="18" max="1048575" man="1"/>
  </col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7FEEFF-456A-47C2-AD6A-D5E607760941}">
  <dimension ref="B4:N157"/>
  <sheetViews>
    <sheetView showGridLines="0" zoomScaleNormal="100" workbookViewId="0"/>
  </sheetViews>
  <sheetFormatPr defaultRowHeight="15" x14ac:dyDescent="0.25"/>
  <cols>
    <col min="1" max="1" width="2.85546875" style="2" customWidth="1"/>
    <col min="2" max="3" width="12.5703125" style="2" bestFit="1" customWidth="1"/>
    <col min="4" max="4" width="15.7109375" style="2" customWidth="1"/>
    <col min="5" max="5" width="13" style="2" bestFit="1" customWidth="1"/>
    <col min="6" max="6" width="19.7109375" style="2" bestFit="1" customWidth="1"/>
    <col min="7" max="8" width="15.7109375" style="4" customWidth="1"/>
    <col min="9" max="9" width="20.85546875" style="2" bestFit="1" customWidth="1"/>
    <col min="10" max="10" width="2" style="2" bestFit="1" customWidth="1"/>
    <col min="11" max="11" width="15.7109375" style="2" customWidth="1"/>
    <col min="12" max="12" width="26" style="2" customWidth="1"/>
    <col min="13" max="13" width="15.7109375" style="4" customWidth="1"/>
    <col min="14" max="14" width="7.42578125" style="4" customWidth="1"/>
    <col min="15" max="16384" width="9.140625" style="2"/>
  </cols>
  <sheetData>
    <row r="4" spans="2:14" ht="18.75" x14ac:dyDescent="0.25">
      <c r="B4" s="85" t="s">
        <v>54</v>
      </c>
    </row>
    <row r="5" spans="2:14" x14ac:dyDescent="0.25">
      <c r="N5" s="35"/>
    </row>
    <row r="6" spans="2:14" x14ac:dyDescent="0.25">
      <c r="B6" s="46" t="s">
        <v>58</v>
      </c>
      <c r="C6"/>
      <c r="D6"/>
      <c r="E6" s="47" t="s">
        <v>42</v>
      </c>
      <c r="F6" s="47" t="s">
        <v>39</v>
      </c>
      <c r="G6" s="50"/>
      <c r="H6" s="50"/>
      <c r="I6" s="9" t="s">
        <v>40</v>
      </c>
      <c r="J6" s="9"/>
      <c r="K6" s="38"/>
      <c r="L6" s="31" t="s">
        <v>40</v>
      </c>
      <c r="M6" s="32" t="s">
        <v>20</v>
      </c>
      <c r="N6" s="38"/>
    </row>
    <row r="7" spans="2:14" x14ac:dyDescent="0.25">
      <c r="B7" s="10">
        <v>24</v>
      </c>
      <c r="C7"/>
      <c r="D7"/>
      <c r="E7" t="s">
        <v>9</v>
      </c>
      <c r="F7" s="51">
        <f>COUNTIF('Project Gantt Chart'!I15:I214,"="&amp;0)</f>
        <v>0</v>
      </c>
      <c r="G7" s="71"/>
      <c r="H7" s="71"/>
      <c r="I7" s="11" t="s">
        <v>44</v>
      </c>
      <c r="J7" s="10">
        <v>0</v>
      </c>
      <c r="K7" s="48"/>
      <c r="L7" t="s">
        <v>21</v>
      </c>
      <c r="M7" s="30" t="e">
        <f>GETPIVOTDATA("Completed Work Days",$I$6)/GETPIVOTDATA("Total Work Days",$I$6)</f>
        <v>#DIV/0!</v>
      </c>
      <c r="N7" s="48"/>
    </row>
    <row r="8" spans="2:14" x14ac:dyDescent="0.25">
      <c r="B8"/>
      <c r="C8"/>
      <c r="D8"/>
      <c r="E8" t="s">
        <v>14</v>
      </c>
      <c r="F8" s="51">
        <f>COUNTIFS('Project Gantt Chart'!I15:I214,"&lt;&gt;"&amp;0,'Project Gantt Chart'!I15:I214,"&lt;"&amp;1)</f>
        <v>0</v>
      </c>
      <c r="G8" s="71"/>
      <c r="H8" s="71"/>
      <c r="I8" s="11" t="s">
        <v>43</v>
      </c>
      <c r="J8" s="10">
        <v>0</v>
      </c>
      <c r="K8" s="48"/>
      <c r="L8" t="s">
        <v>22</v>
      </c>
      <c r="M8" s="30" t="e">
        <f>1-M7</f>
        <v>#DIV/0!</v>
      </c>
      <c r="N8" s="48"/>
    </row>
    <row r="9" spans="2:14" x14ac:dyDescent="0.25">
      <c r="B9"/>
      <c r="C9"/>
      <c r="D9"/>
      <c r="E9" t="s">
        <v>15</v>
      </c>
      <c r="F9" s="51">
        <f>COUNTIF('Project Plan'!J11:J34,"="&amp;1)</f>
        <v>0</v>
      </c>
      <c r="G9" s="71"/>
      <c r="H9" s="71"/>
      <c r="N9" s="48"/>
    </row>
    <row r="10" spans="2:14" x14ac:dyDescent="0.25">
      <c r="B10"/>
      <c r="C10"/>
      <c r="D10"/>
      <c r="E10" t="s">
        <v>16</v>
      </c>
      <c r="F10" s="51">
        <f>F7+F8</f>
        <v>0</v>
      </c>
      <c r="G10" s="71"/>
      <c r="H10" s="71"/>
      <c r="N10" s="48"/>
    </row>
    <row r="11" spans="2:14" ht="15" customHeight="1" x14ac:dyDescent="0.25">
      <c r="B11"/>
      <c r="C11"/>
      <c r="D11"/>
      <c r="E11" t="s">
        <v>17</v>
      </c>
      <c r="F11" s="51">
        <f>SUM(F9:F10)</f>
        <v>0</v>
      </c>
      <c r="G11" s="71"/>
      <c r="H11" s="71"/>
      <c r="L11"/>
      <c r="M11" s="52"/>
      <c r="N11" s="48"/>
    </row>
    <row r="12" spans="2:14" x14ac:dyDescent="0.25">
      <c r="B12"/>
      <c r="C12"/>
      <c r="D12"/>
      <c r="L12"/>
      <c r="M12" s="34"/>
      <c r="N12" s="48"/>
    </row>
    <row r="13" spans="2:14" x14ac:dyDescent="0.25">
      <c r="B13"/>
      <c r="C13"/>
      <c r="D13"/>
      <c r="E13" s="47" t="s">
        <v>42</v>
      </c>
      <c r="F13" s="47" t="s">
        <v>41</v>
      </c>
      <c r="G13" s="50"/>
      <c r="H13" s="50"/>
      <c r="L13"/>
      <c r="M13" s="34"/>
      <c r="N13" s="48"/>
    </row>
    <row r="14" spans="2:14" x14ac:dyDescent="0.25">
      <c r="B14"/>
      <c r="C14"/>
      <c r="D14"/>
      <c r="E14" s="11" t="s">
        <v>17</v>
      </c>
      <c r="F14" s="10">
        <v>0</v>
      </c>
      <c r="G14" s="48"/>
      <c r="H14" s="48"/>
      <c r="L14"/>
      <c r="M14" s="34"/>
      <c r="N14" s="48"/>
    </row>
    <row r="15" spans="2:14" x14ac:dyDescent="0.25">
      <c r="B15"/>
      <c r="C15"/>
      <c r="D15"/>
      <c r="E15" s="11" t="s">
        <v>15</v>
      </c>
      <c r="F15" s="10">
        <v>0</v>
      </c>
      <c r="G15" s="48"/>
      <c r="H15" s="48"/>
      <c r="L15"/>
      <c r="M15" s="34"/>
      <c r="N15" s="48"/>
    </row>
    <row r="16" spans="2:14" x14ac:dyDescent="0.25">
      <c r="B16"/>
      <c r="C16"/>
      <c r="D16"/>
      <c r="E16" s="11" t="s">
        <v>16</v>
      </c>
      <c r="F16" s="10">
        <v>0</v>
      </c>
      <c r="G16" s="48"/>
      <c r="H16" s="48"/>
      <c r="N16" s="48"/>
    </row>
    <row r="17" spans="2:14" x14ac:dyDescent="0.25">
      <c r="B17"/>
      <c r="C17"/>
      <c r="D17"/>
      <c r="E17" s="11" t="s">
        <v>9</v>
      </c>
      <c r="F17" s="10">
        <v>0</v>
      </c>
      <c r="G17" s="48"/>
      <c r="H17" s="48"/>
      <c r="N17" s="48"/>
    </row>
    <row r="18" spans="2:14" x14ac:dyDescent="0.25">
      <c r="B18"/>
      <c r="C18"/>
      <c r="D18"/>
      <c r="E18" s="11" t="s">
        <v>14</v>
      </c>
      <c r="F18" s="10">
        <v>0</v>
      </c>
      <c r="G18" s="48"/>
      <c r="H18" s="48"/>
      <c r="L18"/>
      <c r="M18" s="34"/>
      <c r="N18" s="48"/>
    </row>
    <row r="19" spans="2:14" x14ac:dyDescent="0.25">
      <c r="B19"/>
      <c r="C19"/>
      <c r="D19"/>
      <c r="E19"/>
      <c r="F19"/>
      <c r="G19" s="34"/>
      <c r="H19" s="34"/>
      <c r="L19"/>
      <c r="M19" s="34"/>
      <c r="N19" s="48"/>
    </row>
    <row r="20" spans="2:14" x14ac:dyDescent="0.25">
      <c r="B20"/>
      <c r="C20"/>
      <c r="D20"/>
      <c r="L20"/>
      <c r="M20" s="34"/>
      <c r="N20" s="34"/>
    </row>
    <row r="21" spans="2:14" ht="15" customHeight="1" x14ac:dyDescent="0.25">
      <c r="B21"/>
      <c r="C21"/>
      <c r="D21"/>
      <c r="L21"/>
      <c r="M21" s="34"/>
      <c r="N21" s="34"/>
    </row>
    <row r="22" spans="2:14" x14ac:dyDescent="0.25">
      <c r="B22"/>
      <c r="C22"/>
      <c r="D22"/>
      <c r="F22" s="50"/>
      <c r="G22" s="50"/>
      <c r="H22" s="50"/>
      <c r="L22"/>
      <c r="M22" s="34"/>
      <c r="N22" s="34"/>
    </row>
    <row r="23" spans="2:14" x14ac:dyDescent="0.25">
      <c r="B23"/>
      <c r="C23"/>
      <c r="D23"/>
      <c r="L23"/>
      <c r="M23" s="34"/>
      <c r="N23" s="34"/>
    </row>
    <row r="24" spans="2:14" x14ac:dyDescent="0.25">
      <c r="B24"/>
      <c r="L24"/>
      <c r="M24" s="34"/>
    </row>
    <row r="25" spans="2:14" x14ac:dyDescent="0.25">
      <c r="B25"/>
      <c r="L25"/>
      <c r="M25" s="34"/>
    </row>
    <row r="26" spans="2:14" x14ac:dyDescent="0.25">
      <c r="B26"/>
      <c r="L26"/>
      <c r="M26" s="34"/>
    </row>
    <row r="27" spans="2:14" x14ac:dyDescent="0.25">
      <c r="B27"/>
      <c r="L27"/>
      <c r="M27" s="34"/>
    </row>
    <row r="28" spans="2:14" x14ac:dyDescent="0.25">
      <c r="B28"/>
    </row>
    <row r="29" spans="2:14" x14ac:dyDescent="0.25">
      <c r="B29"/>
      <c r="F29"/>
      <c r="G29" s="34"/>
      <c r="H29" s="34"/>
      <c r="I29"/>
      <c r="J29"/>
      <c r="K29"/>
    </row>
    <row r="30" spans="2:14" x14ac:dyDescent="0.25">
      <c r="B30"/>
      <c r="F30"/>
      <c r="G30" s="34"/>
      <c r="H30" s="34"/>
      <c r="I30"/>
      <c r="J30"/>
      <c r="K30"/>
    </row>
    <row r="31" spans="2:14" x14ac:dyDescent="0.25">
      <c r="B31"/>
      <c r="F31"/>
      <c r="G31" s="34"/>
      <c r="H31" s="34"/>
      <c r="I31"/>
      <c r="J31"/>
      <c r="K31"/>
    </row>
    <row r="32" spans="2:14" x14ac:dyDescent="0.25">
      <c r="B32"/>
      <c r="F32"/>
      <c r="G32" s="34"/>
      <c r="H32" s="34"/>
    </row>
    <row r="33" spans="2:8" x14ac:dyDescent="0.25">
      <c r="B33"/>
      <c r="F33"/>
      <c r="G33" s="34"/>
      <c r="H33" s="34"/>
    </row>
    <row r="34" spans="2:8" x14ac:dyDescent="0.25">
      <c r="B34"/>
      <c r="F34"/>
      <c r="G34" s="34"/>
      <c r="H34" s="34"/>
    </row>
    <row r="35" spans="2:8" x14ac:dyDescent="0.25">
      <c r="B35"/>
      <c r="F35"/>
      <c r="G35" s="34"/>
      <c r="H35" s="34"/>
    </row>
    <row r="36" spans="2:8" x14ac:dyDescent="0.25">
      <c r="B36"/>
      <c r="E36"/>
      <c r="F36"/>
      <c r="G36" s="34"/>
      <c r="H36" s="34"/>
    </row>
    <row r="37" spans="2:8" x14ac:dyDescent="0.25">
      <c r="B37"/>
      <c r="E37"/>
      <c r="F37"/>
      <c r="G37" s="34"/>
      <c r="H37" s="34"/>
    </row>
    <row r="38" spans="2:8" x14ac:dyDescent="0.25">
      <c r="B38"/>
      <c r="E38"/>
      <c r="F38"/>
      <c r="G38" s="34"/>
      <c r="H38" s="34"/>
    </row>
    <row r="39" spans="2:8" x14ac:dyDescent="0.25">
      <c r="B39"/>
      <c r="E39"/>
      <c r="F39"/>
      <c r="G39" s="34"/>
      <c r="H39" s="34"/>
    </row>
    <row r="40" spans="2:8" x14ac:dyDescent="0.25">
      <c r="B40"/>
      <c r="E40"/>
      <c r="F40"/>
      <c r="G40" s="34"/>
      <c r="H40" s="34"/>
    </row>
    <row r="41" spans="2:8" x14ac:dyDescent="0.25">
      <c r="B41"/>
      <c r="E41"/>
      <c r="F41"/>
      <c r="G41" s="34"/>
      <c r="H41" s="34"/>
    </row>
    <row r="42" spans="2:8" x14ac:dyDescent="0.25">
      <c r="B42"/>
      <c r="E42"/>
      <c r="F42"/>
      <c r="G42" s="34"/>
      <c r="H42" s="34"/>
    </row>
    <row r="43" spans="2:8" x14ac:dyDescent="0.25">
      <c r="B43"/>
      <c r="E43"/>
      <c r="F43"/>
      <c r="G43" s="34"/>
      <c r="H43" s="34"/>
    </row>
    <row r="44" spans="2:8" x14ac:dyDescent="0.25">
      <c r="B44"/>
      <c r="E44"/>
      <c r="F44"/>
      <c r="G44" s="34"/>
      <c r="H44" s="34"/>
    </row>
    <row r="45" spans="2:8" x14ac:dyDescent="0.25">
      <c r="B45"/>
      <c r="E45"/>
      <c r="F45"/>
      <c r="G45" s="34"/>
      <c r="H45" s="34"/>
    </row>
    <row r="46" spans="2:8" x14ac:dyDescent="0.25">
      <c r="B46"/>
      <c r="E46"/>
      <c r="F46"/>
      <c r="G46" s="34"/>
      <c r="H46" s="34"/>
    </row>
    <row r="47" spans="2:8" x14ac:dyDescent="0.25">
      <c r="B47"/>
    </row>
    <row r="48" spans="2:8" x14ac:dyDescent="0.25">
      <c r="B48"/>
    </row>
    <row r="49" spans="2:2" x14ac:dyDescent="0.25">
      <c r="B49"/>
    </row>
    <row r="50" spans="2:2" x14ac:dyDescent="0.25">
      <c r="B50"/>
    </row>
    <row r="51" spans="2:2" x14ac:dyDescent="0.25">
      <c r="B51"/>
    </row>
    <row r="52" spans="2:2" x14ac:dyDescent="0.25">
      <c r="B52"/>
    </row>
    <row r="82" ht="15" customHeight="1" x14ac:dyDescent="0.25"/>
    <row r="95" ht="15" customHeight="1" x14ac:dyDescent="0.25"/>
    <row r="126" ht="21.75" customHeight="1" x14ac:dyDescent="0.25"/>
    <row r="143" ht="15" customHeight="1" x14ac:dyDescent="0.25"/>
    <row r="157" ht="21.75" customHeight="1" x14ac:dyDescent="0.25"/>
  </sheetData>
  <pageMargins left="0.70866141732283472" right="0.70866141732283472" top="0.74803149606299213" bottom="0.74803149606299213" header="0.31496062992125984" footer="0.31496062992125984"/>
  <pageSetup paperSize="8" scale="76" fitToHeight="0" orientation="landscape" horizontalDpi="360" verticalDpi="360" r:id="rId4"/>
  <headerFooter>
    <oddFooter>&amp;L&amp;D&amp;CPage &amp;P of &amp;N&amp;R[Insert classification]</oddFooter>
  </headerFooter>
  <rowBreaks count="1" manualBreakCount="1">
    <brk id="81" max="16383"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0541F-7FD6-4671-82D1-B540CB8F07F2}">
  <sheetPr>
    <pageSetUpPr fitToPage="1"/>
  </sheetPr>
  <dimension ref="B4:M18"/>
  <sheetViews>
    <sheetView showGridLines="0" workbookViewId="0"/>
  </sheetViews>
  <sheetFormatPr defaultRowHeight="15" x14ac:dyDescent="0.25"/>
  <cols>
    <col min="1" max="1" width="2.85546875" customWidth="1"/>
    <col min="2" max="2" width="25" bestFit="1" customWidth="1"/>
    <col min="3" max="3" width="7.7109375" bestFit="1" customWidth="1"/>
    <col min="4" max="4" width="13.42578125" bestFit="1" customWidth="1"/>
    <col min="5" max="5" width="17.42578125" bestFit="1" customWidth="1"/>
    <col min="12" max="12" width="17.42578125" bestFit="1" customWidth="1"/>
    <col min="13" max="13" width="2" bestFit="1" customWidth="1"/>
  </cols>
  <sheetData>
    <row r="4" spans="2:13" ht="18.75" x14ac:dyDescent="0.3">
      <c r="B4" s="84" t="s">
        <v>55</v>
      </c>
    </row>
    <row r="6" spans="2:13" x14ac:dyDescent="0.25">
      <c r="B6" s="9" t="s">
        <v>49</v>
      </c>
      <c r="C6" s="9" t="s">
        <v>23</v>
      </c>
      <c r="D6" s="9" t="s">
        <v>45</v>
      </c>
      <c r="E6" s="9" t="s">
        <v>46</v>
      </c>
      <c r="L6" s="9" t="s">
        <v>19</v>
      </c>
      <c r="M6" s="9"/>
    </row>
    <row r="7" spans="2:13" x14ac:dyDescent="0.25">
      <c r="B7" t="s">
        <v>13</v>
      </c>
      <c r="C7" s="53">
        <v>0</v>
      </c>
      <c r="D7" s="53">
        <v>0</v>
      </c>
      <c r="E7" s="53">
        <v>0</v>
      </c>
      <c r="L7" t="s">
        <v>45</v>
      </c>
      <c r="M7" s="53">
        <v>0</v>
      </c>
    </row>
    <row r="8" spans="2:13" x14ac:dyDescent="0.25">
      <c r="B8" t="s">
        <v>35</v>
      </c>
      <c r="C8" s="53">
        <v>0</v>
      </c>
      <c r="D8" s="53">
        <v>0</v>
      </c>
      <c r="E8" s="53">
        <v>0</v>
      </c>
      <c r="L8" t="s">
        <v>46</v>
      </c>
      <c r="M8" s="53">
        <v>0</v>
      </c>
    </row>
    <row r="9" spans="2:13" x14ac:dyDescent="0.25">
      <c r="B9" t="s">
        <v>30</v>
      </c>
      <c r="C9" s="53">
        <v>0</v>
      </c>
      <c r="D9" s="53">
        <v>0</v>
      </c>
      <c r="E9" s="53">
        <v>0</v>
      </c>
      <c r="L9" t="s">
        <v>23</v>
      </c>
      <c r="M9" s="53">
        <v>0</v>
      </c>
    </row>
    <row r="10" spans="2:13" x14ac:dyDescent="0.25">
      <c r="B10" t="s">
        <v>36</v>
      </c>
      <c r="C10" s="53">
        <v>0</v>
      </c>
      <c r="D10" s="53">
        <v>0</v>
      </c>
      <c r="E10" s="53">
        <v>0</v>
      </c>
    </row>
    <row r="11" spans="2:13" x14ac:dyDescent="0.25">
      <c r="B11" t="s">
        <v>12</v>
      </c>
      <c r="C11" s="53">
        <v>0</v>
      </c>
      <c r="D11" s="53">
        <v>0</v>
      </c>
      <c r="E11" s="53">
        <v>0</v>
      </c>
    </row>
    <row r="12" spans="2:13" x14ac:dyDescent="0.25">
      <c r="B12" t="s">
        <v>31</v>
      </c>
      <c r="C12" s="53">
        <v>0</v>
      </c>
      <c r="D12" s="53">
        <v>0</v>
      </c>
      <c r="E12" s="53">
        <v>0</v>
      </c>
    </row>
    <row r="13" spans="2:13" x14ac:dyDescent="0.25">
      <c r="B13" t="s">
        <v>37</v>
      </c>
      <c r="C13" s="53">
        <v>0</v>
      </c>
      <c r="D13" s="53">
        <v>0</v>
      </c>
      <c r="E13" s="53">
        <v>0</v>
      </c>
    </row>
    <row r="14" spans="2:13" x14ac:dyDescent="0.25">
      <c r="B14" t="s">
        <v>33</v>
      </c>
      <c r="C14" s="53">
        <v>0</v>
      </c>
      <c r="D14" s="53">
        <v>0</v>
      </c>
      <c r="E14" s="53">
        <v>0</v>
      </c>
    </row>
    <row r="15" spans="2:13" x14ac:dyDescent="0.25">
      <c r="B15" t="s">
        <v>11</v>
      </c>
      <c r="C15" s="53">
        <v>0</v>
      </c>
      <c r="D15" s="53">
        <v>0</v>
      </c>
      <c r="E15" s="53">
        <v>0</v>
      </c>
    </row>
    <row r="16" spans="2:13" x14ac:dyDescent="0.25">
      <c r="B16" t="s">
        <v>32</v>
      </c>
      <c r="C16" s="53">
        <v>0</v>
      </c>
      <c r="D16" s="53">
        <v>0</v>
      </c>
      <c r="E16" s="53">
        <v>0</v>
      </c>
    </row>
    <row r="17" spans="2:5" x14ac:dyDescent="0.25">
      <c r="B17" t="s">
        <v>34</v>
      </c>
      <c r="C17" s="53">
        <v>0</v>
      </c>
      <c r="D17" s="53">
        <v>0</v>
      </c>
      <c r="E17" s="53">
        <v>0</v>
      </c>
    </row>
    <row r="18" spans="2:5" x14ac:dyDescent="0.25">
      <c r="B18" s="9" t="s">
        <v>18</v>
      </c>
      <c r="C18" s="55">
        <v>0</v>
      </c>
      <c r="D18" s="55">
        <v>0</v>
      </c>
      <c r="E18" s="55">
        <v>0</v>
      </c>
    </row>
  </sheetData>
  <pageMargins left="0.7" right="0.7" top="0.75" bottom="0.75" header="0.3" footer="0.3"/>
  <pageSetup paperSize="9" scale="93" orientation="landscape" horizontalDpi="360" verticalDpi="360"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7C09D-6898-4F3E-A157-B006772B05A4}">
  <dimension ref="B4:B7"/>
  <sheetViews>
    <sheetView showGridLines="0" workbookViewId="0"/>
  </sheetViews>
  <sheetFormatPr defaultRowHeight="15" x14ac:dyDescent="0.25"/>
  <cols>
    <col min="1" max="1" width="2.85546875" customWidth="1"/>
    <col min="2" max="2" width="18.140625" customWidth="1"/>
  </cols>
  <sheetData>
    <row r="4" spans="2:2" ht="18.75" x14ac:dyDescent="0.3">
      <c r="B4" s="84" t="s">
        <v>24</v>
      </c>
    </row>
    <row r="6" spans="2:2" x14ac:dyDescent="0.25">
      <c r="B6" s="33" t="s">
        <v>24</v>
      </c>
    </row>
    <row r="7" spans="2:2" x14ac:dyDescent="0.25">
      <c r="B7" s="4">
        <v>0</v>
      </c>
    </row>
  </sheetData>
  <pageMargins left="0.7" right="0.7" top="0.75" bottom="0.75" header="0.3" footer="0.3"/>
  <pageSetup paperSize="9" orientation="portrait" horizontalDpi="360" verticalDpi="36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34F48D8F043AB4E88B8448C9A41E4F2" ma:contentTypeVersion="13" ma:contentTypeDescription="Create a new document." ma:contentTypeScope="" ma:versionID="3865feef376cda2e852ae1c7fd8e37fa">
  <xsd:schema xmlns:xsd="http://www.w3.org/2001/XMLSchema" xmlns:xs="http://www.w3.org/2001/XMLSchema" xmlns:p="http://schemas.microsoft.com/office/2006/metadata/properties" xmlns:ns2="df15456a-aabd-451a-b26d-603cb9643e03" xmlns:ns3="17366138-4c19-4296-90e1-fdecf533ae0c" targetNamespace="http://schemas.microsoft.com/office/2006/metadata/properties" ma:root="true" ma:fieldsID="e87ae09b166ae28a29ff95ac7a778b10" ns2:_="" ns3:_="">
    <xsd:import namespace="df15456a-aabd-451a-b26d-603cb9643e03"/>
    <xsd:import namespace="17366138-4c19-4296-90e1-fdecf533ae0c"/>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GenerationTime" minOccurs="0"/>
                <xsd:element ref="ns2:MediaServiceEventHashCode" minOccurs="0"/>
                <xsd:element ref="ns2:MediaServiceDateTaken" minOccurs="0"/>
                <xsd:element ref="ns2:MediaServiceOCR"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f15456a-aabd-451a-b26d-603cb9643e0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17366138-4c19-4296-90e1-fdecf533ae0c"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CA08793-1320-48EF-853B-2E94F6A57CFA}"/>
</file>

<file path=customXml/itemProps2.xml><?xml version="1.0" encoding="utf-8"?>
<ds:datastoreItem xmlns:ds="http://schemas.openxmlformats.org/officeDocument/2006/customXml" ds:itemID="{C08B4250-B95D-49BB-B3C5-3FC868E45619}">
  <ds:schemaRefs>
    <ds:schemaRef ds:uri="http://purl.org/dc/terms/"/>
    <ds:schemaRef ds:uri="http://schemas.openxmlformats.org/package/2006/metadata/core-properties"/>
    <ds:schemaRef ds:uri="519c89c0-4739-45b7-90b4-c645f8135810"/>
    <ds:schemaRef ds:uri="http://schemas.microsoft.com/office/2006/documentManagement/types"/>
    <ds:schemaRef ds:uri="http://schemas.microsoft.com/office/infopath/2007/PartnerControls"/>
    <ds:schemaRef ds:uri="http://purl.org/dc/elements/1.1/"/>
    <ds:schemaRef ds:uri="http://schemas.microsoft.com/office/2006/metadata/properties"/>
    <ds:schemaRef ds:uri="906258ce-5a0c-4f3f-a95b-99bb0331ce14"/>
    <ds:schemaRef ds:uri="http://www.w3.org/XML/1998/namespace"/>
    <ds:schemaRef ds:uri="http://purl.org/dc/dcmitype/"/>
  </ds:schemaRefs>
</ds:datastoreItem>
</file>

<file path=customXml/itemProps3.xml><?xml version="1.0" encoding="utf-8"?>
<ds:datastoreItem xmlns:ds="http://schemas.openxmlformats.org/officeDocument/2006/customXml" ds:itemID="{BE29E310-ECC5-4B3B-9676-09C492D3B98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5</vt:i4>
      </vt:variant>
    </vt:vector>
  </HeadingPairs>
  <TitlesOfParts>
    <vt:vector size="13" baseType="lpstr">
      <vt:lpstr>Guidance</vt:lpstr>
      <vt:lpstr>Project Plan</vt:lpstr>
      <vt:lpstr>Project Budget</vt:lpstr>
      <vt:lpstr>Project Gantt Chart</vt:lpstr>
      <vt:lpstr>Project Dashboard</vt:lpstr>
      <vt:lpstr>Tasks &amp; Progress Pivots</vt:lpstr>
      <vt:lpstr>Budget Pivots</vt:lpstr>
      <vt:lpstr>Scroll Bar</vt:lpstr>
      <vt:lpstr>Guidance!Print_Area</vt:lpstr>
      <vt:lpstr>'Project Budget'!Print_Area</vt:lpstr>
      <vt:lpstr>'Project Plan'!Print_Area</vt:lpstr>
      <vt:lpstr>'Tasks &amp; Progress Pivots'!Print_Area</vt:lpstr>
      <vt:lpstr>'Project Plan'!Print_Titles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CertiKit ISO22301 Toolkit</dc:title>
  <dc:creator>Copyright CertiKit</dc:creator>
  <cp:lastModifiedBy>Andie Darlington</cp:lastModifiedBy>
  <cp:lastPrinted>2021-10-01T11:26:41Z</cp:lastPrinted>
  <dcterms:created xsi:type="dcterms:W3CDTF">2015-06-05T18:17:20Z</dcterms:created>
  <dcterms:modified xsi:type="dcterms:W3CDTF">2021-10-01T11:26:55Z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0x010100D34F48D8F043AB4E88B8448C9A41E4F2</vt:lpwstr>
  </property>
  <property fmtid="{D5CDD505-2E9C-101B-9397-08002B2CF9AE}" pid="3" name="Order">
    <vt:r8>2662100</vt:r8>
  </property>
  <property fmtid="{D5CDD505-2E9C-101B-9397-08002B2CF9AE}" pid="4" name="xd_Signature">
    <vt:bool>false</vt:bool>
  </property>
  <property fmtid="{D5CDD505-2E9C-101B-9397-08002B2CF9AE}" pid="5" name="xd_ProgID">
    <vt:lpwstr/>
  </property>
  <property fmtid="{D5CDD505-2E9C-101B-9397-08002B2CF9AE}" pid="6" name="ComplianceAssetId">
    <vt:lpwstr/>
  </property>
  <property fmtid="{D5CDD505-2E9C-101B-9397-08002B2CF9AE}" pid="7" name="TemplateUrl">
    <vt:lpwstr/>
  </property>
</Properties>
</file>