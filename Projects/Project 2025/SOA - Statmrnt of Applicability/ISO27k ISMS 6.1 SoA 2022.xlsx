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drawing2.xml" ContentType="application/vnd.openxmlformats-officedocument.drawing+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ml.chartshapes+xml"/>
  <Override PartName="/xl/drawings/drawing4.xml" ContentType="application/vnd.openxmlformats-officedocument.drawingml.chartshapes+xml"/>
  <Override PartName="/xl/_rels/workbook.xml.rels" ContentType="application/vnd.openxmlformats-package.relationships+xml"/>
  <Override PartName="/xl/media/image1.png" ContentType="image/png"/>
  <Override PartName="/xl/comments4.xml" ContentType="application/vnd.openxmlformats-officedocument.spreadsheetml.comments+xml"/>
  <Override PartName="/xl/comments2.xml" ContentType="application/vnd.openxmlformats-officedocument.spreadsheetml.comments+xml"/>
  <Override PartName="/xl/comments5.xml" ContentType="application/vnd.openxmlformats-officedocument.spreadsheetml.comments+xml"/>
  <Override PartName="/xl/charts/_rels/chart2.xml.rels" ContentType="application/vnd.openxmlformats-package.relationships+xml"/>
  <Override PartName="/xl/charts/_rels/chart1.xml.rels" ContentType="application/vnd.openxmlformats-package.relationships+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Intro &amp; copyright" sheetId="1" state="visible" r:id="rId3"/>
    <sheet name="Mandatory ISMS requirements" sheetId="2" state="visible" r:id="rId4"/>
    <sheet name="Annex A controls" sheetId="3" state="visible" r:id="rId5"/>
    <sheet name="NIST CSF 2" sheetId="4" state="visible" r:id="rId6"/>
    <sheet name="PCI-DSS" sheetId="5" state="visible" r:id="rId7"/>
    <sheet name="Metrics" sheetId="6" state="visible" r:id="rId8"/>
  </sheets>
  <definedNames>
    <definedName function="false" hidden="false" localSheetId="2" name="_xlnm.Print_Area" vbProcedure="false">'Annex A controls'!$B$1:$E$100</definedName>
    <definedName function="false" hidden="false" localSheetId="2" name="_xlnm.Print_Titles" vbProcedure="false">'Annex A controls'!$1:$2</definedName>
    <definedName function="false" hidden="false" localSheetId="1" name="_xlnm.Print_Area" vbProcedure="false">'Mandatory ISMS requirements'!$B$1:$E$61</definedName>
    <definedName function="false" hidden="false" localSheetId="1" name="_xlnm.Print_Titles" vbProcedure="false">'Mandatory ISMS requirements'!$1:$2</definedName>
    <definedName function="false" hidden="false" localSheetId="5" name="_xlnm.Print_Area" vbProcedure="false">Metrics!$B$2:$O$36</definedName>
    <definedName function="false" hidden="false" localSheetId="3" name="_xlnm.Print_Area" vbProcedure="false">'NIST CSF 2'!$B$1:$E$100</definedName>
    <definedName function="false" hidden="false" localSheetId="3" name="_xlnm.Print_Titles" vbProcedure="false">'NIST CSF 2'!$1:$2</definedName>
    <definedName function="false" hidden="false" localSheetId="4" name="_xlnm.Print_Area" vbProcedure="false">'PCI-DSS'!$B$1:$E$100</definedName>
    <definedName function="false" hidden="false" localSheetId="4" name="_xlnm.Print_Titles" vbProcedure="false">'PCI-DSS'!$1:$2</definedName>
    <definedName function="false" hidden="false" name="Applicability" vbProcedure="false">Metrics!$B$14:$B$16</definedName>
    <definedName function="false" hidden="false" name="CMM" vbProcedure="false">#REF!</definedName>
    <definedName function="false" hidden="false" name="ControlTotal" vbProcedure="false">'Annex A controls'!$D$100</definedName>
    <definedName function="false" hidden="false" name="__xlnm._FilterDatabase_1" vbProcedure="false">'Annex A controls'!$A$2:$E$99</definedName>
    <definedName function="false" hidden="false" localSheetId="1" name="Excel_BuiltIn_Print_Area" vbProcedure="false">'Mandatory ISMS requirements'!$B$1:$E$60</definedName>
    <definedName function="false" hidden="false" localSheetId="2" name="Excel_BuiltIn_Print_Titles" vbProcedure="false">'Annex A controls'!$A$2:$IQ$2</definedName>
    <definedName function="false" hidden="false" localSheetId="2" name="__xlnm.Print_Titles" vbProcedure="false">'Annex A controls'!$A$2:$IQ$2</definedName>
    <definedName function="false" hidden="false" localSheetId="2" name="__xlnm._FilterDatabase" vbProcedure="false">'Annex A controls'!$A$2:$E$99</definedName>
    <definedName function="false" hidden="false" localSheetId="3" name="ControlTotal" vbProcedure="false">'NIST CSF 2'!$D$100</definedName>
    <definedName function="false" hidden="false" localSheetId="3" name="Excel_BuiltIn_Print_Titles" vbProcedure="false">'NIST CSF 2'!$A$2:$IQ$2</definedName>
    <definedName function="false" hidden="false" localSheetId="3" name="__xlnm.Print_Titles" vbProcedure="false">'NIST CSF 2'!$A$2:$IQ$2</definedName>
    <definedName function="false" hidden="false" localSheetId="3" name="__xlnm._FilterDatabase" vbProcedure="false">'NIST CSF 2'!$A$2:$E$99</definedName>
    <definedName function="false" hidden="false" localSheetId="3" name="__xlnm._FilterDatabase_1" vbProcedure="false">'NIST CSF 2'!$A$2:$E$99</definedName>
    <definedName function="false" hidden="false" localSheetId="4" name="ControlTotal" vbProcedure="false">'PCI-DSS'!$D$100</definedName>
    <definedName function="false" hidden="false" localSheetId="4" name="Excel_BuiltIn_Print_Titles" vbProcedure="false">'PCI-DSS'!$A$2:$IQ$2</definedName>
    <definedName function="false" hidden="false" localSheetId="4" name="__xlnm.Print_Titles" vbProcedure="false">'PCI-DSS'!$A$2:$IQ$2</definedName>
    <definedName function="false" hidden="false" localSheetId="4" name="__xlnm._FilterDatabase" vbProcedure="false">'PCI-DSS'!$A$2:$E$99</definedName>
    <definedName function="false" hidden="false" localSheetId="4" name="__xlnm._FilterDatabase_1" vbProcedure="false">'PCI-DSS'!$A$2:$E$99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2" authorId="0">
      <text>
        <r>
          <rPr>
            <sz val="10"/>
            <rFont val="Arial"/>
            <family val="2"/>
          </rPr>
          <t xml:space="preserve">Gary@isect.com: </t>
        </r>
        <r>
          <rPr>
            <sz val="9"/>
            <color rgb="FF000000"/>
            <rFont val="Tahoma"/>
            <family val="2"/>
            <charset val="1"/>
          </rPr>
          <t xml:space="preserve">The wording here paraphrases the standard: refer to the standard for the official wording and additional explanations
</t>
        </r>
      </text>
    </comment>
    <comment ref="D2" authorId="0">
      <text>
        <r>
          <rPr>
            <sz val="10"/>
            <rFont val="Arial"/>
            <family val="2"/>
          </rPr>
          <t xml:space="preserve">Gary@isect.com: </t>
        </r>
        <r>
          <rPr>
            <sz val="9"/>
            <color rgb="FF000000"/>
            <rFont val="Tahoma"/>
            <family val="2"/>
            <charset val="1"/>
          </rPr>
          <t xml:space="preserve">Use this column to record your progress towards implementing the ISMS.  See the metrics sheet for explanations of the levels</t>
        </r>
      </text>
    </comment>
    <comment ref="E2" authorId="0">
      <text>
        <r>
          <rPr>
            <sz val="10"/>
            <rFont val="Arial"/>
            <family val="2"/>
          </rPr>
          <t xml:space="preserve">Gary@isect.com:
</t>
        </r>
        <r>
          <rPr>
            <sz val="9"/>
            <color rgb="FF000000"/>
            <rFont val="Tahoma"/>
            <family val="2"/>
            <charset val="1"/>
          </rPr>
          <t xml:space="preserve">Keep notes on the process, including references to any documentation that the auditors will probably want to check</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Select from drop down box</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D2" authorId="0">
      <text>
        <r>
          <rPr>
            <b val="true"/>
            <sz val="14"/>
            <color rgb="FF000000"/>
            <rFont val="Tahoma"/>
            <family val="2"/>
            <charset val="1"/>
          </rPr>
          <t xml:space="preserve">Select from drop down box</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D2" authorId="0">
      <text>
        <r>
          <rPr>
            <b val="true"/>
            <sz val="14"/>
            <color rgb="FF000000"/>
            <rFont val="Tahoma"/>
            <family val="2"/>
            <charset val="1"/>
          </rPr>
          <t xml:space="preserve">Select from drop down box</t>
        </r>
      </text>
    </comment>
  </commentList>
</comments>
</file>

<file path=xl/sharedStrings.xml><?xml version="1.0" encoding="utf-8"?>
<sst xmlns="http://schemas.openxmlformats.org/spreadsheetml/2006/main" count="1020" uniqueCount="309">
  <si>
    <t xml:space="preserve">ISO/IEC 27001:2022 ISMS Status, 
Statement of Applicability (SoA) and
Controls Status (gap analysis) workbook</t>
  </si>
  <si>
    <t xml:space="preserve">Introduction</t>
  </si>
  <si>
    <t xml:space="preserve">This spreadsheet is used to record and track the status of your organization as you implement the mandatory and discretionary elements of ISO/IEC 27001.   </t>
  </si>
  <si>
    <r>
      <rPr>
        <sz val="12"/>
        <rFont val="Calibri"/>
        <family val="2"/>
        <charset val="1"/>
      </rPr>
      <t xml:space="preserve">The main body of ISO/IEC 27001 formally specifies a number of mandatory requirements that </t>
    </r>
    <r>
      <rPr>
        <i val="true"/>
        <sz val="12"/>
        <rFont val="Calibri"/>
        <family val="2"/>
        <charset val="1"/>
      </rPr>
      <t xml:space="preserve">must</t>
    </r>
    <r>
      <rPr>
        <sz val="12"/>
        <rFont val="Calibri"/>
        <family val="2"/>
        <charset val="1"/>
      </rPr>
      <t xml:space="preserve"> be fulfilled in order for an </t>
    </r>
    <r>
      <rPr>
        <b val="true"/>
        <sz val="12"/>
        <rFont val="Calibri"/>
        <family val="2"/>
        <charset val="1"/>
      </rPr>
      <t xml:space="preserve">I</t>
    </r>
    <r>
      <rPr>
        <sz val="12"/>
        <rFont val="Calibri"/>
        <family val="2"/>
        <charset val="1"/>
      </rPr>
      <t xml:space="preserve">nformation </t>
    </r>
    <r>
      <rPr>
        <b val="true"/>
        <sz val="12"/>
        <rFont val="Calibri"/>
        <family val="2"/>
        <charset val="1"/>
      </rPr>
      <t xml:space="preserve">S</t>
    </r>
    <r>
      <rPr>
        <sz val="12"/>
        <rFont val="Calibri"/>
        <family val="2"/>
        <charset val="1"/>
      </rPr>
      <t xml:space="preserve">ecurity </t>
    </r>
    <r>
      <rPr>
        <b val="true"/>
        <sz val="12"/>
        <rFont val="Calibri"/>
        <family val="2"/>
        <charset val="1"/>
      </rPr>
      <t xml:space="preserve">M</t>
    </r>
    <r>
      <rPr>
        <sz val="12"/>
        <rFont val="Calibri"/>
        <family val="2"/>
        <charset val="1"/>
      </rPr>
      <t xml:space="preserve">anagement </t>
    </r>
    <r>
      <rPr>
        <b val="true"/>
        <sz val="12"/>
        <rFont val="Calibri"/>
        <family val="2"/>
        <charset val="1"/>
      </rPr>
      <t xml:space="preserve">S</t>
    </r>
    <r>
      <rPr>
        <sz val="12"/>
        <rFont val="Calibri"/>
        <family val="2"/>
        <charset val="1"/>
      </rPr>
      <t xml:space="preserve">ystem to be certified against the standard.   </t>
    </r>
    <r>
      <rPr>
        <b val="true"/>
        <sz val="12"/>
        <rFont val="Calibri"/>
        <family val="2"/>
        <charset val="1"/>
      </rPr>
      <t xml:space="preserve">All the mandatory requirements for certification concern the management system rather than the information risks and the security controls being managed.  </t>
    </r>
    <r>
      <rPr>
        <sz val="12"/>
        <rFont val="Calibri"/>
        <family val="2"/>
        <charset val="1"/>
      </rPr>
      <t xml:space="preserve">For example, the standard requires management to determine the organization's information security risks, assess them, decide how those risks are to be treated, treat them and monitor them, using the policies and procedures defined in the ISMS.  The standard does not mandate specific information security controls: the organization does that.</t>
    </r>
  </si>
  <si>
    <r>
      <rPr>
        <sz val="12"/>
        <rFont val="Calibri"/>
        <family val="2"/>
        <charset val="1"/>
      </rPr>
      <t xml:space="preserve">However, Annex A to '27001 outlines a suite of information security controls that the management system would </t>
    </r>
    <r>
      <rPr>
        <i val="true"/>
        <sz val="12"/>
        <rFont val="Calibri"/>
        <family val="2"/>
        <charset val="1"/>
      </rPr>
      <t xml:space="preserve">typically </t>
    </r>
    <r>
      <rPr>
        <sz val="12"/>
        <rFont val="Calibri"/>
        <family val="2"/>
        <charset val="1"/>
      </rPr>
      <t xml:space="preserve">manage, provided they are in fact applicable to the organization (which depends on its information security risks).  The security controls in Annex A are explained in much more detail in ISO/IEC 27002:2022, and in various other standards, laws, regulations </t>
    </r>
    <r>
      <rPr>
        <i val="true"/>
        <sz val="12"/>
        <rFont val="Calibri"/>
        <family val="2"/>
        <charset val="1"/>
      </rPr>
      <t xml:space="preserve">etc.</t>
    </r>
  </si>
  <si>
    <t xml:space="preserve">Instructions</t>
  </si>
  <si>
    <r>
      <rPr>
        <sz val="12"/>
        <rFont val="Calibri"/>
        <family val="2"/>
        <charset val="1"/>
      </rPr>
      <t xml:space="preserve">1.  Design and implement an ISMS complying with all the mandatory elements specified in the main body of ISO/IEC 27001, using the drop-down selectors on the status column of the </t>
    </r>
    <r>
      <rPr>
        <b val="true"/>
        <sz val="12"/>
        <rFont val="Calibri"/>
        <family val="2"/>
        <charset val="1"/>
      </rPr>
      <t xml:space="preserve">mandatory ISMS requirements sheet </t>
    </r>
    <r>
      <rPr>
        <sz val="12"/>
        <rFont val="Calibri"/>
        <family val="2"/>
        <charset val="1"/>
      </rPr>
      <t xml:space="preserve">to track and record your status against each of the requirements.</t>
    </r>
  </si>
  <si>
    <r>
      <rPr>
        <sz val="12"/>
        <rFont val="Calibri"/>
        <family val="2"/>
        <charset val="1"/>
      </rPr>
      <t xml:space="preserve">2.  Identify and assess the information security risks facing those parts of the organization that are declared in scope for your ISMS, identifying any Annex A controls that are not applicable using the drop-down selectors in the status column of the </t>
    </r>
    <r>
      <rPr>
        <b val="true"/>
        <sz val="12"/>
        <rFont val="Calibri"/>
        <family val="2"/>
        <charset val="1"/>
      </rPr>
      <t xml:space="preserve">annex A controls sheet</t>
    </r>
    <r>
      <rPr>
        <sz val="12"/>
        <rFont val="Calibri"/>
        <family val="2"/>
        <charset val="1"/>
      </rPr>
      <t xml:space="preserve">.  Note: </t>
    </r>
    <r>
      <rPr>
        <b val="true"/>
        <sz val="12"/>
        <rFont val="Calibri"/>
        <family val="2"/>
        <charset val="1"/>
      </rPr>
      <t xml:space="preserve">do not feel constrained by Annex A!  </t>
    </r>
    <r>
      <rPr>
        <sz val="12"/>
        <rFont val="Calibri"/>
        <family val="2"/>
        <charset val="1"/>
      </rPr>
      <t xml:space="preserve">Adapt the sheet, modifying the wording and adding-in additional rows if you determine that other security controls are needed to treat your information security risks and obligations (</t>
    </r>
    <r>
      <rPr>
        <i val="true"/>
        <sz val="12"/>
        <rFont val="Calibri"/>
        <family val="2"/>
        <charset val="1"/>
      </rPr>
      <t xml:space="preserve">e.g. </t>
    </r>
    <r>
      <rPr>
        <sz val="12"/>
        <rFont val="Calibri"/>
        <family val="2"/>
        <charset val="1"/>
      </rPr>
      <t xml:space="preserve">ISO 22301, privacy laws, PCI-DSS </t>
    </r>
    <r>
      <rPr>
        <i val="true"/>
        <sz val="12"/>
        <rFont val="Calibri"/>
        <family val="2"/>
        <charset val="1"/>
      </rPr>
      <t xml:space="preserve">etc</t>
    </r>
    <r>
      <rPr>
        <sz val="12"/>
        <rFont val="Calibri"/>
        <family val="2"/>
        <charset val="1"/>
      </rPr>
      <t xml:space="preserve">.).  </t>
    </r>
    <r>
      <rPr>
        <b val="true"/>
        <sz val="12"/>
        <rFont val="Calibri"/>
        <family val="2"/>
        <charset val="1"/>
      </rPr>
      <t xml:space="preserve">Annex A is merely a guide, a starting point.</t>
    </r>
  </si>
  <si>
    <r>
      <rPr>
        <sz val="12"/>
        <rFont val="Calibri"/>
        <family val="2"/>
        <charset val="1"/>
      </rPr>
      <t xml:space="preserve">3.  Systematically check and record the status of your security risks and controls, updating the status column of </t>
    </r>
    <r>
      <rPr>
        <b val="true"/>
        <sz val="12"/>
        <rFont val="Calibri"/>
        <family val="2"/>
        <charset val="1"/>
      </rPr>
      <t xml:space="preserve">Annex A sheet</t>
    </r>
    <r>
      <rPr>
        <sz val="12"/>
        <rFont val="Calibri"/>
        <family val="2"/>
        <charset val="1"/>
      </rPr>
      <t xml:space="preserve"> accordingly.</t>
    </r>
  </si>
  <si>
    <r>
      <rPr>
        <sz val="12"/>
        <rFont val="Calibri"/>
        <family val="2"/>
        <charset val="1"/>
      </rPr>
      <t xml:space="preserve">4.  Once your ISMS is operating normally, the </t>
    </r>
    <r>
      <rPr>
        <b val="true"/>
        <sz val="12"/>
        <rFont val="Calibri"/>
        <family val="2"/>
        <charset val="1"/>
      </rPr>
      <t xml:space="preserve">metrics </t>
    </r>
    <r>
      <rPr>
        <sz val="12"/>
        <rFont val="Calibri"/>
        <family val="2"/>
        <charset val="1"/>
      </rPr>
      <t xml:space="preserve">are looking good and you have amassed sufficient evidence ("records"), it can be formally audited for compliance with '27001 by an accredited certification body.  They will check that your ISMS  fulfills the standard's mandatory requirements, and that your in-scope information security risks are being identified, treated and monitored according to the ISMS policies and procedures.  Thereafter, the spreadsheet should both be maintained </t>
    </r>
    <r>
      <rPr>
        <i val="true"/>
        <sz val="12"/>
        <rFont val="Calibri"/>
        <family val="2"/>
        <charset val="1"/>
      </rPr>
      <t xml:space="preserve">i.e. </t>
    </r>
    <r>
      <rPr>
        <sz val="12"/>
        <rFont val="Calibri"/>
        <family val="2"/>
        <charset val="1"/>
      </rPr>
      <t xml:space="preserve">updated when the information security risks or controls change, and periodically reviewed/audited.  </t>
    </r>
  </si>
  <si>
    <t xml:space="preserve">Document history and acknowledgements</t>
  </si>
  <si>
    <t xml:space="preserve">Bala Ramanan donated the original ISO/IEC 27001:2005 version of the 27001 requirements worksheet.   Joel Cort added the SoA worksheet.  Gary Hinson hacked it about for publication in the ISO27k Toolkit.</t>
  </si>
  <si>
    <t xml:space="preserve">Ed Hodgson updated the workbook for ISO/IEC 27001:2013.  Gary Hinson fiddled with the wording and formatting, splitting out the metrics and creating a simpler, generic version for the ISO27k Toolkit.</t>
  </si>
  <si>
    <t xml:space="preserve">Christian Breitenstrom updated the workbook to reflect ISO/IEC 27001:2022 and ISO/IEC 27002:2022.  Gary tidied it up a bit, ready for publication in the ISO27k Toolkit once ISO/IEC 27001:2022 is published.</t>
  </si>
  <si>
    <t xml:space="preserve">Copyright</t>
  </si>
  <si>
    <t xml:space="preserve">This work is copyright © 2022, ISO27k Forum, some rights reserved.  It is licensed under the Creative Commons Attribution-Noncommercial-Share Alike 3.0 License.  You are welcome to reproduce, circulate, use and create derivative works from this provided that (a) it is not sold or incorporated into a commercial product, (b) it is properly attributed to the ISO27k Forum at www.ISO27001security.com, and (c) any derivative works that are shared with third parties are subject the same copyright terms as this.</t>
  </si>
  <si>
    <r>
      <rPr>
        <b val="true"/>
        <sz val="12"/>
        <rFont val="Calibri"/>
        <family val="2"/>
        <charset val="1"/>
      </rPr>
      <t xml:space="preserve">Note: you need licensed copies of both ISO/IEC 27001 and 27002 to make much sense of this</t>
    </r>
    <r>
      <rPr>
        <sz val="12"/>
        <rFont val="Calibri"/>
        <family val="2"/>
        <charset val="1"/>
      </rPr>
      <t xml:space="preserve">, and other ISO27k standards are also highly recommended.  </t>
    </r>
    <r>
      <rPr>
        <b val="true"/>
        <sz val="12"/>
        <rFont val="Calibri"/>
        <family val="2"/>
        <charset val="1"/>
      </rPr>
      <t xml:space="preserve">This workbook alone is not sufficient!  </t>
    </r>
    <r>
      <rPr>
        <sz val="12"/>
        <rFont val="Calibri"/>
        <family val="2"/>
        <charset val="1"/>
      </rPr>
      <t xml:space="preserve">In particular, we have paraphrased and shortened the wording of the standards in ways that may not entirely fulfill their meaning or intent.  The definitive references are the ISO27k standards, not this workbook. </t>
    </r>
  </si>
  <si>
    <t xml:space="preserve">Please visit ISO27001security.com for further advice and guidance on the ISO27k standards, including the ISO27k Forum and many other useful documents and templates in the ISO27k Toolkit:</t>
  </si>
  <si>
    <t xml:space="preserve">www.ISO27001security.com</t>
  </si>
  <si>
    <t xml:space="preserve">Status of ISO/IEC 27001 implementation</t>
  </si>
  <si>
    <t xml:space="preserve">Section</t>
  </si>
  <si>
    <t xml:space="preserve">ISO/IEC 27001 requirement</t>
  </si>
  <si>
    <t xml:space="preserve">Status</t>
  </si>
  <si>
    <t xml:space="preserve">Notes</t>
  </si>
  <si>
    <t xml:space="preserve">Context of the organisation</t>
  </si>
  <si>
    <t xml:space="preserve">Organisational context</t>
  </si>
  <si>
    <r>
      <rPr>
        <sz val="10"/>
        <rFont val="Calibri"/>
        <family val="2"/>
        <charset val="1"/>
      </rPr>
      <t xml:space="preserve">Determine the organization's </t>
    </r>
    <r>
      <rPr>
        <b val="true"/>
        <sz val="10"/>
        <rFont val="Calibri"/>
        <family val="2"/>
        <charset val="1"/>
      </rPr>
      <t xml:space="preserve">ISMS objectives </t>
    </r>
    <r>
      <rPr>
        <sz val="10"/>
        <rFont val="Calibri"/>
        <family val="2"/>
        <charset val="1"/>
      </rPr>
      <t xml:space="preserve">and any issues that might affect its effectiveness</t>
    </r>
  </si>
  <si>
    <t xml:space="preserve">Initial</t>
  </si>
  <si>
    <t xml:space="preserve">Interested parties</t>
  </si>
  <si>
    <t xml:space="preserve">4.2 (a)</t>
  </si>
  <si>
    <r>
      <rPr>
        <sz val="10"/>
        <rFont val="Calibri"/>
        <family val="2"/>
        <charset val="1"/>
      </rPr>
      <t xml:space="preserve">Identify </t>
    </r>
    <r>
      <rPr>
        <b val="true"/>
        <sz val="10"/>
        <rFont val="Calibri"/>
        <family val="2"/>
        <charset val="1"/>
      </rPr>
      <t xml:space="preserve">interested parties </t>
    </r>
    <r>
      <rPr>
        <sz val="10"/>
        <rFont val="Calibri"/>
        <family val="2"/>
        <charset val="1"/>
      </rPr>
      <t xml:space="preserve">including applicable laws, regulations, contracts</t>
    </r>
    <r>
      <rPr>
        <i val="true"/>
        <sz val="10"/>
        <rFont val="Calibri"/>
        <family val="2"/>
        <charset val="1"/>
      </rPr>
      <t xml:space="preserve"> etc</t>
    </r>
    <r>
      <rPr>
        <sz val="10"/>
        <rFont val="Calibri"/>
        <family val="2"/>
        <charset val="1"/>
      </rPr>
      <t xml:space="preserve">.</t>
    </r>
  </si>
  <si>
    <t xml:space="preserve">Limited</t>
  </si>
  <si>
    <t xml:space="preserve">4.2 (b)</t>
  </si>
  <si>
    <r>
      <rPr>
        <sz val="10"/>
        <rFont val="Calibri"/>
        <family val="2"/>
        <charset val="1"/>
      </rPr>
      <t xml:space="preserve">Determine their information security-relevant </t>
    </r>
    <r>
      <rPr>
        <b val="true"/>
        <sz val="10"/>
        <rFont val="Calibri"/>
        <family val="2"/>
        <charset val="1"/>
      </rPr>
      <t xml:space="preserve">requirements</t>
    </r>
    <r>
      <rPr>
        <sz val="10"/>
        <rFont val="Calibri"/>
        <family val="2"/>
        <charset val="1"/>
      </rPr>
      <t xml:space="preserve"> and obligations</t>
    </r>
  </si>
  <si>
    <t xml:space="preserve">ISMS scope</t>
  </si>
  <si>
    <r>
      <rPr>
        <sz val="10"/>
        <rFont val="Calibri"/>
        <family val="2"/>
        <charset val="1"/>
      </rPr>
      <t xml:space="preserve">Determine and document the </t>
    </r>
    <r>
      <rPr>
        <b val="true"/>
        <sz val="10"/>
        <rFont val="Calibri"/>
        <family val="2"/>
        <charset val="1"/>
      </rPr>
      <t xml:space="preserve">ISMS scope</t>
    </r>
  </si>
  <si>
    <t xml:space="preserve"> ISMS</t>
  </si>
  <si>
    <r>
      <rPr>
        <sz val="10"/>
        <rFont val="Calibri"/>
        <family val="2"/>
        <charset val="1"/>
      </rPr>
      <t xml:space="preserve">Establish, implement, maintain and continually improve an </t>
    </r>
    <r>
      <rPr>
        <b val="true"/>
        <sz val="10"/>
        <rFont val="Calibri"/>
        <family val="2"/>
        <charset val="1"/>
      </rPr>
      <t xml:space="preserve">ISMS </t>
    </r>
    <r>
      <rPr>
        <sz val="10"/>
        <rFont val="Calibri"/>
        <family val="2"/>
        <charset val="1"/>
      </rPr>
      <t xml:space="preserve">according to the standard!</t>
    </r>
  </si>
  <si>
    <t xml:space="preserve">Nonexistent</t>
  </si>
  <si>
    <t xml:space="preserve">Leadership</t>
  </si>
  <si>
    <t xml:space="preserve">Leadership &amp; commitment</t>
  </si>
  <si>
    <r>
      <rPr>
        <sz val="10"/>
        <rFont val="Calibri"/>
        <family val="2"/>
        <charset val="1"/>
      </rPr>
      <t xml:space="preserve">Top management must demonstrate </t>
    </r>
    <r>
      <rPr>
        <b val="true"/>
        <sz val="10"/>
        <rFont val="Calibri"/>
        <family val="2"/>
        <charset val="1"/>
      </rPr>
      <t xml:space="preserve">leadership &amp; commitment </t>
    </r>
    <r>
      <rPr>
        <sz val="10"/>
        <rFont val="Calibri"/>
        <family val="2"/>
        <charset val="1"/>
      </rPr>
      <t xml:space="preserve">to the ISMS</t>
    </r>
  </si>
  <si>
    <t xml:space="preserve">Defined</t>
  </si>
  <si>
    <t xml:space="preserve">Policy</t>
  </si>
  <si>
    <r>
      <rPr>
        <sz val="10"/>
        <rFont val="Calibri"/>
        <family val="2"/>
        <charset val="1"/>
      </rPr>
      <t xml:space="preserve">Establish the </t>
    </r>
    <r>
      <rPr>
        <b val="true"/>
        <sz val="10"/>
        <rFont val="Calibri"/>
        <family val="2"/>
        <charset val="1"/>
      </rPr>
      <t xml:space="preserve">information security policy</t>
    </r>
  </si>
  <si>
    <t xml:space="preserve">Organizational roles, responsibilities &amp; authorities</t>
  </si>
  <si>
    <r>
      <rPr>
        <sz val="10"/>
        <rFont val="Calibri"/>
        <family val="2"/>
        <charset val="1"/>
      </rPr>
      <t xml:space="preserve">Assign and communicate information security </t>
    </r>
    <r>
      <rPr>
        <b val="true"/>
        <sz val="10"/>
        <rFont val="Calibri"/>
        <family val="2"/>
        <charset val="1"/>
      </rPr>
      <t xml:space="preserve">rôles &amp; responsibilities</t>
    </r>
  </si>
  <si>
    <t xml:space="preserve">Not applicable</t>
  </si>
  <si>
    <t xml:space="preserve">Planning</t>
  </si>
  <si>
    <t xml:space="preserve">Actions to address risks &amp; opportunities</t>
  </si>
  <si>
    <t xml:space="preserve">6.1.1</t>
  </si>
  <si>
    <t xml:space="preserve">Design/plan the ISMS to satisfy the requirements, addressing risks &amp; opportunities</t>
  </si>
  <si>
    <t xml:space="preserve">6.1.2</t>
  </si>
  <si>
    <r>
      <rPr>
        <sz val="10"/>
        <rFont val="Calibri"/>
        <family val="2"/>
        <charset val="1"/>
      </rPr>
      <t xml:space="preserve">Define and apply an </t>
    </r>
    <r>
      <rPr>
        <b val="true"/>
        <sz val="10"/>
        <rFont val="Calibri"/>
        <family val="2"/>
        <charset val="1"/>
      </rPr>
      <t xml:space="preserve">information security risk assessment process</t>
    </r>
  </si>
  <si>
    <t xml:space="preserve">6.1.3</t>
  </si>
  <si>
    <r>
      <rPr>
        <sz val="10"/>
        <rFont val="Calibri"/>
        <family val="2"/>
        <charset val="1"/>
      </rPr>
      <t xml:space="preserve">Document and apply an </t>
    </r>
    <r>
      <rPr>
        <b val="true"/>
        <sz val="10"/>
        <rFont val="Calibri"/>
        <family val="2"/>
        <charset val="1"/>
      </rPr>
      <t xml:space="preserve">information security risk treatment process </t>
    </r>
  </si>
  <si>
    <t xml:space="preserve">Information security objectives &amp; plans</t>
  </si>
  <si>
    <r>
      <rPr>
        <sz val="10"/>
        <rFont val="Calibri"/>
        <family val="2"/>
        <charset val="1"/>
      </rPr>
      <t xml:space="preserve">Establish and document the </t>
    </r>
    <r>
      <rPr>
        <b val="true"/>
        <sz val="10"/>
        <rFont val="Calibri"/>
        <family val="2"/>
        <charset val="1"/>
      </rPr>
      <t xml:space="preserve">information security objectives</t>
    </r>
    <r>
      <rPr>
        <sz val="10"/>
        <rFont val="Calibri"/>
        <family val="2"/>
        <charset val="1"/>
      </rPr>
      <t xml:space="preserve"> </t>
    </r>
    <r>
      <rPr>
        <b val="true"/>
        <sz val="10"/>
        <rFont val="Calibri"/>
        <family val="2"/>
        <charset val="1"/>
      </rPr>
      <t xml:space="preserve">and plans </t>
    </r>
  </si>
  <si>
    <t xml:space="preserve">Planning of changes</t>
  </si>
  <si>
    <t xml:space="preserve">Substantial changes to the ISMS shall be carried out in a planned manner</t>
  </si>
  <si>
    <t xml:space="preserve">New for 2022</t>
  </si>
  <si>
    <t xml:space="preserve">Support</t>
  </si>
  <si>
    <t xml:space="preserve">Resources</t>
  </si>
  <si>
    <r>
      <rPr>
        <sz val="10"/>
        <rFont val="Calibri"/>
        <family val="2"/>
        <charset val="1"/>
      </rPr>
      <t xml:space="preserve">Determine and allocate necessary </t>
    </r>
    <r>
      <rPr>
        <b val="true"/>
        <sz val="10"/>
        <rFont val="Calibri"/>
        <family val="2"/>
        <charset val="1"/>
      </rPr>
      <t xml:space="preserve">resources </t>
    </r>
    <r>
      <rPr>
        <sz val="10"/>
        <rFont val="Calibri"/>
        <family val="2"/>
        <charset val="1"/>
      </rPr>
      <t xml:space="preserve">for the ISMS</t>
    </r>
  </si>
  <si>
    <t xml:space="preserve">Competence</t>
  </si>
  <si>
    <r>
      <rPr>
        <sz val="10"/>
        <rFont val="Calibri"/>
        <family val="2"/>
        <charset val="1"/>
      </rPr>
      <t xml:space="preserve">Determine, document and make available necessary </t>
    </r>
    <r>
      <rPr>
        <b val="true"/>
        <sz val="10"/>
        <rFont val="Calibri"/>
        <family val="2"/>
        <charset val="1"/>
      </rPr>
      <t xml:space="preserve">competences </t>
    </r>
  </si>
  <si>
    <t xml:space="preserve">Awareness</t>
  </si>
  <si>
    <r>
      <rPr>
        <sz val="10"/>
        <rFont val="Calibri"/>
        <family val="2"/>
        <charset val="1"/>
      </rPr>
      <t xml:space="preserve">Establish a</t>
    </r>
    <r>
      <rPr>
        <b val="true"/>
        <sz val="10"/>
        <rFont val="Calibri"/>
        <family val="2"/>
        <charset val="1"/>
      </rPr>
      <t xml:space="preserve"> security awareness </t>
    </r>
    <r>
      <rPr>
        <sz val="10"/>
        <rFont val="Calibri"/>
        <family val="2"/>
        <charset val="1"/>
      </rPr>
      <t xml:space="preserve">program</t>
    </r>
  </si>
  <si>
    <t xml:space="preserve">Communication</t>
  </si>
  <si>
    <r>
      <rPr>
        <sz val="10"/>
        <rFont val="Calibri"/>
        <family val="2"/>
        <charset val="1"/>
      </rPr>
      <t xml:space="preserve">Determine the need for </t>
    </r>
    <r>
      <rPr>
        <b val="true"/>
        <sz val="10"/>
        <rFont val="Calibri"/>
        <family val="2"/>
        <charset val="1"/>
      </rPr>
      <t xml:space="preserve">internal and external communications </t>
    </r>
    <r>
      <rPr>
        <sz val="10"/>
        <rFont val="Calibri"/>
        <family val="2"/>
        <charset val="1"/>
      </rPr>
      <t xml:space="preserve">relevant to the ISMS</t>
    </r>
  </si>
  <si>
    <t xml:space="preserve">Documented information</t>
  </si>
  <si>
    <t xml:space="preserve">7.5.1</t>
  </si>
  <si>
    <r>
      <rPr>
        <sz val="10"/>
        <rFont val="Calibri"/>
        <family val="2"/>
        <charset val="1"/>
      </rPr>
      <t xml:space="preserve">Provide </t>
    </r>
    <r>
      <rPr>
        <b val="true"/>
        <sz val="10"/>
        <rFont val="Calibri"/>
        <family val="2"/>
        <charset val="1"/>
      </rPr>
      <t xml:space="preserve">documentation </t>
    </r>
    <r>
      <rPr>
        <sz val="10"/>
        <rFont val="Calibri"/>
        <family val="2"/>
        <charset val="1"/>
      </rPr>
      <t xml:space="preserve">required by the standard plus that required by the organization</t>
    </r>
  </si>
  <si>
    <t xml:space="preserve">7.5.2</t>
  </si>
  <si>
    <r>
      <rPr>
        <sz val="10"/>
        <rFont val="Calibri"/>
        <family val="2"/>
        <charset val="1"/>
      </rPr>
      <t xml:space="preserve">Provide document </t>
    </r>
    <r>
      <rPr>
        <b val="true"/>
        <sz val="10"/>
        <rFont val="Calibri"/>
        <family val="2"/>
        <charset val="1"/>
      </rPr>
      <t xml:space="preserve">titles</t>
    </r>
    <r>
      <rPr>
        <sz val="10"/>
        <rFont val="Calibri"/>
        <family val="2"/>
        <charset val="1"/>
      </rPr>
      <t xml:space="preserve">, authors </t>
    </r>
    <r>
      <rPr>
        <i val="true"/>
        <sz val="10"/>
        <rFont val="Calibri"/>
        <family val="2"/>
        <charset val="1"/>
      </rPr>
      <t xml:space="preserve">etc</t>
    </r>
    <r>
      <rPr>
        <sz val="10"/>
        <rFont val="Calibri"/>
        <family val="2"/>
        <charset val="1"/>
      </rPr>
      <t xml:space="preserve">., </t>
    </r>
    <r>
      <rPr>
        <b val="true"/>
        <sz val="10"/>
        <rFont val="Calibri"/>
        <family val="2"/>
        <charset val="1"/>
      </rPr>
      <t xml:space="preserve">format</t>
    </r>
    <r>
      <rPr>
        <sz val="10"/>
        <rFont val="Calibri"/>
        <family val="2"/>
        <charset val="1"/>
      </rPr>
      <t xml:space="preserve"> them consistently, and </t>
    </r>
    <r>
      <rPr>
        <b val="true"/>
        <sz val="10"/>
        <rFont val="Calibri"/>
        <family val="2"/>
        <charset val="1"/>
      </rPr>
      <t xml:space="preserve">review &amp; approve </t>
    </r>
    <r>
      <rPr>
        <sz val="10"/>
        <rFont val="Calibri"/>
        <family val="2"/>
        <charset val="1"/>
      </rPr>
      <t xml:space="preserve">them</t>
    </r>
  </si>
  <si>
    <t xml:space="preserve">7.5.3</t>
  </si>
  <si>
    <r>
      <rPr>
        <b val="true"/>
        <sz val="10"/>
        <rFont val="Calibri"/>
        <family val="2"/>
        <charset val="1"/>
      </rPr>
      <t xml:space="preserve">Control the documentation </t>
    </r>
    <r>
      <rPr>
        <sz val="10"/>
        <rFont val="Calibri"/>
        <family val="2"/>
        <charset val="1"/>
      </rPr>
      <t xml:space="preserve">properly</t>
    </r>
  </si>
  <si>
    <t xml:space="preserve">Operation</t>
  </si>
  <si>
    <t xml:space="preserve">Operational planning and control</t>
  </si>
  <si>
    <r>
      <rPr>
        <sz val="10"/>
        <rFont val="Calibri"/>
        <family val="2"/>
        <charset val="1"/>
      </rPr>
      <t xml:space="preserve">Plan, implement, control &amp; document ISMS processes to manage risks (</t>
    </r>
    <r>
      <rPr>
        <i val="true"/>
        <sz val="10"/>
        <rFont val="Calibri"/>
        <family val="2"/>
        <charset val="1"/>
      </rPr>
      <t xml:space="preserve">i.e. </t>
    </r>
    <r>
      <rPr>
        <sz val="10"/>
        <rFont val="Calibri"/>
        <family val="2"/>
        <charset val="1"/>
      </rPr>
      <t xml:space="preserve">a </t>
    </r>
    <r>
      <rPr>
        <b val="true"/>
        <sz val="10"/>
        <rFont val="Calibri"/>
        <family val="2"/>
        <charset val="1"/>
      </rPr>
      <t xml:space="preserve">risk treatment plan</t>
    </r>
    <r>
      <rPr>
        <sz val="10"/>
        <rFont val="Calibri"/>
        <family val="2"/>
        <charset val="1"/>
      </rPr>
      <t xml:space="preserve">)</t>
    </r>
  </si>
  <si>
    <t xml:space="preserve">Information security risk assessment</t>
  </si>
  <si>
    <r>
      <rPr>
        <b val="true"/>
        <sz val="10"/>
        <rFont val="Calibri"/>
        <family val="2"/>
        <charset val="1"/>
      </rPr>
      <t xml:space="preserve">(Re)assess &amp; document information security risks </t>
    </r>
    <r>
      <rPr>
        <sz val="10"/>
        <rFont val="Calibri"/>
        <family val="2"/>
        <charset val="1"/>
      </rPr>
      <t xml:space="preserve">regularly &amp; on changes </t>
    </r>
  </si>
  <si>
    <t xml:space="preserve">Information security risk treatment</t>
  </si>
  <si>
    <r>
      <rPr>
        <sz val="10"/>
        <rFont val="Calibri"/>
        <family val="2"/>
        <charset val="1"/>
      </rPr>
      <t xml:space="preserve">Implement the risk treatment plan</t>
    </r>
    <r>
      <rPr>
        <b val="true"/>
        <sz val="10"/>
        <rFont val="Calibri"/>
        <family val="2"/>
        <charset val="1"/>
      </rPr>
      <t xml:space="preserve"> (treat the risks!) </t>
    </r>
    <r>
      <rPr>
        <sz val="10"/>
        <rFont val="Calibri"/>
        <family val="2"/>
        <charset val="1"/>
      </rPr>
      <t xml:space="preserve">and document the results</t>
    </r>
  </si>
  <si>
    <t xml:space="preserve">Performance evaluation</t>
  </si>
  <si>
    <t xml:space="preserve">Monitoring, measurement, analysis and evaluation</t>
  </si>
  <si>
    <r>
      <rPr>
        <b val="true"/>
        <sz val="10"/>
        <rFont val="Calibri"/>
        <family val="2"/>
        <charset val="1"/>
      </rPr>
      <t xml:space="preserve">Monitor, measure, analyze and evaluate</t>
    </r>
    <r>
      <rPr>
        <sz val="10"/>
        <rFont val="Calibri"/>
        <family val="2"/>
        <charset val="1"/>
      </rPr>
      <t xml:space="preserve"> the ISMS and the controls</t>
    </r>
  </si>
  <si>
    <t xml:space="preserve">Internal audit</t>
  </si>
  <si>
    <r>
      <rPr>
        <sz val="10"/>
        <rFont val="Calibri"/>
        <family val="2"/>
        <charset val="1"/>
      </rPr>
      <t xml:space="preserve">Plan &amp; conduct </t>
    </r>
    <r>
      <rPr>
        <b val="true"/>
        <sz val="10"/>
        <rFont val="Calibri"/>
        <family val="2"/>
        <charset val="1"/>
      </rPr>
      <t xml:space="preserve">internal audits </t>
    </r>
    <r>
      <rPr>
        <sz val="10"/>
        <rFont val="Calibri"/>
        <family val="2"/>
        <charset val="1"/>
      </rPr>
      <t xml:space="preserve">of the ISMS</t>
    </r>
  </si>
  <si>
    <t xml:space="preserve">Management review</t>
  </si>
  <si>
    <r>
      <rPr>
        <sz val="10"/>
        <rFont val="Calibri"/>
        <family val="2"/>
        <charset val="1"/>
      </rPr>
      <t xml:space="preserve">Undertake regular </t>
    </r>
    <r>
      <rPr>
        <b val="true"/>
        <sz val="10"/>
        <rFont val="Calibri"/>
        <family val="2"/>
        <charset val="1"/>
      </rPr>
      <t xml:space="preserve">management reviews </t>
    </r>
    <r>
      <rPr>
        <sz val="10"/>
        <rFont val="Calibri"/>
        <family val="2"/>
        <charset val="1"/>
      </rPr>
      <t xml:space="preserve">of the ISMS</t>
    </r>
  </si>
  <si>
    <t xml:space="preserve">Improvement</t>
  </si>
  <si>
    <t xml:space="preserve">Continual improvement</t>
  </si>
  <si>
    <r>
      <rPr>
        <sz val="10"/>
        <rFont val="Calibri"/>
        <family val="2"/>
        <charset val="1"/>
      </rPr>
      <t xml:space="preserve">Continually </t>
    </r>
    <r>
      <rPr>
        <b val="true"/>
        <sz val="10"/>
        <rFont val="Calibri"/>
        <family val="2"/>
        <charset val="1"/>
      </rPr>
      <t xml:space="preserve">improve</t>
    </r>
    <r>
      <rPr>
        <sz val="10"/>
        <rFont val="Calibri"/>
        <family val="2"/>
        <charset val="1"/>
      </rPr>
      <t xml:space="preserve"> the ISMS</t>
    </r>
  </si>
  <si>
    <t xml:space="preserve">Nonconformity and corrective action</t>
  </si>
  <si>
    <t xml:space="preserve">Identify, fix and take action to prevent recurrence of nonconformities, documenting the actions</t>
  </si>
  <si>
    <t xml:space="preserve">Number of requirements</t>
  </si>
  <si>
    <t xml:space="preserve">Statement of Applicability and status of information security controls</t>
  </si>
  <si>
    <t xml:space="preserve">Information security control</t>
  </si>
  <si>
    <t xml:space="preserve">A5</t>
  </si>
  <si>
    <t xml:space="preserve">Organizational controls</t>
  </si>
  <si>
    <t xml:space="preserve">A.5.1</t>
  </si>
  <si>
    <t xml:space="preserve">Policies for information security</t>
  </si>
  <si>
    <t xml:space="preserve">? Unknown</t>
  </si>
  <si>
    <t xml:space="preserve">A.5.2</t>
  </si>
  <si>
    <t xml:space="preserve">Information security roles and responsibilities</t>
  </si>
  <si>
    <t xml:space="preserve">A.5.3</t>
  </si>
  <si>
    <t xml:space="preserve">Segregation of duties</t>
  </si>
  <si>
    <t xml:space="preserve">A.5.4</t>
  </si>
  <si>
    <t xml:space="preserve">Management responsibilities</t>
  </si>
  <si>
    <t xml:space="preserve">A.5.5</t>
  </si>
  <si>
    <t xml:space="preserve">Contact with authorities</t>
  </si>
  <si>
    <t xml:space="preserve">A.5.6</t>
  </si>
  <si>
    <t xml:space="preserve">Contact with special interest groups</t>
  </si>
  <si>
    <t xml:space="preserve">A.5.7</t>
  </si>
  <si>
    <t xml:space="preserve">Threat intelligence</t>
  </si>
  <si>
    <t xml:space="preserve">A.5.8</t>
  </si>
  <si>
    <t xml:space="preserve">Information security in projectmanagement</t>
  </si>
  <si>
    <t xml:space="preserve">A.5.9</t>
  </si>
  <si>
    <t xml:space="preserve">Inventory of information and other associated assets</t>
  </si>
  <si>
    <t xml:space="preserve">A.5.10</t>
  </si>
  <si>
    <t xml:space="preserve">Acceptable use of information and other associated assets</t>
  </si>
  <si>
    <t xml:space="preserve">A.5.11</t>
  </si>
  <si>
    <t xml:space="preserve">Return of assets</t>
  </si>
  <si>
    <t xml:space="preserve">A.5.12</t>
  </si>
  <si>
    <t xml:space="preserve">Classification of information</t>
  </si>
  <si>
    <t xml:space="preserve">A.5.13</t>
  </si>
  <si>
    <t xml:space="preserve">Labelling of information</t>
  </si>
  <si>
    <t xml:space="preserve">A.5.14</t>
  </si>
  <si>
    <t xml:space="preserve">Information transfer</t>
  </si>
  <si>
    <t xml:space="preserve">A.5.15</t>
  </si>
  <si>
    <t xml:space="preserve">Access control</t>
  </si>
  <si>
    <t xml:space="preserve">A.5.16</t>
  </si>
  <si>
    <t xml:space="preserve">Identity management</t>
  </si>
  <si>
    <t xml:space="preserve">A.5.17</t>
  </si>
  <si>
    <t xml:space="preserve">Authentication information</t>
  </si>
  <si>
    <t xml:space="preserve">A.5.18</t>
  </si>
  <si>
    <t xml:space="preserve">Access rights</t>
  </si>
  <si>
    <t xml:space="preserve">A.5.19</t>
  </si>
  <si>
    <t xml:space="preserve">Information security in supplier relationships</t>
  </si>
  <si>
    <t xml:space="preserve">A.5.20</t>
  </si>
  <si>
    <t xml:space="preserve">Addressing information security within supplier agreements</t>
  </si>
  <si>
    <t xml:space="preserve">A.5.21</t>
  </si>
  <si>
    <t xml:space="preserve">Managing information security in the information 
and communication technology (ICT) supply-chain</t>
  </si>
  <si>
    <t xml:space="preserve">A.5.22</t>
  </si>
  <si>
    <t xml:space="preserve">Monitoring, review and change management of supplier services</t>
  </si>
  <si>
    <t xml:space="preserve">A.5.23</t>
  </si>
  <si>
    <t xml:space="preserve">Information security for use of cloud services</t>
  </si>
  <si>
    <t xml:space="preserve">A.5.24</t>
  </si>
  <si>
    <t xml:space="preserve">Information security incident management planning and preparation</t>
  </si>
  <si>
    <t xml:space="preserve">A.5.25</t>
  </si>
  <si>
    <t xml:space="preserve">Assessment and decision on information security events</t>
  </si>
  <si>
    <t xml:space="preserve">A.5.26</t>
  </si>
  <si>
    <t xml:space="preserve">Response to information security incidents</t>
  </si>
  <si>
    <t xml:space="preserve">A.5.27</t>
  </si>
  <si>
    <t xml:space="preserve">Learning from information security incidents</t>
  </si>
  <si>
    <t xml:space="preserve">A.5.28</t>
  </si>
  <si>
    <t xml:space="preserve">Collection of evidence</t>
  </si>
  <si>
    <t xml:space="preserve">A.5.29</t>
  </si>
  <si>
    <t xml:space="preserve">Information security during disruption</t>
  </si>
  <si>
    <t xml:space="preserve">A.5.30</t>
  </si>
  <si>
    <t xml:space="preserve">ICT readiness for business continuity</t>
  </si>
  <si>
    <t xml:space="preserve">A.5.31</t>
  </si>
  <si>
    <t xml:space="preserve">Legal, statutory, regulatory and contractual requirements</t>
  </si>
  <si>
    <t xml:space="preserve">A.5.32</t>
  </si>
  <si>
    <t xml:space="preserve">Intellectual property rights</t>
  </si>
  <si>
    <t xml:space="preserve">A.5.33</t>
  </si>
  <si>
    <t xml:space="preserve">Protection of records</t>
  </si>
  <si>
    <t xml:space="preserve">A.5.34</t>
  </si>
  <si>
    <t xml:space="preserve">Privacy and protection of personal identifiable information (PII)</t>
  </si>
  <si>
    <t xml:space="preserve">A.5.35</t>
  </si>
  <si>
    <t xml:space="preserve">Independent review of information security</t>
  </si>
  <si>
    <t xml:space="preserve">A.5.36</t>
  </si>
  <si>
    <t xml:space="preserve">Compliance with policies, rules and standards for information security</t>
  </si>
  <si>
    <t xml:space="preserve">A.5.37</t>
  </si>
  <si>
    <t xml:space="preserve">Documented operating procedures</t>
  </si>
  <si>
    <t xml:space="preserve">A6</t>
  </si>
  <si>
    <t xml:space="preserve">People controls</t>
  </si>
  <si>
    <t xml:space="preserve">A.6.1</t>
  </si>
  <si>
    <t xml:space="preserve">Screening</t>
  </si>
  <si>
    <t xml:space="preserve">A.6.2</t>
  </si>
  <si>
    <t xml:space="preserve">Terms and conditions of employment</t>
  </si>
  <si>
    <t xml:space="preserve">A.6.3</t>
  </si>
  <si>
    <t xml:space="preserve">Information security awareness, education and training</t>
  </si>
  <si>
    <t xml:space="preserve">A.6.4</t>
  </si>
  <si>
    <t xml:space="preserve">Disciplinary process</t>
  </si>
  <si>
    <t xml:space="preserve">A.6.5</t>
  </si>
  <si>
    <t xml:space="preserve">Responsibilities after termination or change of employment</t>
  </si>
  <si>
    <t xml:space="preserve">A.6.6</t>
  </si>
  <si>
    <t xml:space="preserve">Confidentiality or non-disclosure agreements</t>
  </si>
  <si>
    <t xml:space="preserve">Managed</t>
  </si>
  <si>
    <t xml:space="preserve">A.6.7</t>
  </si>
  <si>
    <t xml:space="preserve">Remote working</t>
  </si>
  <si>
    <t xml:space="preserve">Optimized</t>
  </si>
  <si>
    <t xml:space="preserve">A.6.8</t>
  </si>
  <si>
    <t xml:space="preserve">Information security event reporting</t>
  </si>
  <si>
    <t xml:space="preserve">A7</t>
  </si>
  <si>
    <t xml:space="preserve">Physical controls</t>
  </si>
  <si>
    <t xml:space="preserve">A.7.1</t>
  </si>
  <si>
    <t xml:space="preserve">Physical security perimeters</t>
  </si>
  <si>
    <t xml:space="preserve">A.7.2</t>
  </si>
  <si>
    <t xml:space="preserve">Physical entry</t>
  </si>
  <si>
    <t xml:space="preserve">A.7.3</t>
  </si>
  <si>
    <t xml:space="preserve">Securing offices, rooms and facilities</t>
  </si>
  <si>
    <t xml:space="preserve">A.7.4</t>
  </si>
  <si>
    <t xml:space="preserve">Physical security monitoring</t>
  </si>
  <si>
    <t xml:space="preserve">A.7.5</t>
  </si>
  <si>
    <t xml:space="preserve">Protecting against physical and environmental threats</t>
  </si>
  <si>
    <t xml:space="preserve">A.7.6</t>
  </si>
  <si>
    <t xml:space="preserve">Working in secure areas</t>
  </si>
  <si>
    <t xml:space="preserve">A.7.7</t>
  </si>
  <si>
    <t xml:space="preserve">Clear desk and clear screen</t>
  </si>
  <si>
    <t xml:space="preserve">A.7.8</t>
  </si>
  <si>
    <t xml:space="preserve">Equipment siting and protection</t>
  </si>
  <si>
    <t xml:space="preserve">A.7.9</t>
  </si>
  <si>
    <t xml:space="preserve">Security of assets off-premises</t>
  </si>
  <si>
    <t xml:space="preserve">A.7.10</t>
  </si>
  <si>
    <t xml:space="preserve">Storage media</t>
  </si>
  <si>
    <t xml:space="preserve">A.7.11</t>
  </si>
  <si>
    <t xml:space="preserve">Supporting utilities</t>
  </si>
  <si>
    <t xml:space="preserve">A.7.12</t>
  </si>
  <si>
    <t xml:space="preserve">Cabling security</t>
  </si>
  <si>
    <t xml:space="preserve">A.7.13</t>
  </si>
  <si>
    <t xml:space="preserve">Equipment maintenance</t>
  </si>
  <si>
    <t xml:space="preserve">A.7.14</t>
  </si>
  <si>
    <t xml:space="preserve">Secure disposal or re-use of equipment</t>
  </si>
  <si>
    <t xml:space="preserve">A8</t>
  </si>
  <si>
    <t xml:space="preserve">Technological controls</t>
  </si>
  <si>
    <t xml:space="preserve">A.8.1</t>
  </si>
  <si>
    <t xml:space="preserve">User end point devices</t>
  </si>
  <si>
    <t xml:space="preserve">A.8.2</t>
  </si>
  <si>
    <t xml:space="preserve">Privileged access rights</t>
  </si>
  <si>
    <t xml:space="preserve">A.8.3</t>
  </si>
  <si>
    <t xml:space="preserve">Information access restriction</t>
  </si>
  <si>
    <t xml:space="preserve">A.8.4</t>
  </si>
  <si>
    <t xml:space="preserve">Access to source code</t>
  </si>
  <si>
    <t xml:space="preserve">A.8.5</t>
  </si>
  <si>
    <t xml:space="preserve">Secure authentication</t>
  </si>
  <si>
    <t xml:space="preserve">A.8.6</t>
  </si>
  <si>
    <t xml:space="preserve">Capacity management</t>
  </si>
  <si>
    <t xml:space="preserve">A.8.7</t>
  </si>
  <si>
    <t xml:space="preserve">Protection against malware</t>
  </si>
  <si>
    <t xml:space="preserve">A.8.8</t>
  </si>
  <si>
    <t xml:space="preserve">Management of technical vulnerabilities</t>
  </si>
  <si>
    <t xml:space="preserve">A.8.9</t>
  </si>
  <si>
    <t xml:space="preserve">Configuration management</t>
  </si>
  <si>
    <t xml:space="preserve">A.8.10</t>
  </si>
  <si>
    <t xml:space="preserve">Information deletion</t>
  </si>
  <si>
    <t xml:space="preserve">A.8.11</t>
  </si>
  <si>
    <t xml:space="preserve">Data masking</t>
  </si>
  <si>
    <t xml:space="preserve">A.8.12</t>
  </si>
  <si>
    <t xml:space="preserve">Data leakage prevention</t>
  </si>
  <si>
    <t xml:space="preserve">A.8.13</t>
  </si>
  <si>
    <t xml:space="preserve">Information backup</t>
  </si>
  <si>
    <t xml:space="preserve">A.8.14</t>
  </si>
  <si>
    <t xml:space="preserve">Redundancy of information processing facilities</t>
  </si>
  <si>
    <t xml:space="preserve">A.8.15</t>
  </si>
  <si>
    <t xml:space="preserve">Logging</t>
  </si>
  <si>
    <t xml:space="preserve">A.8.16</t>
  </si>
  <si>
    <t xml:space="preserve">Monitoring activities</t>
  </si>
  <si>
    <t xml:space="preserve">A.8.17</t>
  </si>
  <si>
    <t xml:space="preserve">Clock synchronization</t>
  </si>
  <si>
    <t xml:space="preserve">A.8.18</t>
  </si>
  <si>
    <t xml:space="preserve">Use of privileged utility programs</t>
  </si>
  <si>
    <t xml:space="preserve">A.8.19</t>
  </si>
  <si>
    <t xml:space="preserve">Installation of software on operational systems</t>
  </si>
  <si>
    <t xml:space="preserve">A.8.20</t>
  </si>
  <si>
    <t xml:space="preserve">Networks security</t>
  </si>
  <si>
    <t xml:space="preserve">A.8.21</t>
  </si>
  <si>
    <t xml:space="preserve">Security of network services</t>
  </si>
  <si>
    <t xml:space="preserve">A.8.22</t>
  </si>
  <si>
    <t xml:space="preserve">Segregation of networks</t>
  </si>
  <si>
    <t xml:space="preserve">A.8.23</t>
  </si>
  <si>
    <t xml:space="preserve">Web filtering</t>
  </si>
  <si>
    <t xml:space="preserve">A.8.24</t>
  </si>
  <si>
    <t xml:space="preserve">Use of cryptography</t>
  </si>
  <si>
    <t xml:space="preserve">A.8.25</t>
  </si>
  <si>
    <t xml:space="preserve">Secure development life cycle</t>
  </si>
  <si>
    <t xml:space="preserve">A.8.26</t>
  </si>
  <si>
    <t xml:space="preserve">Application security requirements</t>
  </si>
  <si>
    <t xml:space="preserve">A.8.27</t>
  </si>
  <si>
    <t xml:space="preserve">Secure system architecture and engineering principles</t>
  </si>
  <si>
    <t xml:space="preserve">A.8.28</t>
  </si>
  <si>
    <t xml:space="preserve">Secure coding</t>
  </si>
  <si>
    <t xml:space="preserve">A.8.29</t>
  </si>
  <si>
    <t xml:space="preserve">Security testing in development and acceptance</t>
  </si>
  <si>
    <t xml:space="preserve">A.8.30</t>
  </si>
  <si>
    <t xml:space="preserve">Outsourced development</t>
  </si>
  <si>
    <t xml:space="preserve">A.8.31</t>
  </si>
  <si>
    <t xml:space="preserve">Separation of development, test and production environments</t>
  </si>
  <si>
    <t xml:space="preserve">A.8.32</t>
  </si>
  <si>
    <t xml:space="preserve">Change management</t>
  </si>
  <si>
    <t xml:space="preserve">A.8.33</t>
  </si>
  <si>
    <t xml:space="preserve">Test information</t>
  </si>
  <si>
    <t xml:space="preserve">A.8.34</t>
  </si>
  <si>
    <t xml:space="preserve">Protection of information systems during audit testing</t>
  </si>
  <si>
    <t xml:space="preserve">Number of controls</t>
  </si>
  <si>
    <t xml:space="preserve">Meaning</t>
  </si>
  <si>
    <t xml:space="preserve">Proportion of ISMS requirements</t>
  </si>
  <si>
    <t xml:space="preserve">Proportion of information security controls</t>
  </si>
  <si>
    <t xml:space="preserve">Has not even been checked yet</t>
  </si>
  <si>
    <r>
      <rPr>
        <sz val="9"/>
        <rFont val="Calibri"/>
        <family val="2"/>
        <charset val="1"/>
      </rPr>
      <t xml:space="preserve">Complete lack of recognizable policy, procedure, control </t>
    </r>
    <r>
      <rPr>
        <i val="true"/>
        <sz val="9"/>
        <rFont val="Calibri"/>
        <family val="2"/>
        <charset val="1"/>
      </rPr>
      <t xml:space="preserve">etc.</t>
    </r>
  </si>
  <si>
    <t xml:space="preserve">Development has barely started and will require significant work to fulfill the requirements</t>
  </si>
  <si>
    <t xml:space="preserve">Progressing nicely but not yet complete</t>
  </si>
  <si>
    <t xml:space="preserve">Development is more or less complete although detail is lacking and/or it is not yet implemented, enforced and actively supported by top management</t>
  </si>
  <si>
    <t xml:space="preserve">Development is complete, the process/control has been implemented and recently started operating</t>
  </si>
  <si>
    <t xml:space="preserve">The requirement is fully satisfied, is operating fully as expected, is being actively monitored and improved, and there is substantial evidence to prove all that to the auditors</t>
  </si>
  <si>
    <t xml:space="preserve">ALL requirements in the main body of ISO/IEC 27001 are mandatory IF your ISMS is to be certified.  Otherwise, managemnent can ignore them.</t>
  </si>
  <si>
    <t xml:space="preserve">Total</t>
  </si>
</sst>
</file>

<file path=xl/styles.xml><?xml version="1.0" encoding="utf-8"?>
<styleSheet xmlns="http://schemas.openxmlformats.org/spreadsheetml/2006/main">
  <numFmts count="3">
    <numFmt numFmtId="164" formatCode="General"/>
    <numFmt numFmtId="165" formatCode="General"/>
    <numFmt numFmtId="166" formatCode="0%"/>
  </numFmts>
  <fonts count="41">
    <font>
      <sz val="10"/>
      <name val="Arial"/>
      <family val="2"/>
      <charset val="1"/>
    </font>
    <font>
      <sz val="10"/>
      <name val="Arial"/>
      <family val="0"/>
    </font>
    <font>
      <sz val="10"/>
      <name val="Arial"/>
      <family val="0"/>
    </font>
    <font>
      <sz val="10"/>
      <name val="Arial"/>
      <family val="0"/>
    </font>
    <font>
      <sz val="12"/>
      <name val="Calibri"/>
      <family val="2"/>
      <charset val="1"/>
    </font>
    <font>
      <sz val="10"/>
      <name val="Calibri"/>
      <family val="2"/>
      <charset val="1"/>
    </font>
    <font>
      <b val="true"/>
      <sz val="24"/>
      <name val="Calibri"/>
      <family val="2"/>
      <charset val="1"/>
    </font>
    <font>
      <b val="true"/>
      <sz val="14"/>
      <name val="Calibri"/>
      <family val="2"/>
      <charset val="1"/>
    </font>
    <font>
      <i val="true"/>
      <sz val="12"/>
      <name val="Calibri"/>
      <family val="2"/>
      <charset val="1"/>
    </font>
    <font>
      <b val="true"/>
      <sz val="12"/>
      <name val="Calibri"/>
      <family val="2"/>
      <charset val="1"/>
    </font>
    <font>
      <u val="single"/>
      <sz val="14"/>
      <color rgb="FF0000FF"/>
      <name val="Calibri"/>
      <family val="2"/>
      <charset val="1"/>
    </font>
    <font>
      <u val="single"/>
      <sz val="10"/>
      <color rgb="FF0000FF"/>
      <name val="Arial"/>
      <family val="2"/>
      <charset val="1"/>
    </font>
    <font>
      <sz val="20"/>
      <name val="Calibri"/>
      <family val="2"/>
      <charset val="1"/>
    </font>
    <font>
      <b val="true"/>
      <sz val="14"/>
      <color theme="0"/>
      <name val="Calibri"/>
      <family val="2"/>
      <charset val="1"/>
    </font>
    <font>
      <b val="true"/>
      <sz val="16"/>
      <color theme="0"/>
      <name val="Calibri"/>
      <family val="2"/>
      <charset val="1"/>
    </font>
    <font>
      <b val="true"/>
      <sz val="18"/>
      <name val="Calibri"/>
      <family val="2"/>
      <charset val="1"/>
    </font>
    <font>
      <b val="true"/>
      <sz val="18"/>
      <color rgb="FF000000"/>
      <name val="Calibri"/>
      <family val="2"/>
      <charset val="1"/>
    </font>
    <font>
      <b val="true"/>
      <sz val="12"/>
      <color rgb="FF000000"/>
      <name val="Calibri"/>
      <family val="2"/>
      <charset val="1"/>
    </font>
    <font>
      <b val="true"/>
      <sz val="10"/>
      <name val="Calibri"/>
      <family val="2"/>
      <charset val="1"/>
    </font>
    <font>
      <i val="true"/>
      <sz val="10"/>
      <name val="Calibri"/>
      <family val="2"/>
      <charset val="1"/>
    </font>
    <font>
      <sz val="18"/>
      <name val="Calibri"/>
      <family val="2"/>
      <charset val="1"/>
    </font>
    <font>
      <b val="true"/>
      <sz val="12"/>
      <color rgb="FFFFFFFF"/>
      <name val="Arial"/>
      <family val="2"/>
      <charset val="1"/>
    </font>
    <font>
      <b val="true"/>
      <sz val="12"/>
      <color theme="0" tint="-0.15"/>
      <name val="Calibri"/>
      <family val="2"/>
      <charset val="1"/>
    </font>
    <font>
      <sz val="10"/>
      <color theme="0" tint="-0.15"/>
      <name val="Calibri"/>
      <family val="2"/>
      <charset val="1"/>
    </font>
    <font>
      <b val="true"/>
      <sz val="12"/>
      <color rgb="FFFFFFFF"/>
      <name val="Calibri"/>
      <family val="2"/>
      <charset val="1"/>
    </font>
    <font>
      <sz val="10"/>
      <name val="Arial"/>
      <family val="2"/>
    </font>
    <font>
      <sz val="9"/>
      <color rgb="FF000000"/>
      <name val="Tahoma"/>
      <family val="2"/>
      <charset val="1"/>
    </font>
    <font>
      <b val="true"/>
      <sz val="8"/>
      <name val="Calibri"/>
      <family val="2"/>
      <charset val="1"/>
    </font>
    <font>
      <b val="true"/>
      <sz val="12"/>
      <color theme="0"/>
      <name val="Calibri"/>
      <family val="2"/>
      <charset val="1"/>
    </font>
    <font>
      <sz val="12"/>
      <color rgb="FF000000"/>
      <name val="Calibri"/>
      <family val="2"/>
      <charset val="1"/>
    </font>
    <font>
      <sz val="12"/>
      <color theme="0" tint="-0.15"/>
      <name val="Calibri"/>
      <family val="2"/>
      <charset val="1"/>
    </font>
    <font>
      <b val="true"/>
      <sz val="14"/>
      <color rgb="FF000000"/>
      <name val="Tahoma"/>
      <family val="2"/>
      <charset val="1"/>
    </font>
    <font>
      <sz val="14"/>
      <name val="Calibri"/>
      <family val="2"/>
      <charset val="1"/>
    </font>
    <font>
      <b val="true"/>
      <sz val="10"/>
      <color theme="0"/>
      <name val="Calibri"/>
      <family val="2"/>
      <charset val="1"/>
    </font>
    <font>
      <b val="true"/>
      <sz val="9"/>
      <color theme="0"/>
      <name val="Calibri"/>
      <family val="2"/>
      <charset val="1"/>
    </font>
    <font>
      <sz val="9"/>
      <name val="Calibri"/>
      <family val="2"/>
      <charset val="1"/>
    </font>
    <font>
      <b val="true"/>
      <sz val="16"/>
      <name val="Calibri"/>
      <family val="2"/>
      <charset val="1"/>
    </font>
    <font>
      <i val="true"/>
      <sz val="9"/>
      <name val="Calibri"/>
      <family val="2"/>
      <charset val="1"/>
    </font>
    <font>
      <sz val="16"/>
      <name val="Calibri"/>
      <family val="2"/>
      <charset val="1"/>
    </font>
    <font>
      <b val="true"/>
      <sz val="28"/>
      <name val="Arial"/>
      <family val="2"/>
    </font>
    <font>
      <sz val="14"/>
      <color rgb="FF000000"/>
      <name val="Calibri"/>
      <family val="2"/>
    </font>
  </fonts>
  <fills count="7">
    <fill>
      <patternFill patternType="none"/>
    </fill>
    <fill>
      <patternFill patternType="gray125"/>
    </fill>
    <fill>
      <patternFill patternType="solid">
        <fgColor rgb="FFA0FFA0"/>
        <bgColor rgb="FFCCFFFF"/>
      </patternFill>
    </fill>
    <fill>
      <patternFill patternType="solid">
        <fgColor rgb="FFCC9900"/>
        <bgColor rgb="FFFFC000"/>
      </patternFill>
    </fill>
    <fill>
      <patternFill patternType="solid">
        <fgColor rgb="FF002060"/>
        <bgColor rgb="FF000080"/>
      </patternFill>
    </fill>
    <fill>
      <patternFill patternType="solid">
        <fgColor rgb="FFCCFFFF"/>
        <bgColor rgb="FFDCE6F2"/>
      </patternFill>
    </fill>
    <fill>
      <patternFill patternType="solid">
        <fgColor theme="4" tint="0.7999"/>
        <bgColor rgb="FFD9D9D9"/>
      </patternFill>
    </fill>
  </fills>
  <borders count="21">
    <border diagonalUp="false" diagonalDown="false">
      <left/>
      <right/>
      <top/>
      <bottom/>
      <diagonal/>
    </border>
    <border diagonalUp="false" diagonalDown="false">
      <left style="hair"/>
      <right style="hair"/>
      <top style="hair"/>
      <bottom/>
      <diagonal/>
    </border>
    <border diagonalUp="false" diagonalDown="false">
      <left style="medium"/>
      <right style="hair"/>
      <top style="medium"/>
      <bottom style="hair"/>
      <diagonal/>
    </border>
    <border diagonalUp="false" diagonalDown="false">
      <left style="hair"/>
      <right style="hair"/>
      <top style="medium"/>
      <bottom style="hair"/>
      <diagonal/>
    </border>
    <border diagonalUp="false" diagonalDown="false">
      <left style="hair"/>
      <right style="medium"/>
      <top style="medium"/>
      <bottom style="hair"/>
      <diagonal/>
    </border>
    <border diagonalUp="false" diagonalDown="false">
      <left style="medium"/>
      <right style="hair"/>
      <top style="hair"/>
      <bottom style="hair"/>
      <diagonal/>
    </border>
    <border diagonalUp="false" diagonalDown="false">
      <left style="hair"/>
      <right style="hair"/>
      <top style="hair"/>
      <bottom style="hair"/>
      <diagonal/>
    </border>
    <border diagonalUp="false" diagonalDown="false">
      <left style="hair"/>
      <right style="medium"/>
      <top style="hair"/>
      <bottom style="hair"/>
      <diagonal/>
    </border>
    <border diagonalUp="false" diagonalDown="false">
      <left style="medium"/>
      <right style="hair"/>
      <top style="hair"/>
      <bottom style="medium"/>
      <diagonal/>
    </border>
    <border diagonalUp="false" diagonalDown="false">
      <left style="hair"/>
      <right style="hair"/>
      <top style="hair"/>
      <bottom style="medium"/>
      <diagonal/>
    </border>
    <border diagonalUp="false" diagonalDown="false">
      <left style="hair"/>
      <right style="medium"/>
      <top style="hair"/>
      <bottom style="medium"/>
      <diagonal/>
    </border>
    <border diagonalUp="false" diagonalDown="false">
      <left style="hair"/>
      <right/>
      <top style="hair"/>
      <bottom style="hair"/>
      <diagonal/>
    </border>
    <border diagonalUp="false" diagonalDown="false">
      <left style="hair"/>
      <right/>
      <top/>
      <bottom/>
      <diagonal/>
    </border>
    <border diagonalUp="false" diagonalDown="false">
      <left style="hair"/>
      <right/>
      <top/>
      <bottom style="hair"/>
      <diagonal/>
    </border>
    <border diagonalUp="false" diagonalDown="false">
      <left/>
      <right/>
      <top/>
      <bottom style="hair"/>
      <diagonal/>
    </border>
    <border diagonalUp="false" diagonalDown="false">
      <left style="medium"/>
      <right style="hair"/>
      <top style="medium"/>
      <bottom/>
      <diagonal/>
    </border>
    <border diagonalUp="false" diagonalDown="false">
      <left style="hair"/>
      <right style="hair"/>
      <top style="medium"/>
      <bottom/>
      <diagonal/>
    </border>
    <border diagonalUp="false" diagonalDown="false">
      <left style="hair"/>
      <right style="medium"/>
      <top style="medium"/>
      <bottom/>
      <diagonal/>
    </border>
    <border diagonalUp="false" diagonalDown="false">
      <left style="hair"/>
      <right style="thin"/>
      <top style="medium"/>
      <bottom style="hair"/>
      <diagonal/>
    </border>
    <border diagonalUp="false" diagonalDown="false">
      <left style="hair"/>
      <right style="thin"/>
      <top style="hair"/>
      <bottom style="hair"/>
      <diagonal/>
    </border>
    <border diagonalUp="false" diagonalDown="false">
      <left style="hair"/>
      <right style="thin"/>
      <top style="hair"/>
      <bottom style="mediu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1" fillId="0" borderId="0" applyFont="true" applyBorder="true" applyAlignment="true" applyProtection="true">
      <alignment horizontal="general" vertical="bottom" textRotation="0" wrapText="false" indent="0" shrinkToFit="false"/>
      <protection locked="true" hidden="false"/>
    </xf>
    <xf numFmtId="164" fontId="0" fillId="2"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center" vertical="center" textRotation="0" wrapText="false" indent="0" shrinkToFit="tru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21" fillId="3" borderId="0" applyFont="true" applyBorder="false" applyAlignment="true" applyProtection="false">
      <alignment horizontal="center" vertical="center" textRotation="0" wrapText="false" indent="0" shrinkToFit="false"/>
    </xf>
  </cellStyleXfs>
  <cellXfs count="9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3" applyFont="true" applyBorder="false" applyAlignment="true" applyProtection="false">
      <alignment horizontal="general" vertical="bottom" textRotation="0" wrapText="true" indent="0" shrinkToFit="false"/>
      <protection locked="true" hidden="false"/>
    </xf>
    <xf numFmtId="164" fontId="5" fillId="0" borderId="0" xfId="23" applyFont="true" applyBorder="false" applyAlignment="true" applyProtection="false">
      <alignment horizontal="center" vertical="bottom" textRotation="0" wrapText="true" indent="0" shrinkToFit="false"/>
      <protection locked="true" hidden="false"/>
    </xf>
    <xf numFmtId="164" fontId="6" fillId="0" borderId="0" xfId="23" applyFont="true" applyBorder="false" applyAlignment="true" applyProtection="false">
      <alignment horizontal="center" vertical="center" textRotation="0" wrapText="true" indent="0" shrinkToFit="false"/>
      <protection locked="true" hidden="false"/>
    </xf>
    <xf numFmtId="164" fontId="7" fillId="0" borderId="0" xfId="23" applyFont="true" applyBorder="false" applyAlignment="true" applyProtection="false">
      <alignment horizontal="general" vertical="bottom" textRotation="0" wrapText="true" indent="0" shrinkToFit="false"/>
      <protection locked="true" hidden="false"/>
    </xf>
    <xf numFmtId="164" fontId="4" fillId="0" borderId="0" xfId="23" applyFont="true" applyBorder="false" applyAlignment="true" applyProtection="false">
      <alignment horizontal="general" vertical="bottom" textRotation="0" wrapText="true" indent="0" shrinkToFit="false"/>
      <protection locked="true" hidden="false"/>
    </xf>
    <xf numFmtId="164" fontId="9" fillId="0" borderId="0" xfId="23" applyFont="true" applyBorder="false" applyAlignment="true" applyProtection="false">
      <alignment horizontal="general" vertical="bottom" textRotation="0" wrapText="true" indent="0" shrinkToFit="false"/>
      <protection locked="true" hidden="false"/>
    </xf>
    <xf numFmtId="164" fontId="10" fillId="0" borderId="0" xfId="20" applyFont="true" applyBorder="false" applyAlignment="true" applyProtection="false">
      <alignment horizontal="center" vertical="bottom" textRotation="0" wrapText="true" indent="0" shrinkToFit="false"/>
      <protection locked="true" hidden="false"/>
    </xf>
    <xf numFmtId="164" fontId="5" fillId="0" borderId="0" xfId="23" applyFont="true" applyBorder="false" applyAlignment="true" applyProtection="true">
      <alignment horizontal="general" vertical="bottom" textRotation="0" wrapText="true" indent="0" shrinkToFit="false"/>
      <protection locked="false" hidden="false"/>
    </xf>
    <xf numFmtId="164" fontId="4" fillId="0" borderId="0" xfId="23" applyFont="true" applyBorder="false" applyAlignment="true" applyProtection="true">
      <alignment horizontal="center" vertical="bottom" textRotation="0" wrapText="true" indent="0" shrinkToFit="false"/>
      <protection locked="false" hidden="false"/>
    </xf>
    <xf numFmtId="164" fontId="12" fillId="0" borderId="0" xfId="23" applyFont="true" applyBorder="false" applyAlignment="true" applyProtection="true">
      <alignment horizontal="general" vertical="center" textRotation="0" wrapText="true" indent="0" shrinkToFit="false"/>
      <protection locked="false" hidden="false"/>
    </xf>
    <xf numFmtId="164" fontId="6" fillId="0" borderId="1" xfId="23" applyFont="true" applyBorder="true" applyAlignment="true" applyProtection="true">
      <alignment horizontal="center" vertical="center" textRotation="0" wrapText="true" indent="0" shrinkToFit="false"/>
      <protection locked="false" hidden="false"/>
    </xf>
    <xf numFmtId="164" fontId="13" fillId="4" borderId="2" xfId="23" applyFont="true" applyBorder="true" applyAlignment="true" applyProtection="true">
      <alignment horizontal="center" vertical="bottom" textRotation="0" wrapText="true" indent="0" shrinkToFit="false"/>
      <protection locked="false" hidden="false"/>
    </xf>
    <xf numFmtId="164" fontId="14" fillId="4" borderId="3" xfId="23" applyFont="true" applyBorder="true" applyAlignment="true" applyProtection="true">
      <alignment horizontal="center" vertical="bottom" textRotation="0" wrapText="true" indent="0" shrinkToFit="false"/>
      <protection locked="false" hidden="false"/>
    </xf>
    <xf numFmtId="164" fontId="14" fillId="4" borderId="4" xfId="23" applyFont="true" applyBorder="true" applyAlignment="true" applyProtection="true">
      <alignment horizontal="center" vertical="bottom" textRotation="0" wrapText="true" indent="0" shrinkToFit="false"/>
      <protection locked="false" hidden="false"/>
    </xf>
    <xf numFmtId="164" fontId="15" fillId="0" borderId="0" xfId="23" applyFont="true" applyBorder="false" applyAlignment="true" applyProtection="true">
      <alignment horizontal="general" vertical="bottom" textRotation="0" wrapText="true" indent="0" shrinkToFit="false"/>
      <protection locked="false" hidden="false"/>
    </xf>
    <xf numFmtId="164" fontId="16" fillId="5" borderId="5" xfId="23" applyFont="true" applyBorder="true" applyAlignment="true" applyProtection="true">
      <alignment horizontal="center" vertical="bottom" textRotation="0" wrapText="true" indent="0" shrinkToFit="false"/>
      <protection locked="false" hidden="false"/>
    </xf>
    <xf numFmtId="164" fontId="16" fillId="5" borderId="6" xfId="23" applyFont="true" applyBorder="true" applyAlignment="true" applyProtection="true">
      <alignment horizontal="general" vertical="bottom" textRotation="0" wrapText="true" indent="0" shrinkToFit="false"/>
      <protection locked="false" hidden="false"/>
    </xf>
    <xf numFmtId="164" fontId="16" fillId="5" borderId="7" xfId="23" applyFont="true" applyBorder="true" applyAlignment="true" applyProtection="true">
      <alignment horizontal="general" vertical="bottom" textRotation="0" wrapText="true" indent="0" shrinkToFit="false"/>
      <protection locked="false" hidden="false"/>
    </xf>
    <xf numFmtId="164" fontId="4" fillId="0" borderId="0" xfId="23" applyFont="true" applyBorder="false" applyAlignment="true" applyProtection="true">
      <alignment horizontal="general" vertical="bottom" textRotation="0" wrapText="true" indent="0" shrinkToFit="false"/>
      <protection locked="false" hidden="false"/>
    </xf>
    <xf numFmtId="164" fontId="17" fillId="6" borderId="5" xfId="23" applyFont="true" applyBorder="true" applyAlignment="true" applyProtection="true">
      <alignment horizontal="center" vertical="bottom" textRotation="0" wrapText="true" indent="0" shrinkToFit="false"/>
      <protection locked="false" hidden="false"/>
    </xf>
    <xf numFmtId="164" fontId="17" fillId="6" borderId="6" xfId="23" applyFont="true" applyBorder="true" applyAlignment="true" applyProtection="true">
      <alignment horizontal="center" vertical="bottom" textRotation="0" wrapText="true" indent="0" shrinkToFit="false"/>
      <protection locked="false" hidden="false"/>
    </xf>
    <xf numFmtId="164" fontId="17" fillId="6" borderId="6" xfId="23" applyFont="true" applyBorder="true" applyAlignment="true" applyProtection="true">
      <alignment horizontal="left" vertical="bottom" textRotation="0" wrapText="true" indent="0" shrinkToFit="false"/>
      <protection locked="false" hidden="false"/>
    </xf>
    <xf numFmtId="164" fontId="17" fillId="6" borderId="7" xfId="23" applyFont="true" applyBorder="true" applyAlignment="true" applyProtection="true">
      <alignment horizontal="left" vertical="bottom" textRotation="0" wrapText="true" indent="0" shrinkToFit="false"/>
      <protection locked="false" hidden="false"/>
    </xf>
    <xf numFmtId="164" fontId="4" fillId="0" borderId="0" xfId="0" applyFont="true" applyBorder="false" applyAlignment="true" applyProtection="true">
      <alignment horizontal="general" vertical="bottom" textRotation="0" wrapText="true" indent="0" shrinkToFit="false"/>
      <protection locked="false" hidden="false"/>
    </xf>
    <xf numFmtId="164" fontId="5" fillId="0" borderId="0" xfId="23" applyFont="true" applyBorder="false" applyAlignment="true" applyProtection="true">
      <alignment horizontal="general" vertical="center" textRotation="0" wrapText="true" indent="0" shrinkToFit="false"/>
      <protection locked="false" hidden="false"/>
    </xf>
    <xf numFmtId="164" fontId="5" fillId="0" borderId="5" xfId="23" applyFont="true" applyBorder="true" applyAlignment="true" applyProtection="true">
      <alignment horizontal="center" vertical="center" textRotation="0" wrapText="true" indent="0" shrinkToFit="false"/>
      <protection locked="false" hidden="false"/>
    </xf>
    <xf numFmtId="164" fontId="5" fillId="0" borderId="6" xfId="23" applyFont="true" applyBorder="true" applyAlignment="true" applyProtection="true">
      <alignment horizontal="right" vertical="center" textRotation="0" wrapText="true" indent="0" shrinkToFit="false"/>
      <protection locked="false" hidden="false"/>
    </xf>
    <xf numFmtId="164" fontId="4" fillId="0" borderId="6" xfId="23" applyFont="true" applyBorder="true" applyAlignment="true" applyProtection="false">
      <alignment horizontal="center" vertical="center" textRotation="0" wrapText="false" indent="0" shrinkToFit="true"/>
      <protection locked="true" hidden="false"/>
    </xf>
    <xf numFmtId="164" fontId="5" fillId="0" borderId="7" xfId="23" applyFont="true" applyBorder="true" applyAlignment="true" applyProtection="true">
      <alignment horizontal="general" vertical="center" textRotation="0" wrapText="true" indent="0" shrinkToFit="false"/>
      <protection locked="false" hidden="false"/>
    </xf>
    <xf numFmtId="164" fontId="17" fillId="6" borderId="6" xfId="23" applyFont="true" applyBorder="true" applyAlignment="true" applyProtection="true">
      <alignment horizontal="left" vertical="bottom" textRotation="0" wrapText="false" indent="0" shrinkToFit="true"/>
      <protection locked="false" hidden="false"/>
    </xf>
    <xf numFmtId="164" fontId="16" fillId="5" borderId="6" xfId="23" applyFont="true" applyBorder="true" applyAlignment="true" applyProtection="true">
      <alignment horizontal="left" vertical="bottom" textRotation="0" wrapText="true" indent="0" shrinkToFit="false"/>
      <protection locked="false" hidden="false"/>
    </xf>
    <xf numFmtId="164" fontId="16" fillId="5" borderId="6" xfId="23" applyFont="true" applyBorder="true" applyAlignment="true" applyProtection="true">
      <alignment horizontal="center" vertical="bottom" textRotation="0" wrapText="false" indent="0" shrinkToFit="true"/>
      <protection locked="false" hidden="false"/>
    </xf>
    <xf numFmtId="164" fontId="16" fillId="5" borderId="7" xfId="23" applyFont="true" applyBorder="true" applyAlignment="true" applyProtection="true">
      <alignment horizontal="center" vertical="bottom" textRotation="0" wrapText="true" indent="0" shrinkToFit="false"/>
      <protection locked="false" hidden="false"/>
    </xf>
    <xf numFmtId="164" fontId="20" fillId="0" borderId="0" xfId="23" applyFont="true" applyBorder="false" applyAlignment="true" applyProtection="true">
      <alignment horizontal="general" vertical="bottom" textRotation="0" wrapText="true" indent="0" shrinkToFit="false"/>
      <protection locked="false" hidden="false"/>
    </xf>
    <xf numFmtId="164" fontId="20" fillId="0" borderId="0" xfId="0" applyFont="true" applyBorder="false" applyAlignment="true" applyProtection="true">
      <alignment horizontal="general" vertical="bottom" textRotation="0" wrapText="true" indent="0" shrinkToFit="false"/>
      <protection locked="false" hidden="false"/>
    </xf>
    <xf numFmtId="164" fontId="18" fillId="0" borderId="6" xfId="23" applyFont="true" applyBorder="true" applyAlignment="true" applyProtection="true">
      <alignment horizontal="right" vertical="center" textRotation="0" wrapText="true" indent="0" shrinkToFit="false"/>
      <protection locked="false" hidden="false"/>
    </xf>
    <xf numFmtId="164" fontId="5" fillId="0" borderId="8" xfId="23" applyFont="true" applyBorder="true" applyAlignment="true" applyProtection="true">
      <alignment horizontal="center" vertical="center" textRotation="0" wrapText="true" indent="0" shrinkToFit="false"/>
      <protection locked="false" hidden="false"/>
    </xf>
    <xf numFmtId="164" fontId="5" fillId="0" borderId="9" xfId="23" applyFont="true" applyBorder="true" applyAlignment="true" applyProtection="true">
      <alignment horizontal="right" vertical="center" textRotation="0" wrapText="true" indent="0" shrinkToFit="false"/>
      <protection locked="false" hidden="false"/>
    </xf>
    <xf numFmtId="164" fontId="5" fillId="0" borderId="10" xfId="23" applyFont="true" applyBorder="true" applyAlignment="true" applyProtection="true">
      <alignment horizontal="general" vertical="center" textRotation="0" wrapText="true" indent="0" shrinkToFit="false"/>
      <protection locked="false" hidden="false"/>
    </xf>
    <xf numFmtId="165" fontId="22" fillId="0" borderId="0" xfId="24" applyFont="true" applyBorder="true" applyAlignment="true" applyProtection="true">
      <alignment horizontal="center" vertical="center" textRotation="0" wrapText="false" indent="0" shrinkToFit="false"/>
      <protection locked="false" hidden="false"/>
    </xf>
    <xf numFmtId="164" fontId="23" fillId="0" borderId="0" xfId="23" applyFont="true" applyBorder="false" applyAlignment="true" applyProtection="true">
      <alignment horizontal="general" vertical="bottom" textRotation="0" wrapText="true" indent="0" shrinkToFit="false"/>
      <protection locked="false" hidden="false"/>
    </xf>
    <xf numFmtId="164" fontId="24" fillId="0" borderId="0" xfId="24" applyFont="true" applyBorder="true" applyAlignment="true" applyProtection="true">
      <alignment horizontal="center" vertical="center" textRotation="0" wrapText="false" indent="0" shrinkToFit="false"/>
      <protection locked="false" hidden="false"/>
    </xf>
    <xf numFmtId="164" fontId="5" fillId="0" borderId="11" xfId="23" applyFont="true" applyBorder="true" applyAlignment="true" applyProtection="true">
      <alignment horizontal="general" vertical="bottom" textRotation="0" wrapText="true" indent="0" shrinkToFit="false"/>
      <protection locked="false" hidden="false"/>
    </xf>
    <xf numFmtId="164" fontId="4" fillId="0" borderId="0" xfId="23" applyFont="true" applyBorder="false" applyAlignment="true" applyProtection="false">
      <alignment horizontal="center" vertical="bottom" textRotation="0" wrapText="true" indent="0" shrinkToFit="false"/>
      <protection locked="true" hidden="false"/>
    </xf>
    <xf numFmtId="165" fontId="5" fillId="0" borderId="12" xfId="23" applyFont="true" applyBorder="true" applyAlignment="true" applyProtection="false">
      <alignment horizontal="center" vertical="top" textRotation="0" wrapText="false" indent="0" shrinkToFit="false"/>
      <protection locked="true" hidden="false"/>
    </xf>
    <xf numFmtId="166" fontId="18" fillId="0" borderId="0" xfId="23" applyFont="true" applyBorder="false" applyAlignment="true" applyProtection="false">
      <alignment horizontal="center" vertical="top" textRotation="0" wrapText="true" indent="0" shrinkToFit="false"/>
      <protection locked="true" hidden="false"/>
    </xf>
    <xf numFmtId="165" fontId="18" fillId="0" borderId="13" xfId="23" applyFont="true" applyBorder="true" applyAlignment="true" applyProtection="false">
      <alignment horizontal="center" vertical="top" textRotation="0" wrapText="false" indent="0" shrinkToFit="false"/>
      <protection locked="true" hidden="false"/>
    </xf>
    <xf numFmtId="164" fontId="4" fillId="0" borderId="14" xfId="23" applyFont="true" applyBorder="true" applyAlignment="true" applyProtection="true">
      <alignment horizontal="center" vertical="bottom" textRotation="0" wrapText="true" indent="0" shrinkToFit="false"/>
      <protection locked="false" hidden="false"/>
    </xf>
    <xf numFmtId="164" fontId="5" fillId="0" borderId="14" xfId="23" applyFont="true" applyBorder="true" applyAlignment="true" applyProtection="true">
      <alignment horizontal="general" vertical="bottom" textRotation="0" wrapText="true" indent="0" shrinkToFit="false"/>
      <protection locked="fals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23" applyFont="true" applyBorder="false" applyAlignment="true" applyProtection="false">
      <alignment horizontal="center" vertical="center" textRotation="0" wrapText="false" indent="0" shrinkToFit="false"/>
      <protection locked="true" hidden="false"/>
    </xf>
    <xf numFmtId="164" fontId="5" fillId="0" borderId="0" xfId="23" applyFont="true" applyBorder="false" applyAlignment="true" applyProtection="false">
      <alignment horizontal="center" vertical="center" textRotation="0" wrapText="false" indent="0" shrinkToFit="true"/>
      <protection locked="true" hidden="false"/>
    </xf>
    <xf numFmtId="164" fontId="27" fillId="0" borderId="0" xfId="23" applyFont="true" applyBorder="false" applyAlignment="true" applyProtection="false">
      <alignment horizontal="center" vertical="center" textRotation="0" wrapText="true" indent="0" shrinkToFit="false"/>
      <protection locked="true" hidden="false"/>
    </xf>
    <xf numFmtId="164" fontId="5" fillId="0" borderId="0" xfId="23"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6" xfId="23" applyFont="true" applyBorder="true" applyAlignment="true" applyProtection="false">
      <alignment horizontal="center" vertical="center" textRotation="0" wrapText="false" indent="0" shrinkToFit="false"/>
      <protection locked="true" hidden="false"/>
    </xf>
    <xf numFmtId="164" fontId="6" fillId="0" borderId="9" xfId="23" applyFont="true" applyBorder="true" applyAlignment="true" applyProtection="false">
      <alignment horizontal="center" vertical="center" textRotation="0" wrapText="false" indent="0" shrinkToFit="false"/>
      <protection locked="true" hidden="false"/>
    </xf>
    <xf numFmtId="164" fontId="12" fillId="0" borderId="0" xfId="23" applyFont="true" applyBorder="false" applyAlignment="true" applyProtection="false">
      <alignment horizontal="general" vertical="center" textRotation="0" wrapText="false" indent="0" shrinkToFit="false"/>
      <protection locked="true" hidden="false"/>
    </xf>
    <xf numFmtId="164" fontId="28" fillId="4" borderId="2" xfId="23" applyFont="true" applyBorder="true" applyAlignment="true" applyProtection="true">
      <alignment horizontal="center" vertical="bottom" textRotation="0" wrapText="true" indent="0" shrinkToFit="false"/>
      <protection locked="false" hidden="false"/>
    </xf>
    <xf numFmtId="164" fontId="14" fillId="4" borderId="3" xfId="23" applyFont="true" applyBorder="true" applyAlignment="true" applyProtection="true">
      <alignment horizontal="center" vertical="bottom" textRotation="0" wrapText="false" indent="0" shrinkToFit="true"/>
      <protection locked="false" hidden="false"/>
    </xf>
    <xf numFmtId="164" fontId="16" fillId="5" borderId="7" xfId="23" applyFont="true" applyBorder="true" applyAlignment="true" applyProtection="true">
      <alignment horizontal="left" vertical="bottom" textRotation="0" wrapText="false" indent="0" shrinkToFit="true"/>
      <protection locked="false" hidden="false"/>
    </xf>
    <xf numFmtId="164" fontId="4" fillId="0" borderId="5" xfId="23" applyFont="true" applyBorder="true" applyAlignment="true" applyProtection="true">
      <alignment horizontal="center" vertical="center" textRotation="0" wrapText="true" indent="0" shrinkToFit="false"/>
      <protection locked="false" hidden="false"/>
    </xf>
    <xf numFmtId="164" fontId="4" fillId="0" borderId="6" xfId="23" applyFont="true" applyBorder="true" applyAlignment="true" applyProtection="true">
      <alignment horizontal="right" vertical="center" textRotation="0" wrapText="false" indent="0" shrinkToFit="true"/>
      <protection locked="false" hidden="false"/>
    </xf>
    <xf numFmtId="164" fontId="4" fillId="0" borderId="7" xfId="23" applyFont="true" applyBorder="true" applyAlignment="true" applyProtection="true">
      <alignment horizontal="general" vertical="center" textRotation="0" wrapText="true" indent="0" shrinkToFit="false"/>
      <protection locked="false" hidden="false"/>
    </xf>
    <xf numFmtId="164" fontId="4" fillId="0" borderId="6" xfId="23" applyFont="true" applyBorder="true" applyAlignment="true" applyProtection="true">
      <alignment horizontal="right" vertical="center" textRotation="0" wrapText="true" indent="0" shrinkToFit="true"/>
      <protection locked="false" hidden="false"/>
    </xf>
    <xf numFmtId="164" fontId="4" fillId="0" borderId="0" xfId="23" applyFont="true" applyBorder="false" applyAlignment="true" applyProtection="true">
      <alignment horizontal="general" vertical="center" textRotation="0" wrapText="true" indent="0" shrinkToFit="false"/>
      <protection locked="false" hidden="false"/>
    </xf>
    <xf numFmtId="164" fontId="9" fillId="0" borderId="6" xfId="23" applyFont="true" applyBorder="true" applyAlignment="true" applyProtection="false">
      <alignment horizontal="center" vertical="center" textRotation="0" wrapText="true" indent="0" shrinkToFit="false"/>
      <protection locked="true" hidden="false"/>
    </xf>
    <xf numFmtId="164" fontId="9" fillId="0" borderId="0" xfId="23" applyFont="true" applyBorder="false" applyAlignment="true" applyProtection="false">
      <alignment horizontal="center" vertical="center" textRotation="0" wrapText="true" indent="0" shrinkToFit="false"/>
      <protection locked="true" hidden="false"/>
    </xf>
    <xf numFmtId="164" fontId="29" fillId="0" borderId="0" xfId="23" applyFont="true" applyBorder="false" applyAlignment="true" applyProtection="false">
      <alignment horizontal="center" vertical="center" textRotation="0" wrapText="false" indent="0" shrinkToFit="true"/>
      <protection locked="true" hidden="false"/>
    </xf>
    <xf numFmtId="164" fontId="30" fillId="0" borderId="0" xfId="23" applyFont="true" applyBorder="false" applyAlignment="true" applyProtection="true">
      <alignment horizontal="general" vertical="bottom" textRotation="0" wrapText="true" indent="0" shrinkToFit="false"/>
      <protection locked="false" hidden="false"/>
    </xf>
    <xf numFmtId="164" fontId="4" fillId="0" borderId="0" xfId="23" applyFont="true" applyBorder="false" applyAlignment="true" applyProtection="false">
      <alignment horizontal="general" vertical="center" textRotation="0" wrapText="false" indent="0" shrinkToFit="false"/>
      <protection locked="true" hidden="false"/>
    </xf>
    <xf numFmtId="164" fontId="4" fillId="0" borderId="0" xfId="23" applyFont="true" applyBorder="false" applyAlignment="true" applyProtection="false">
      <alignment horizontal="center" vertical="center" textRotation="0" wrapText="false" indent="0" shrinkToFit="false"/>
      <protection locked="true" hidden="false"/>
    </xf>
    <xf numFmtId="164" fontId="4" fillId="0" borderId="0" xfId="23" applyFont="true" applyBorder="false" applyAlignment="true" applyProtection="false">
      <alignment horizontal="center" vertical="center" textRotation="0" wrapText="false" indent="0" shrinkToFit="tru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13" fillId="4" borderId="15" xfId="23" applyFont="true" applyBorder="true" applyAlignment="true" applyProtection="false">
      <alignment horizontal="center" vertical="bottom" textRotation="0" wrapText="true" indent="0" shrinkToFit="false"/>
      <protection locked="true" hidden="false"/>
    </xf>
    <xf numFmtId="164" fontId="13" fillId="4" borderId="16" xfId="23" applyFont="true" applyBorder="true" applyAlignment="true" applyProtection="false">
      <alignment horizontal="center" vertical="bottom" textRotation="0" wrapText="true" indent="0" shrinkToFit="false"/>
      <protection locked="true" hidden="false"/>
    </xf>
    <xf numFmtId="164" fontId="33" fillId="4" borderId="16" xfId="23" applyFont="true" applyBorder="true" applyAlignment="true" applyProtection="false">
      <alignment horizontal="center" vertical="bottom" textRotation="0" wrapText="true" indent="0" shrinkToFit="true"/>
      <protection locked="true" hidden="false"/>
    </xf>
    <xf numFmtId="164" fontId="34" fillId="4" borderId="17" xfId="23" applyFont="true" applyBorder="true" applyAlignment="true" applyProtection="false">
      <alignment horizontal="center" vertical="bottom" textRotation="0" wrapText="true" indent="0" shrinkToFit="tru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15" fillId="0" borderId="2" xfId="23" applyFont="true" applyBorder="true" applyAlignment="true" applyProtection="false">
      <alignment horizontal="center" vertical="center" textRotation="0" wrapText="false" indent="0" shrinkToFit="true"/>
      <protection locked="true" hidden="false"/>
    </xf>
    <xf numFmtId="164" fontId="35" fillId="0" borderId="3" xfId="23" applyFont="true" applyBorder="true" applyAlignment="true" applyProtection="false">
      <alignment horizontal="center" vertical="center" textRotation="0" wrapText="true" indent="0" shrinkToFit="false"/>
      <protection locked="true" hidden="false"/>
    </xf>
    <xf numFmtId="166" fontId="36" fillId="0" borderId="18" xfId="23" applyFont="true" applyBorder="true" applyAlignment="true" applyProtection="false">
      <alignment horizontal="center" vertical="center" textRotation="0" wrapText="true" indent="0" shrinkToFit="false"/>
      <protection locked="true" hidden="false"/>
    </xf>
    <xf numFmtId="166" fontId="36" fillId="0" borderId="4" xfId="23" applyFont="true" applyBorder="true" applyAlignment="true" applyProtection="false">
      <alignment horizontal="center" vertical="center" textRotation="0" wrapText="true" indent="0" shrinkToFit="false"/>
      <protection locked="true" hidden="false"/>
    </xf>
    <xf numFmtId="164" fontId="15" fillId="0" borderId="5" xfId="23" applyFont="true" applyBorder="true" applyAlignment="true" applyProtection="false">
      <alignment horizontal="center" vertical="center" textRotation="0" wrapText="false" indent="0" shrinkToFit="true"/>
      <protection locked="true" hidden="false"/>
    </xf>
    <xf numFmtId="164" fontId="35" fillId="0" borderId="6" xfId="23" applyFont="true" applyBorder="true" applyAlignment="true" applyProtection="false">
      <alignment horizontal="center" vertical="center" textRotation="0" wrapText="true" indent="0" shrinkToFit="false"/>
      <protection locked="true" hidden="false"/>
    </xf>
    <xf numFmtId="166" fontId="36" fillId="0" borderId="19" xfId="23" applyFont="true" applyBorder="true" applyAlignment="true" applyProtection="false">
      <alignment horizontal="center" vertical="center" textRotation="0" wrapText="true" indent="0" shrinkToFit="false"/>
      <protection locked="true" hidden="false"/>
    </xf>
    <xf numFmtId="166" fontId="36" fillId="0" borderId="7" xfId="23" applyFont="true" applyBorder="true" applyAlignment="true" applyProtection="false">
      <alignment horizontal="center" vertical="center" textRotation="0" wrapText="true" indent="0" shrinkToFit="false"/>
      <protection locked="true" hidden="false"/>
    </xf>
    <xf numFmtId="164" fontId="36" fillId="0" borderId="8" xfId="23" applyFont="true" applyBorder="true" applyAlignment="true" applyProtection="false">
      <alignment horizontal="center" vertical="center" textRotation="0" wrapText="false" indent="0" shrinkToFit="true"/>
      <protection locked="true" hidden="false"/>
    </xf>
    <xf numFmtId="164" fontId="35" fillId="0" borderId="9" xfId="23" applyFont="true" applyBorder="true" applyAlignment="true" applyProtection="false">
      <alignment horizontal="center" vertical="center" textRotation="0" wrapText="true" indent="0" shrinkToFit="false"/>
      <protection locked="true" hidden="false"/>
    </xf>
    <xf numFmtId="166" fontId="36" fillId="0" borderId="20" xfId="23" applyFont="true" applyBorder="true" applyAlignment="true" applyProtection="false">
      <alignment horizontal="center" vertical="center" textRotation="0" wrapText="true" indent="0" shrinkToFit="false"/>
      <protection locked="true" hidden="false"/>
    </xf>
    <xf numFmtId="166" fontId="36" fillId="0" borderId="10" xfId="23"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6" fontId="5" fillId="0" borderId="0" xfId="0" applyFont="true" applyBorder="false" applyAlignment="true" applyProtection="false">
      <alignment horizontal="center" vertical="center" textRotation="0" wrapText="false" indent="0" shrinkToFit="false"/>
      <protection locked="true" hidden="false"/>
    </xf>
    <xf numFmtId="164" fontId="38" fillId="0" borderId="0" xfId="0" applyFont="true" applyBorder="false" applyAlignment="true" applyProtection="false">
      <alignment horizontal="center" vertical="center"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_state_yes" xfId="21"/>
    <cellStyle name="Status 1" xfId="22"/>
    <cellStyle name="Excel Built-in Normal" xfId="23"/>
    <cellStyle name="*unknown*" xfId="20" builtinId="8"/>
    <cellStyle name="ConditionalStyle_2 1" xfId="24"/>
  </cellStyles>
  <dxfs count="330">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b val="0"/>
        <color rgb="FFFFFFFF"/>
      </font>
      <fill>
        <patternFill>
          <bgColor rgb="FF33FF99"/>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s>
  <colors>
    <indexedColors>
      <rgbColor rgb="FF000000"/>
      <rgbColor rgb="FFFFFFFF"/>
      <rgbColor rgb="FFFF0000"/>
      <rgbColor rgb="FF00FF00"/>
      <rgbColor rgb="FF0000FF"/>
      <rgbColor rgb="FFFFFF00"/>
      <rgbColor rgb="FFFF00FF"/>
      <rgbColor rgb="FF00FFFF"/>
      <rgbColor rgb="FF8E0000"/>
      <rgbColor rgb="FF336600"/>
      <rgbColor rgb="FF000080"/>
      <rgbColor rgb="FF808000"/>
      <rgbColor rgb="FF800080"/>
      <rgbColor rgb="FF008080"/>
      <rgbColor rgb="FFC0C0C0"/>
      <rgbColor rgb="FF948A54"/>
      <rgbColor rgb="FF9999FF"/>
      <rgbColor rgb="FFC0504D"/>
      <rgbColor rgb="FFF2F2F2"/>
      <rgbColor rgb="FFCCFFFF"/>
      <rgbColor rgb="FF660066"/>
      <rgbColor rgb="FFFF8080"/>
      <rgbColor rgb="FF0066CC"/>
      <rgbColor rgb="FFD9D9D9"/>
      <rgbColor rgb="FF000080"/>
      <rgbColor rgb="FFFF00FF"/>
      <rgbColor rgb="FFFFFF00"/>
      <rgbColor rgb="FF00FFFF"/>
      <rgbColor rgb="FF800080"/>
      <rgbColor rgb="FFC00000"/>
      <rgbColor rgb="FF008080"/>
      <rgbColor rgb="FF0000FF"/>
      <rgbColor rgb="FF00CCFF"/>
      <rgbColor rgb="FFDCE6F2"/>
      <rgbColor rgb="FFA0FFA0"/>
      <rgbColor rgb="FFFFFF99"/>
      <rgbColor rgb="FF99CCFF"/>
      <rgbColor rgb="FFFF99CC"/>
      <rgbColor rgb="FFCC99FF"/>
      <rgbColor rgb="FFFFCC99"/>
      <rgbColor rgb="FF3366FF"/>
      <rgbColor rgb="FF33FF99"/>
      <rgbColor rgb="FF92D050"/>
      <rgbColor rgb="FFFFC000"/>
      <rgbColor rgb="FFCC9900"/>
      <rgbColor rgb="FFFF6600"/>
      <rgbColor rgb="FF4F81BD"/>
      <rgbColor rgb="FFA6A6A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openxmlformats.org/officeDocument/2006/relationships/chartUserShapes" Target="../drawings/drawing3.xml"/>
</Relationships>
</file>

<file path=xl/charts/_rels/chart2.xml.rels><?xml version="1.0" encoding="UTF-8"?>
<Relationships xmlns="http://schemas.openxmlformats.org/package/2006/relationships"><Relationship Id="rId1" Type="http://schemas.openxmlformats.org/officeDocument/2006/relationships/chartUserShapes" Target="../drawings/drawing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spPr>
            <a:solidFill>
              <a:srgbClr val="4f81bd"/>
            </a:solidFill>
            <a:ln w="0">
              <a:noFill/>
            </a:ln>
          </c:spPr>
          <c:explosion val="0"/>
          <c:dPt>
            <c:idx val="0"/>
            <c:spPr>
              <a:solidFill>
                <a:srgbClr val="f2f2f2"/>
              </a:solidFill>
              <a:ln w="0">
                <a:noFill/>
              </a:ln>
            </c:spPr>
          </c:dPt>
          <c:dPt>
            <c:idx val="1"/>
            <c:spPr>
              <a:solidFill>
                <a:srgbClr val="ff0000"/>
              </a:solidFill>
              <a:ln w="0">
                <a:noFill/>
              </a:ln>
            </c:spPr>
          </c:dPt>
          <c:dPt>
            <c:idx val="2"/>
            <c:spPr>
              <a:solidFill>
                <a:srgbClr val="8e0000"/>
              </a:solidFill>
              <a:ln w="0">
                <a:noFill/>
              </a:ln>
            </c:spPr>
          </c:dPt>
          <c:dPt>
            <c:idx val="3"/>
            <c:spPr>
              <a:solidFill>
                <a:srgbClr val="948a54"/>
              </a:solidFill>
              <a:ln w="0">
                <a:noFill/>
              </a:ln>
            </c:spPr>
          </c:dPt>
          <c:dPt>
            <c:idx val="4"/>
            <c:spPr>
              <a:solidFill>
                <a:srgbClr val="ffc000"/>
              </a:solidFill>
              <a:ln w="0">
                <a:noFill/>
              </a:ln>
            </c:spPr>
          </c:dPt>
          <c:dPt>
            <c:idx val="5"/>
            <c:spPr>
              <a:solidFill>
                <a:srgbClr val="92d050"/>
              </a:solidFill>
              <a:ln w="0">
                <a:noFill/>
              </a:ln>
            </c:spPr>
          </c:dPt>
          <c:dPt>
            <c:idx val="6"/>
            <c:spPr>
              <a:solidFill>
                <a:srgbClr val="336600"/>
              </a:solidFill>
              <a:ln w="0">
                <a:noFill/>
              </a:ln>
            </c:spPr>
          </c:dPt>
          <c:dPt>
            <c:idx val="7"/>
            <c:spPr>
              <a:solidFill>
                <a:srgbClr val="a6a6a6"/>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showLeaderLines val="1"/>
          </c:dLbls>
          <c:cat>
            <c:strRef>
              <c:f>Metrics!$B$3:$B$10</c:f>
              <c:strCache>
                <c:ptCount val="8"/>
                <c:pt idx="0">
                  <c:v>? Unknown</c:v>
                </c:pt>
                <c:pt idx="1">
                  <c:v>Nonexistent</c:v>
                </c:pt>
                <c:pt idx="2">
                  <c:v>Initial</c:v>
                </c:pt>
                <c:pt idx="3">
                  <c:v>Limited</c:v>
                </c:pt>
                <c:pt idx="4">
                  <c:v>Defined</c:v>
                </c:pt>
                <c:pt idx="5">
                  <c:v>Managed</c:v>
                </c:pt>
                <c:pt idx="6">
                  <c:v>Optimized</c:v>
                </c:pt>
                <c:pt idx="7">
                  <c:v>Not applicable</c:v>
                </c:pt>
              </c:strCache>
            </c:strRef>
          </c:cat>
          <c:val>
            <c:numRef>
              <c:f>Metrics!$D$3:$D$10</c:f>
              <c:numCache>
                <c:formatCode>0%</c:formatCode>
                <c:ptCount val="8"/>
                <c:pt idx="0">
                  <c:v>0</c:v>
                </c:pt>
                <c:pt idx="1">
                  <c:v>0.0714285714285714</c:v>
                </c:pt>
                <c:pt idx="2">
                  <c:v>0.785714285714286</c:v>
                </c:pt>
                <c:pt idx="3">
                  <c:v>0.0714285714285714</c:v>
                </c:pt>
                <c:pt idx="4">
                  <c:v>0.0357142857142857</c:v>
                </c:pt>
                <c:pt idx="5">
                  <c:v>0</c:v>
                </c:pt>
                <c:pt idx="6">
                  <c:v>0</c:v>
                </c:pt>
                <c:pt idx="7">
                  <c:v>0.0357142857142857</c:v>
                </c:pt>
              </c:numCache>
            </c:numRef>
          </c:val>
        </c:ser>
        <c:firstSliceAng val="0"/>
      </c:pieChart>
      <c:spPr>
        <a:noFill/>
        <a:ln w="0">
          <a:noFill/>
        </a:ln>
      </c:spPr>
    </c:plotArea>
    <c:legend>
      <c:legendPos val="r"/>
      <c:overlay val="0"/>
      <c:spPr>
        <a:noFill/>
        <a:ln w="0">
          <a:noFill/>
        </a:ln>
      </c:spPr>
      <c:txPr>
        <a:bodyPr/>
        <a:lstStyle/>
        <a:p>
          <a:pPr>
            <a:defRPr b="0" sz="1400" spc="-1" strike="noStrike">
              <a:solidFill>
                <a:srgbClr val="000000"/>
              </a:solidFill>
              <a:latin typeface="Calibri"/>
            </a:defRPr>
          </a:pPr>
        </a:p>
      </c:txPr>
    </c:legend>
    <c:plotVisOnly val="1"/>
    <c:dispBlanksAs val="gap"/>
  </c:chart>
  <c:spPr>
    <a:solidFill>
      <a:srgbClr val="ffffff"/>
    </a:solidFill>
    <a:ln w="9360">
      <a:solidFill>
        <a:srgbClr val="d9d9d9"/>
      </a:solidFill>
      <a:round/>
    </a:ln>
  </c:spPr>
  <c:userShapes r:id="rId1"/>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tx>
            <c:strRef>
              <c:f>Metrics!$E$2:$E$2</c:f>
              <c:strCache>
                <c:ptCount val="1"/>
                <c:pt idx="0">
                  <c:v>Proportion of information security controls</c:v>
                </c:pt>
              </c:strCache>
            </c:strRef>
          </c:tx>
          <c:spPr>
            <a:solidFill>
              <a:srgbClr val="c0504d"/>
            </a:solidFill>
            <a:ln w="0">
              <a:noFill/>
            </a:ln>
          </c:spPr>
          <c:explosion val="0"/>
          <c:dPt>
            <c:idx val="0"/>
            <c:spPr>
              <a:solidFill>
                <a:srgbClr val="f2f2f2"/>
              </a:solidFill>
              <a:ln w="0">
                <a:noFill/>
              </a:ln>
            </c:spPr>
          </c:dPt>
          <c:dPt>
            <c:idx val="1"/>
            <c:spPr>
              <a:solidFill>
                <a:srgbClr val="ff0000"/>
              </a:solidFill>
              <a:ln w="0">
                <a:noFill/>
              </a:ln>
            </c:spPr>
          </c:dPt>
          <c:dPt>
            <c:idx val="2"/>
            <c:spPr>
              <a:solidFill>
                <a:srgbClr val="8e0000"/>
              </a:solidFill>
              <a:ln w="0">
                <a:noFill/>
              </a:ln>
            </c:spPr>
          </c:dPt>
          <c:dPt>
            <c:idx val="3"/>
            <c:spPr>
              <a:solidFill>
                <a:srgbClr val="948a54"/>
              </a:solidFill>
              <a:ln w="0">
                <a:noFill/>
              </a:ln>
            </c:spPr>
          </c:dPt>
          <c:dPt>
            <c:idx val="4"/>
            <c:spPr>
              <a:solidFill>
                <a:srgbClr val="ffc000"/>
              </a:solidFill>
              <a:ln w="0">
                <a:noFill/>
              </a:ln>
            </c:spPr>
          </c:dPt>
          <c:dPt>
            <c:idx val="5"/>
            <c:spPr>
              <a:solidFill>
                <a:srgbClr val="92d050"/>
              </a:solidFill>
              <a:ln w="0">
                <a:noFill/>
              </a:ln>
            </c:spPr>
          </c:dPt>
          <c:dPt>
            <c:idx val="6"/>
            <c:spPr>
              <a:solidFill>
                <a:srgbClr val="336600"/>
              </a:solidFill>
              <a:ln w="0">
                <a:noFill/>
              </a:ln>
            </c:spPr>
          </c:dPt>
          <c:dPt>
            <c:idx val="7"/>
            <c:spPr>
              <a:solidFill>
                <a:srgbClr val="a6a6a6"/>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showLeaderLines val="1"/>
          </c:dLbls>
          <c:cat>
            <c:strRef>
              <c:f>Metrics!$B$3:$B$10</c:f>
              <c:strCache>
                <c:ptCount val="8"/>
                <c:pt idx="0">
                  <c:v>? Unknown</c:v>
                </c:pt>
                <c:pt idx="1">
                  <c:v>Nonexistent</c:v>
                </c:pt>
                <c:pt idx="2">
                  <c:v>Initial</c:v>
                </c:pt>
                <c:pt idx="3">
                  <c:v>Limited</c:v>
                </c:pt>
                <c:pt idx="4">
                  <c:v>Defined</c:v>
                </c:pt>
                <c:pt idx="5">
                  <c:v>Managed</c:v>
                </c:pt>
                <c:pt idx="6">
                  <c:v>Optimized</c:v>
                </c:pt>
                <c:pt idx="7">
                  <c:v>Not applicable</c:v>
                </c:pt>
              </c:strCache>
            </c:strRef>
          </c:cat>
          <c:val>
            <c:numRef>
              <c:f>Metrics!$E$3:$E$10</c:f>
              <c:numCache>
                <c:formatCode>0%</c:formatCode>
                <c:ptCount val="8"/>
                <c:pt idx="0">
                  <c:v>0.924731182795699</c:v>
                </c:pt>
                <c:pt idx="1">
                  <c:v>0.010752688172043</c:v>
                </c:pt>
                <c:pt idx="2">
                  <c:v>0.010752688172043</c:v>
                </c:pt>
                <c:pt idx="3">
                  <c:v>0.010752688172043</c:v>
                </c:pt>
                <c:pt idx="4">
                  <c:v>0.010752688172043</c:v>
                </c:pt>
                <c:pt idx="5">
                  <c:v>0.010752688172043</c:v>
                </c:pt>
                <c:pt idx="6">
                  <c:v>0.010752688172043</c:v>
                </c:pt>
                <c:pt idx="7">
                  <c:v>0.010752688172043</c:v>
                </c:pt>
              </c:numCache>
            </c:numRef>
          </c:val>
        </c:ser>
        <c:firstSliceAng val="0"/>
      </c:pieChart>
      <c:spPr>
        <a:noFill/>
        <a:ln w="0">
          <a:noFill/>
        </a:ln>
      </c:spPr>
    </c:plotArea>
    <c:legend>
      <c:legendPos val="r"/>
      <c:overlay val="0"/>
      <c:spPr>
        <a:noFill/>
        <a:ln w="0">
          <a:noFill/>
        </a:ln>
      </c:spPr>
      <c:txPr>
        <a:bodyPr/>
        <a:lstStyle/>
        <a:p>
          <a:pPr>
            <a:defRPr b="0" sz="1400" spc="-1" strike="noStrike">
              <a:solidFill>
                <a:srgbClr val="000000"/>
              </a:solidFill>
              <a:latin typeface="Calibri"/>
            </a:defRPr>
          </a:pPr>
        </a:p>
      </c:txPr>
    </c:legend>
    <c:plotVisOnly val="1"/>
    <c:dispBlanksAs val="gap"/>
  </c:chart>
  <c:spPr>
    <a:solidFill>
      <a:srgbClr val="ffffff"/>
    </a:solidFill>
    <a:ln w="9360">
      <a:solidFill>
        <a:srgbClr val="d9d9d9"/>
      </a:solidFill>
      <a:round/>
    </a:ln>
  </c:spPr>
  <c:userShapes r:id="rId1"/>
</c:chartSpace>
</file>

<file path=xl/drawings/_rels/drawing1.xml.rels><?xml version="1.0" encoding="UTF-8"?>
<Relationships xmlns="http://schemas.openxmlformats.org/package/2006/relationships"><Relationship Id="rId1" Type="http://schemas.openxmlformats.org/officeDocument/2006/relationships/hyperlink" Target="http://www.iso27001security.com" TargetMode="External"/><Relationship Id="rId2"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66600</xdr:colOff>
      <xdr:row>0</xdr:row>
      <xdr:rowOff>123840</xdr:rowOff>
    </xdr:from>
    <xdr:to>
      <xdr:col>1</xdr:col>
      <xdr:colOff>1466280</xdr:colOff>
      <xdr:row>1</xdr:row>
      <xdr:rowOff>56880</xdr:rowOff>
    </xdr:to>
    <xdr:pic>
      <xdr:nvPicPr>
        <xdr:cNvPr id="0" name="Picture 1" descr="">
          <a:hlinkClick r:id="rId1"/>
        </xdr:cNvPr>
        <xdr:cNvPicPr/>
      </xdr:nvPicPr>
      <xdr:blipFill>
        <a:blip r:embed="rId2"/>
        <a:stretch/>
      </xdr:blipFill>
      <xdr:spPr>
        <a:xfrm>
          <a:off x="217800" y="123840"/>
          <a:ext cx="1399680" cy="1247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352440</xdr:colOff>
      <xdr:row>0</xdr:row>
      <xdr:rowOff>152280</xdr:rowOff>
    </xdr:from>
    <xdr:to>
      <xdr:col>14</xdr:col>
      <xdr:colOff>333000</xdr:colOff>
      <xdr:row>7</xdr:row>
      <xdr:rowOff>742680</xdr:rowOff>
    </xdr:to>
    <xdr:graphicFrame>
      <xdr:nvGraphicFramePr>
        <xdr:cNvPr id="1" name="Chart 1"/>
        <xdr:cNvGraphicFramePr/>
      </xdr:nvGraphicFramePr>
      <xdr:xfrm>
        <a:off x="5659200" y="152280"/>
        <a:ext cx="5781240" cy="5019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324000</xdr:colOff>
      <xdr:row>8</xdr:row>
      <xdr:rowOff>85680</xdr:rowOff>
    </xdr:from>
    <xdr:to>
      <xdr:col>14</xdr:col>
      <xdr:colOff>304560</xdr:colOff>
      <xdr:row>35</xdr:row>
      <xdr:rowOff>39600</xdr:rowOff>
    </xdr:to>
    <xdr:graphicFrame>
      <xdr:nvGraphicFramePr>
        <xdr:cNvPr id="3" name="Chart 2"/>
        <xdr:cNvGraphicFramePr/>
      </xdr:nvGraphicFramePr>
      <xdr:xfrm>
        <a:off x="5630760" y="5257800"/>
        <a:ext cx="5781240" cy="57528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dr="http://schemas.openxmlformats.org/drawingml/2006/chartDrawing" xmlns:a="http://schemas.openxmlformats.org/drawingml/2006/main" xmlns:c="http://schemas.openxmlformats.org/drawingml/2006/chart" xmlns:r="http://schemas.openxmlformats.org/officeDocument/2006/relationships">
  <cdr:relSizeAnchor>
    <cdr:from>
      <cdr:x>0.105977584059776</cdr:x>
      <cdr:y>0.0169965576592083</cdr:y>
    </cdr:from>
    <cdr:to>
      <cdr:x>0.911830635118306</cdr:x>
      <cdr:y>0.100401606425703</cdr:y>
    </cdr:to>
    <cdr:sp>
      <cdr:nvSpPr>
        <cdr:cNvPr id="2" name="TextBox 1"/>
        <cdr:cNvSpPr/>
      </cdr:nvSpPr>
      <cdr:spPr>
        <a:xfrm>
          <a:off x="612720" y="85320"/>
          <a:ext cx="4659120" cy="418680"/>
        </a:xfrm>
        <a:prstGeom prst="rect">
          <a:avLst/>
        </a:prstGeom>
        <a:noFill/>
        <a:ln w="0">
          <a:noFill/>
        </a:ln>
      </cdr:spPr>
      <cdr:style>
        <a:lnRef idx="0"/>
        <a:fillRef idx="0"/>
        <a:effectRef idx="0"/>
        <a:fontRef idx="minor"/>
      </cdr:style>
      <cdr:txBody>
        <a:bodyPr vertOverflow="clip" lIns="90000" rIns="90000" tIns="45000" bIns="45000" anchor="ctr">
          <a:noAutofit/>
        </a:bodyPr>
        <a:p>
          <a:pPr algn="ctr">
            <a:lnSpc>
              <a:spcPct val="100000"/>
            </a:lnSpc>
          </a:pPr>
          <a:r>
            <a:rPr b="1" lang="en-US" sz="2800" spc="-1" strike="noStrike">
              <a:latin typeface="Times New Roman"/>
            </a:rPr>
            <a:t>ISMS implementation status</a:t>
          </a:r>
          <a:endParaRPr b="0" sz="2800" spc="-1" strike="noStrike">
            <a:latin typeface="Times New Roman"/>
          </a:endParaRPr>
        </a:p>
      </cdr:txBody>
    </cdr:sp>
  </cdr:relSizeAnchor>
</c:userShapes>
</file>

<file path=xl/drawings/drawing4.xml><?xml version="1.0" encoding="utf-8"?>
<c:userShapes xmlns:cdr="http://schemas.openxmlformats.org/drawingml/2006/chartDrawing" xmlns:a="http://schemas.openxmlformats.org/drawingml/2006/main" xmlns:c="http://schemas.openxmlformats.org/drawingml/2006/chart" xmlns:r="http://schemas.openxmlformats.org/officeDocument/2006/relationships">
  <cdr:relSizeAnchor>
    <cdr:from>
      <cdr:x>0.105977584059776</cdr:x>
      <cdr:y>0.0170202115011576</cdr:y>
    </cdr:from>
    <cdr:to>
      <cdr:x>0.911830635118306</cdr:x>
      <cdr:y>0.100431762718228</cdr:y>
    </cdr:to>
    <cdr:sp>
      <cdr:nvSpPr>
        <cdr:cNvPr id="4" name="TextBox 1"/>
        <cdr:cNvSpPr/>
      </cdr:nvSpPr>
      <cdr:spPr>
        <a:xfrm>
          <a:off x="612720" y="97920"/>
          <a:ext cx="4659120" cy="479880"/>
        </a:xfrm>
        <a:prstGeom prst="rect">
          <a:avLst/>
        </a:prstGeom>
        <a:noFill/>
        <a:ln w="0">
          <a:noFill/>
        </a:ln>
      </cdr:spPr>
      <cdr:style>
        <a:lnRef idx="0"/>
        <a:fillRef idx="0"/>
        <a:effectRef idx="0"/>
        <a:fontRef idx="minor"/>
      </cdr:style>
      <cdr:txBody>
        <a:bodyPr vertOverflow="clip" lIns="90000" rIns="90000" tIns="45000" bIns="45000" anchor="ctr">
          <a:noAutofit/>
        </a:bodyPr>
        <a:p>
          <a:pPr algn="ctr">
            <a:lnSpc>
              <a:spcPct val="100000"/>
            </a:lnSpc>
          </a:pPr>
          <a:r>
            <a:rPr b="1" lang="en-US" sz="2800" spc="-1" strike="noStrike">
              <a:latin typeface="Times New Roman"/>
            </a:rPr>
            <a:t>Infosec controls status</a:t>
          </a:r>
          <a:endParaRPr b="0" sz="2800" spc="-1" strike="noStrike">
            <a:latin typeface="Times New Roman"/>
          </a:endParaRPr>
        </a:p>
      </cdr:txBody>
    </cdr:sp>
  </cdr:relSizeAnchor>
</c:userShape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iso27001security.com/"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9.1484375" defaultRowHeight="12.75" zeroHeight="false" outlineLevelRow="0" outlineLevelCol="0"/>
  <cols>
    <col collapsed="false" customWidth="true" hidden="false" outlineLevel="0" max="1" min="1" style="1" width="2.15"/>
    <col collapsed="false" customWidth="true" hidden="false" outlineLevel="0" max="2" min="2" style="1" width="255.57"/>
    <col collapsed="false" customWidth="false" hidden="false" outlineLevel="0" max="16384" min="3" style="1" width="9.14"/>
  </cols>
  <sheetData>
    <row r="1" s="2" customFormat="true" ht="103.5" hidden="false" customHeight="true" outlineLevel="0" collapsed="false">
      <c r="B1" s="3" t="s">
        <v>0</v>
      </c>
    </row>
    <row r="2" customFormat="false" ht="39" hidden="false" customHeight="true" outlineLevel="0" collapsed="false">
      <c r="B2" s="4" t="s">
        <v>1</v>
      </c>
    </row>
    <row r="3" s="5" customFormat="true" ht="17.9" hidden="false" customHeight="false" outlineLevel="0" collapsed="false">
      <c r="B3" s="5" t="s">
        <v>2</v>
      </c>
    </row>
    <row r="4" s="5" customFormat="true" ht="50.7" hidden="false" customHeight="false" outlineLevel="0" collapsed="false">
      <c r="B4" s="5" t="s">
        <v>3</v>
      </c>
    </row>
    <row r="5" s="5" customFormat="true" ht="34.3" hidden="false" customHeight="false" outlineLevel="0" collapsed="false">
      <c r="B5" s="5" t="s">
        <v>4</v>
      </c>
    </row>
    <row r="6" customFormat="false" ht="39" hidden="false" customHeight="true" outlineLevel="0" collapsed="false">
      <c r="B6" s="4" t="s">
        <v>5</v>
      </c>
    </row>
    <row r="7" s="5" customFormat="true" ht="34.3" hidden="false" customHeight="false" outlineLevel="0" collapsed="false">
      <c r="B7" s="5" t="s">
        <v>6</v>
      </c>
    </row>
    <row r="8" s="5" customFormat="true" ht="50.7" hidden="false" customHeight="false" outlineLevel="0" collapsed="false">
      <c r="B8" s="5" t="s">
        <v>7</v>
      </c>
    </row>
    <row r="9" s="5" customFormat="true" ht="17.9" hidden="false" customHeight="false" outlineLevel="0" collapsed="false">
      <c r="B9" s="5" t="s">
        <v>8</v>
      </c>
    </row>
    <row r="10" s="5" customFormat="true" ht="50.7" hidden="false" customHeight="false" outlineLevel="0" collapsed="false">
      <c r="B10" s="5" t="s">
        <v>9</v>
      </c>
    </row>
    <row r="11" customFormat="false" ht="39" hidden="false" customHeight="true" outlineLevel="0" collapsed="false">
      <c r="B11" s="4" t="s">
        <v>10</v>
      </c>
    </row>
    <row r="12" s="5" customFormat="true" ht="17.9" hidden="false" customHeight="false" outlineLevel="0" collapsed="false">
      <c r="B12" s="5" t="s">
        <v>11</v>
      </c>
    </row>
    <row r="13" s="5" customFormat="true" ht="17.9" hidden="false" customHeight="false" outlineLevel="0" collapsed="false">
      <c r="B13" s="5" t="s">
        <v>12</v>
      </c>
    </row>
    <row r="14" s="5" customFormat="true" ht="17.9" hidden="false" customHeight="false" outlineLevel="0" collapsed="false">
      <c r="B14" s="5" t="s">
        <v>13</v>
      </c>
    </row>
    <row r="15" customFormat="false" ht="39" hidden="false" customHeight="true" outlineLevel="0" collapsed="false">
      <c r="B15" s="4" t="s">
        <v>14</v>
      </c>
    </row>
    <row r="16" s="5" customFormat="true" ht="50.7" hidden="false" customHeight="false" outlineLevel="0" collapsed="false">
      <c r="B16" s="5" t="s">
        <v>15</v>
      </c>
    </row>
    <row r="17" s="5" customFormat="true" ht="34.3" hidden="false" customHeight="false" outlineLevel="0" collapsed="false">
      <c r="B17" s="6" t="s">
        <v>16</v>
      </c>
    </row>
    <row r="18" s="5" customFormat="true" ht="17.9" hidden="false" customHeight="false" outlineLevel="0" collapsed="false">
      <c r="B18" s="5" t="s">
        <v>17</v>
      </c>
    </row>
    <row r="19" customFormat="false" ht="20.85" hidden="false" customHeight="false" outlineLevel="0" collapsed="false">
      <c r="B19" s="7" t="s">
        <v>18</v>
      </c>
    </row>
  </sheetData>
  <hyperlinks>
    <hyperlink ref="B19" r:id="rId1" display="www.ISO27001security.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F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24" activePane="bottomLeft" state="frozen"/>
      <selection pane="topLeft" activeCell="A1" activeCellId="0" sqref="A1"/>
      <selection pane="bottomLeft" activeCell="E17" activeCellId="0" sqref="E17"/>
    </sheetView>
  </sheetViews>
  <sheetFormatPr defaultColWidth="8.71484375" defaultRowHeight="18" zeroHeight="false" outlineLevelRow="0" outlineLevelCol="0"/>
  <cols>
    <col collapsed="false" customWidth="true" hidden="false" outlineLevel="0" max="1" min="1" style="8" width="1.14"/>
    <col collapsed="false" customWidth="true" hidden="false" outlineLevel="0" max="2" min="2" style="9" width="10.29"/>
    <col collapsed="false" customWidth="true" hidden="false" outlineLevel="0" max="3" min="3" style="8" width="75.71"/>
    <col collapsed="false" customWidth="true" hidden="false" outlineLevel="0" max="4" min="4" style="8" width="12.29"/>
    <col collapsed="false" customWidth="true" hidden="false" outlineLevel="0" max="5" min="5" style="8" width="65.71"/>
    <col collapsed="false" customWidth="false" hidden="false" outlineLevel="0" max="16384" min="6" style="8" width="8.71"/>
  </cols>
  <sheetData>
    <row r="1" s="10" customFormat="true" ht="45.75" hidden="false" customHeight="true" outlineLevel="0" collapsed="false">
      <c r="B1" s="11" t="s">
        <v>19</v>
      </c>
      <c r="C1" s="11"/>
      <c r="D1" s="11"/>
      <c r="E1" s="11"/>
    </row>
    <row r="2" s="9" customFormat="true" ht="21.75" hidden="false" customHeight="true" outlineLevel="0" collapsed="false">
      <c r="B2" s="12" t="s">
        <v>20</v>
      </c>
      <c r="C2" s="13" t="s">
        <v>21</v>
      </c>
      <c r="D2" s="13" t="s">
        <v>22</v>
      </c>
      <c r="E2" s="14" t="s">
        <v>23</v>
      </c>
    </row>
    <row r="3" s="15" customFormat="true" ht="39" hidden="false" customHeight="true" outlineLevel="0" collapsed="false">
      <c r="B3" s="16" t="n">
        <v>4</v>
      </c>
      <c r="C3" s="17" t="s">
        <v>24</v>
      </c>
      <c r="D3" s="17"/>
      <c r="E3" s="18"/>
    </row>
    <row r="4" s="19" customFormat="true" ht="22.5" hidden="false" customHeight="true" outlineLevel="0" collapsed="false">
      <c r="B4" s="20" t="n">
        <v>4.1</v>
      </c>
      <c r="C4" s="21" t="s">
        <v>25</v>
      </c>
      <c r="D4" s="22"/>
      <c r="E4" s="23"/>
      <c r="F4" s="24"/>
      <c r="G4" s="24"/>
      <c r="H4" s="24"/>
      <c r="I4" s="24"/>
      <c r="J4" s="24"/>
      <c r="K4" s="24"/>
      <c r="L4" s="24"/>
      <c r="M4" s="24"/>
      <c r="N4" s="24"/>
      <c r="O4" s="24"/>
      <c r="P4" s="24"/>
      <c r="Q4" s="24"/>
      <c r="R4" s="24"/>
      <c r="S4" s="24"/>
      <c r="T4" s="24"/>
      <c r="U4" s="24"/>
      <c r="V4" s="24"/>
      <c r="W4" s="24"/>
      <c r="X4" s="24"/>
      <c r="Y4" s="24"/>
      <c r="Z4" s="24"/>
      <c r="AA4" s="24"/>
      <c r="AB4" s="24"/>
      <c r="AC4" s="24"/>
      <c r="AD4" s="24"/>
      <c r="AE4" s="24"/>
      <c r="AF4" s="24"/>
    </row>
    <row r="5" s="25" customFormat="true" ht="22.5" hidden="false" customHeight="true" outlineLevel="0" collapsed="false">
      <c r="B5" s="26" t="n">
        <v>4.1</v>
      </c>
      <c r="C5" s="27" t="s">
        <v>26</v>
      </c>
      <c r="D5" s="28" t="s">
        <v>27</v>
      </c>
      <c r="E5" s="29"/>
    </row>
    <row r="6" s="19" customFormat="true" ht="22.5" hidden="false" customHeight="true" outlineLevel="0" collapsed="false">
      <c r="B6" s="20" t="n">
        <v>4.2</v>
      </c>
      <c r="C6" s="21" t="s">
        <v>28</v>
      </c>
      <c r="D6" s="30"/>
      <c r="E6" s="23"/>
      <c r="F6" s="24"/>
      <c r="G6" s="24"/>
      <c r="H6" s="24"/>
      <c r="I6" s="24"/>
      <c r="J6" s="24"/>
      <c r="K6" s="24"/>
      <c r="L6" s="24"/>
      <c r="M6" s="24"/>
      <c r="N6" s="24"/>
      <c r="O6" s="24"/>
      <c r="P6" s="24"/>
      <c r="Q6" s="24"/>
      <c r="R6" s="24"/>
      <c r="S6" s="24"/>
      <c r="T6" s="24"/>
      <c r="U6" s="24"/>
      <c r="V6" s="24"/>
      <c r="W6" s="24"/>
      <c r="X6" s="24"/>
      <c r="Y6" s="24"/>
      <c r="Z6" s="24"/>
      <c r="AA6" s="24"/>
      <c r="AB6" s="24"/>
      <c r="AC6" s="24"/>
      <c r="AD6" s="24"/>
      <c r="AE6" s="24"/>
      <c r="AF6" s="24"/>
    </row>
    <row r="7" s="25" customFormat="true" ht="22.5" hidden="false" customHeight="true" outlineLevel="0" collapsed="false">
      <c r="B7" s="26" t="s">
        <v>29</v>
      </c>
      <c r="C7" s="27" t="s">
        <v>30</v>
      </c>
      <c r="D7" s="28" t="s">
        <v>31</v>
      </c>
      <c r="E7" s="29"/>
    </row>
    <row r="8" s="25" customFormat="true" ht="22.5" hidden="false" customHeight="true" outlineLevel="0" collapsed="false">
      <c r="B8" s="26" t="s">
        <v>32</v>
      </c>
      <c r="C8" s="27" t="s">
        <v>33</v>
      </c>
      <c r="D8" s="28" t="s">
        <v>27</v>
      </c>
      <c r="E8" s="29"/>
    </row>
    <row r="9" s="19" customFormat="true" ht="22.5" hidden="false" customHeight="true" outlineLevel="0" collapsed="false">
      <c r="B9" s="20" t="n">
        <v>4.3</v>
      </c>
      <c r="C9" s="21" t="s">
        <v>34</v>
      </c>
      <c r="D9" s="30"/>
      <c r="E9" s="23"/>
      <c r="F9" s="24"/>
      <c r="G9" s="24"/>
      <c r="H9" s="24"/>
      <c r="I9" s="24"/>
      <c r="J9" s="24"/>
      <c r="K9" s="24"/>
      <c r="L9" s="24"/>
      <c r="M9" s="24"/>
      <c r="N9" s="24"/>
      <c r="O9" s="24"/>
      <c r="P9" s="24"/>
      <c r="Q9" s="24"/>
      <c r="R9" s="24"/>
      <c r="S9" s="24"/>
      <c r="T9" s="24"/>
      <c r="U9" s="24"/>
      <c r="V9" s="24"/>
      <c r="W9" s="24"/>
      <c r="X9" s="24"/>
      <c r="Y9" s="24"/>
      <c r="Z9" s="24"/>
      <c r="AA9" s="24"/>
      <c r="AB9" s="24"/>
      <c r="AC9" s="24"/>
      <c r="AD9" s="24"/>
      <c r="AE9" s="24"/>
      <c r="AF9" s="24"/>
    </row>
    <row r="10" s="25" customFormat="true" ht="22.5" hidden="false" customHeight="true" outlineLevel="0" collapsed="false">
      <c r="B10" s="26" t="n">
        <v>4.3</v>
      </c>
      <c r="C10" s="27" t="s">
        <v>35</v>
      </c>
      <c r="D10" s="28" t="s">
        <v>31</v>
      </c>
      <c r="E10" s="29"/>
    </row>
    <row r="11" s="19" customFormat="true" ht="22.5" hidden="false" customHeight="true" outlineLevel="0" collapsed="false">
      <c r="B11" s="20" t="n">
        <v>4.4</v>
      </c>
      <c r="C11" s="21" t="s">
        <v>36</v>
      </c>
      <c r="D11" s="30"/>
      <c r="E11" s="23"/>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row>
    <row r="12" s="25" customFormat="true" ht="22.5" hidden="false" customHeight="true" outlineLevel="0" collapsed="false">
      <c r="B12" s="26" t="n">
        <v>4.4</v>
      </c>
      <c r="C12" s="27" t="s">
        <v>37</v>
      </c>
      <c r="D12" s="28" t="s">
        <v>38</v>
      </c>
      <c r="E12" s="29"/>
    </row>
    <row r="13" s="15" customFormat="true" ht="39" hidden="false" customHeight="true" outlineLevel="0" collapsed="false">
      <c r="B13" s="16" t="n">
        <v>5</v>
      </c>
      <c r="C13" s="31" t="s">
        <v>39</v>
      </c>
      <c r="D13" s="32"/>
      <c r="E13" s="33"/>
    </row>
    <row r="14" s="19" customFormat="true" ht="22.5" hidden="false" customHeight="true" outlineLevel="0" collapsed="false">
      <c r="B14" s="20" t="n">
        <v>5.1</v>
      </c>
      <c r="C14" s="21" t="s">
        <v>40</v>
      </c>
      <c r="D14" s="30"/>
      <c r="E14" s="23"/>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row>
    <row r="15" s="25" customFormat="true" ht="22.5" hidden="false" customHeight="true" outlineLevel="0" collapsed="false">
      <c r="B15" s="26" t="n">
        <v>5.1</v>
      </c>
      <c r="C15" s="27" t="s">
        <v>41</v>
      </c>
      <c r="D15" s="28" t="s">
        <v>42</v>
      </c>
      <c r="E15" s="29"/>
    </row>
    <row r="16" s="19" customFormat="true" ht="22.5" hidden="false" customHeight="true" outlineLevel="0" collapsed="false">
      <c r="B16" s="20" t="n">
        <v>5.2</v>
      </c>
      <c r="C16" s="21" t="s">
        <v>43</v>
      </c>
      <c r="D16" s="30"/>
      <c r="E16" s="23"/>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row>
    <row r="17" s="25" customFormat="true" ht="22.5" hidden="false" customHeight="true" outlineLevel="0" collapsed="false">
      <c r="B17" s="26" t="n">
        <v>5.2</v>
      </c>
      <c r="C17" s="27" t="s">
        <v>44</v>
      </c>
      <c r="D17" s="28" t="s">
        <v>38</v>
      </c>
      <c r="E17" s="29"/>
    </row>
    <row r="18" s="19" customFormat="true" ht="22.5" hidden="false" customHeight="true" outlineLevel="0" collapsed="false">
      <c r="B18" s="20" t="n">
        <v>5.3</v>
      </c>
      <c r="C18" s="21" t="s">
        <v>45</v>
      </c>
      <c r="D18" s="30"/>
      <c r="E18" s="23"/>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row>
    <row r="19" s="25" customFormat="true" ht="22.5" hidden="false" customHeight="true" outlineLevel="0" collapsed="false">
      <c r="B19" s="26" t="n">
        <v>5.3</v>
      </c>
      <c r="C19" s="27" t="s">
        <v>46</v>
      </c>
      <c r="D19" s="28" t="s">
        <v>47</v>
      </c>
      <c r="E19" s="29"/>
    </row>
    <row r="20" s="15" customFormat="true" ht="39" hidden="false" customHeight="true" outlineLevel="0" collapsed="false">
      <c r="B20" s="16" t="n">
        <v>6</v>
      </c>
      <c r="C20" s="31" t="s">
        <v>48</v>
      </c>
      <c r="D20" s="32"/>
      <c r="E20" s="33"/>
    </row>
    <row r="21" s="19" customFormat="true" ht="22.5" hidden="false" customHeight="true" outlineLevel="0" collapsed="false">
      <c r="B21" s="20" t="n">
        <v>6.1</v>
      </c>
      <c r="C21" s="21" t="s">
        <v>49</v>
      </c>
      <c r="D21" s="30"/>
      <c r="E21" s="23"/>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row>
    <row r="22" s="25" customFormat="true" ht="22.5" hidden="false" customHeight="true" outlineLevel="0" collapsed="false">
      <c r="B22" s="26" t="s">
        <v>50</v>
      </c>
      <c r="C22" s="27" t="s">
        <v>51</v>
      </c>
      <c r="D22" s="28" t="s">
        <v>27</v>
      </c>
      <c r="E22" s="29"/>
    </row>
    <row r="23" s="25" customFormat="true" ht="22.5" hidden="false" customHeight="true" outlineLevel="0" collapsed="false">
      <c r="B23" s="26" t="s">
        <v>52</v>
      </c>
      <c r="C23" s="27" t="s">
        <v>53</v>
      </c>
      <c r="D23" s="28" t="s">
        <v>27</v>
      </c>
      <c r="E23" s="29"/>
    </row>
    <row r="24" s="25" customFormat="true" ht="22.5" hidden="false" customHeight="true" outlineLevel="0" collapsed="false">
      <c r="B24" s="26" t="s">
        <v>54</v>
      </c>
      <c r="C24" s="27" t="s">
        <v>55</v>
      </c>
      <c r="D24" s="28" t="s">
        <v>27</v>
      </c>
      <c r="E24" s="29"/>
    </row>
    <row r="25" s="19" customFormat="true" ht="22.5" hidden="false" customHeight="true" outlineLevel="0" collapsed="false">
      <c r="B25" s="20" t="n">
        <v>6.2</v>
      </c>
      <c r="C25" s="21" t="s">
        <v>56</v>
      </c>
      <c r="D25" s="30"/>
      <c r="E25" s="23"/>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row>
    <row r="26" s="19" customFormat="true" ht="22.5" hidden="false" customHeight="true" outlineLevel="0" collapsed="false">
      <c r="B26" s="26" t="n">
        <v>6.2</v>
      </c>
      <c r="C26" s="27" t="s">
        <v>57</v>
      </c>
      <c r="D26" s="28" t="s">
        <v>27</v>
      </c>
      <c r="E26" s="29"/>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row>
    <row r="27" s="19" customFormat="true" ht="22.5" hidden="false" customHeight="true" outlineLevel="0" collapsed="false">
      <c r="B27" s="20" t="n">
        <v>6.3</v>
      </c>
      <c r="C27" s="21" t="s">
        <v>58</v>
      </c>
      <c r="D27" s="30"/>
      <c r="E27" s="23"/>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row>
    <row r="28" s="25" customFormat="true" ht="22.5" hidden="false" customHeight="true" outlineLevel="0" collapsed="false">
      <c r="B28" s="26" t="n">
        <v>6.3</v>
      </c>
      <c r="C28" s="27" t="s">
        <v>59</v>
      </c>
      <c r="D28" s="28" t="s">
        <v>27</v>
      </c>
      <c r="E28" s="29" t="s">
        <v>60</v>
      </c>
    </row>
    <row r="29" s="34" customFormat="true" ht="39" hidden="false" customHeight="true" outlineLevel="0" collapsed="false">
      <c r="B29" s="16" t="n">
        <v>7</v>
      </c>
      <c r="C29" s="31" t="s">
        <v>61</v>
      </c>
      <c r="D29" s="32"/>
      <c r="E29" s="33"/>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row>
    <row r="30" s="19" customFormat="true" ht="22.5" hidden="false" customHeight="true" outlineLevel="0" collapsed="false">
      <c r="B30" s="20" t="n">
        <v>7.1</v>
      </c>
      <c r="C30" s="21" t="s">
        <v>62</v>
      </c>
      <c r="D30" s="30"/>
      <c r="E30" s="23"/>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row>
    <row r="31" s="25" customFormat="true" ht="22.5" hidden="false" customHeight="true" outlineLevel="0" collapsed="false">
      <c r="B31" s="26" t="n">
        <v>7.1</v>
      </c>
      <c r="C31" s="27" t="s">
        <v>63</v>
      </c>
      <c r="D31" s="28" t="s">
        <v>27</v>
      </c>
      <c r="E31" s="29"/>
    </row>
    <row r="32" s="19" customFormat="true" ht="22.5" hidden="false" customHeight="true" outlineLevel="0" collapsed="false">
      <c r="B32" s="20" t="n">
        <v>7.2</v>
      </c>
      <c r="C32" s="21" t="s">
        <v>64</v>
      </c>
      <c r="D32" s="30"/>
      <c r="E32" s="23"/>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row>
    <row r="33" s="25" customFormat="true" ht="22.5" hidden="false" customHeight="true" outlineLevel="0" collapsed="false">
      <c r="B33" s="26" t="n">
        <v>7.2</v>
      </c>
      <c r="C33" s="27" t="s">
        <v>65</v>
      </c>
      <c r="D33" s="28" t="s">
        <v>27</v>
      </c>
      <c r="E33" s="29"/>
    </row>
    <row r="34" s="19" customFormat="true" ht="22.5" hidden="false" customHeight="true" outlineLevel="0" collapsed="false">
      <c r="B34" s="20" t="n">
        <v>7.3</v>
      </c>
      <c r="C34" s="21" t="s">
        <v>66</v>
      </c>
      <c r="D34" s="30"/>
      <c r="E34" s="23"/>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row>
    <row r="35" s="25" customFormat="true" ht="22.5" hidden="false" customHeight="true" outlineLevel="0" collapsed="false">
      <c r="B35" s="26" t="n">
        <v>7.3</v>
      </c>
      <c r="C35" s="27" t="s">
        <v>67</v>
      </c>
      <c r="D35" s="28" t="s">
        <v>27</v>
      </c>
      <c r="E35" s="29"/>
    </row>
    <row r="36" s="19" customFormat="true" ht="22.5" hidden="false" customHeight="true" outlineLevel="0" collapsed="false">
      <c r="B36" s="20" t="n">
        <v>7.4</v>
      </c>
      <c r="C36" s="21" t="s">
        <v>68</v>
      </c>
      <c r="D36" s="30"/>
      <c r="E36" s="23"/>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row>
    <row r="37" s="25" customFormat="true" ht="22.5" hidden="false" customHeight="true" outlineLevel="0" collapsed="false">
      <c r="B37" s="26" t="n">
        <v>7.4</v>
      </c>
      <c r="C37" s="27" t="s">
        <v>69</v>
      </c>
      <c r="D37" s="28" t="s">
        <v>27</v>
      </c>
      <c r="E37" s="29"/>
    </row>
    <row r="38" s="19" customFormat="true" ht="22.5" hidden="false" customHeight="true" outlineLevel="0" collapsed="false">
      <c r="B38" s="20" t="n">
        <v>7.5</v>
      </c>
      <c r="C38" s="21" t="s">
        <v>70</v>
      </c>
      <c r="D38" s="30"/>
      <c r="E38" s="23"/>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row>
    <row r="39" s="25" customFormat="true" ht="22.5" hidden="false" customHeight="true" outlineLevel="0" collapsed="false">
      <c r="B39" s="26" t="s">
        <v>71</v>
      </c>
      <c r="C39" s="27" t="s">
        <v>72</v>
      </c>
      <c r="D39" s="28" t="s">
        <v>27</v>
      </c>
      <c r="E39" s="29"/>
    </row>
    <row r="40" s="25" customFormat="true" ht="22.5" hidden="false" customHeight="true" outlineLevel="0" collapsed="false">
      <c r="B40" s="26" t="s">
        <v>73</v>
      </c>
      <c r="C40" s="27" t="s">
        <v>74</v>
      </c>
      <c r="D40" s="28" t="s">
        <v>27</v>
      </c>
      <c r="E40" s="29"/>
    </row>
    <row r="41" s="25" customFormat="true" ht="22.5" hidden="false" customHeight="true" outlineLevel="0" collapsed="false">
      <c r="B41" s="26" t="s">
        <v>75</v>
      </c>
      <c r="C41" s="36" t="s">
        <v>76</v>
      </c>
      <c r="D41" s="28" t="s">
        <v>27</v>
      </c>
      <c r="E41" s="29"/>
    </row>
    <row r="42" s="34" customFormat="true" ht="39" hidden="false" customHeight="true" outlineLevel="0" collapsed="false">
      <c r="B42" s="16" t="n">
        <v>8</v>
      </c>
      <c r="C42" s="31" t="s">
        <v>77</v>
      </c>
      <c r="D42" s="32"/>
      <c r="E42" s="33"/>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row>
    <row r="43" s="19" customFormat="true" ht="22.5" hidden="false" customHeight="true" outlineLevel="0" collapsed="false">
      <c r="B43" s="20" t="n">
        <v>8.1</v>
      </c>
      <c r="C43" s="21" t="s">
        <v>78</v>
      </c>
      <c r="D43" s="30"/>
      <c r="E43" s="23"/>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row>
    <row r="44" s="25" customFormat="true" ht="22.5" hidden="false" customHeight="true" outlineLevel="0" collapsed="false">
      <c r="B44" s="26" t="n">
        <v>8.1</v>
      </c>
      <c r="C44" s="27" t="s">
        <v>79</v>
      </c>
      <c r="D44" s="28" t="s">
        <v>27</v>
      </c>
      <c r="E44" s="29"/>
    </row>
    <row r="45" s="19" customFormat="true" ht="22.5" hidden="false" customHeight="true" outlineLevel="0" collapsed="false">
      <c r="B45" s="20" t="n">
        <v>8.2</v>
      </c>
      <c r="C45" s="21" t="s">
        <v>80</v>
      </c>
      <c r="D45" s="30"/>
      <c r="E45" s="23"/>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row>
    <row r="46" s="25" customFormat="true" ht="22.5" hidden="false" customHeight="true" outlineLevel="0" collapsed="false">
      <c r="B46" s="26" t="n">
        <v>8.2</v>
      </c>
      <c r="C46" s="36" t="s">
        <v>81</v>
      </c>
      <c r="D46" s="28" t="s">
        <v>27</v>
      </c>
      <c r="E46" s="29"/>
    </row>
    <row r="47" s="19" customFormat="true" ht="22.5" hidden="false" customHeight="true" outlineLevel="0" collapsed="false">
      <c r="B47" s="20" t="n">
        <v>8.3</v>
      </c>
      <c r="C47" s="21" t="s">
        <v>82</v>
      </c>
      <c r="D47" s="30"/>
      <c r="E47" s="23"/>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row>
    <row r="48" s="25" customFormat="true" ht="22.5" hidden="false" customHeight="true" outlineLevel="0" collapsed="false">
      <c r="B48" s="26" t="n">
        <v>8.3</v>
      </c>
      <c r="C48" s="27" t="s">
        <v>83</v>
      </c>
      <c r="D48" s="28" t="s">
        <v>27</v>
      </c>
      <c r="E48" s="29"/>
    </row>
    <row r="49" s="34" customFormat="true" ht="39" hidden="false" customHeight="true" outlineLevel="0" collapsed="false">
      <c r="B49" s="16" t="n">
        <v>9</v>
      </c>
      <c r="C49" s="31" t="s">
        <v>84</v>
      </c>
      <c r="D49" s="32"/>
      <c r="E49" s="33"/>
    </row>
    <row r="50" s="19" customFormat="true" ht="22.5" hidden="false" customHeight="true" outlineLevel="0" collapsed="false">
      <c r="B50" s="20" t="n">
        <v>9.1</v>
      </c>
      <c r="C50" s="21" t="s">
        <v>85</v>
      </c>
      <c r="D50" s="30"/>
      <c r="E50" s="23"/>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row>
    <row r="51" s="25" customFormat="true" ht="22.5" hidden="false" customHeight="true" outlineLevel="0" collapsed="false">
      <c r="B51" s="26" t="n">
        <v>9.1</v>
      </c>
      <c r="C51" s="36" t="s">
        <v>86</v>
      </c>
      <c r="D51" s="28" t="s">
        <v>27</v>
      </c>
      <c r="E51" s="29"/>
    </row>
    <row r="52" s="19" customFormat="true" ht="22.5" hidden="false" customHeight="true" outlineLevel="0" collapsed="false">
      <c r="B52" s="20" t="n">
        <v>9.2</v>
      </c>
      <c r="C52" s="21" t="s">
        <v>87</v>
      </c>
      <c r="D52" s="30"/>
      <c r="E52" s="23"/>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row>
    <row r="53" s="25" customFormat="true" ht="22.5" hidden="false" customHeight="true" outlineLevel="0" collapsed="false">
      <c r="B53" s="26" t="n">
        <v>9.2</v>
      </c>
      <c r="C53" s="27" t="s">
        <v>88</v>
      </c>
      <c r="D53" s="28" t="s">
        <v>27</v>
      </c>
      <c r="E53" s="29"/>
    </row>
    <row r="54" s="19" customFormat="true" ht="22.5" hidden="false" customHeight="true" outlineLevel="0" collapsed="false">
      <c r="B54" s="20" t="n">
        <v>9.3</v>
      </c>
      <c r="C54" s="21" t="s">
        <v>89</v>
      </c>
      <c r="D54" s="30"/>
      <c r="E54" s="23"/>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row>
    <row r="55" s="25" customFormat="true" ht="22.5" hidden="false" customHeight="true" outlineLevel="0" collapsed="false">
      <c r="B55" s="26" t="n">
        <v>9.3</v>
      </c>
      <c r="C55" s="27" t="s">
        <v>90</v>
      </c>
      <c r="D55" s="28" t="s">
        <v>27</v>
      </c>
      <c r="E55" s="29"/>
    </row>
    <row r="56" s="34" customFormat="true" ht="39" hidden="false" customHeight="true" outlineLevel="0" collapsed="false">
      <c r="B56" s="16" t="n">
        <v>10</v>
      </c>
      <c r="C56" s="31" t="s">
        <v>91</v>
      </c>
      <c r="D56" s="32"/>
      <c r="E56" s="33"/>
    </row>
    <row r="57" s="19" customFormat="true" ht="22.5" hidden="false" customHeight="true" outlineLevel="0" collapsed="false">
      <c r="B57" s="20" t="n">
        <v>10.1</v>
      </c>
      <c r="C57" s="21" t="s">
        <v>92</v>
      </c>
      <c r="D57" s="30"/>
      <c r="E57" s="23"/>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row>
    <row r="58" s="25" customFormat="true" ht="22.5" hidden="false" customHeight="true" outlineLevel="0" collapsed="false">
      <c r="B58" s="26" t="n">
        <v>10.1</v>
      </c>
      <c r="C58" s="27" t="s">
        <v>93</v>
      </c>
      <c r="D58" s="28" t="s">
        <v>27</v>
      </c>
      <c r="E58" s="29"/>
    </row>
    <row r="59" s="19" customFormat="true" ht="22.5" hidden="false" customHeight="true" outlineLevel="0" collapsed="false">
      <c r="B59" s="20" t="n">
        <v>10.2</v>
      </c>
      <c r="C59" s="21" t="s">
        <v>94</v>
      </c>
      <c r="D59" s="30"/>
      <c r="E59" s="23"/>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row>
    <row r="60" s="25" customFormat="true" ht="22.5" hidden="false" customHeight="true" outlineLevel="0" collapsed="false">
      <c r="B60" s="37" t="n">
        <v>10.2</v>
      </c>
      <c r="C60" s="38" t="s">
        <v>95</v>
      </c>
      <c r="D60" s="28" t="s">
        <v>27</v>
      </c>
      <c r="E60" s="39"/>
    </row>
    <row r="61" customFormat="false" ht="18" hidden="false" customHeight="true" outlineLevel="0" collapsed="false">
      <c r="D61" s="40" t="n">
        <f aca="false">COUNTA(D5:D60)</f>
        <v>28</v>
      </c>
      <c r="E61" s="41" t="s">
        <v>96</v>
      </c>
    </row>
    <row r="62" customFormat="false" ht="18" hidden="false" customHeight="true" outlineLevel="0" collapsed="false">
      <c r="D62" s="42"/>
    </row>
    <row r="63" s="8" customFormat="true" ht="18" hidden="false" customHeight="true" outlineLevel="0" collapsed="false">
      <c r="A63" s="43"/>
      <c r="D63" s="44"/>
    </row>
    <row r="64" s="8" customFormat="true" ht="38.25" hidden="false" customHeight="true" outlineLevel="0" collapsed="false">
      <c r="A64" s="45" t="n">
        <f aca="false">COUNTIF($D$5:$D$60,"Non Existent")</f>
        <v>0</v>
      </c>
      <c r="D64" s="46"/>
    </row>
    <row r="65" s="8" customFormat="true" ht="38.25" hidden="false" customHeight="true" outlineLevel="0" collapsed="false">
      <c r="A65" s="45" t="n">
        <f aca="false">COUNTIF($D$5:$D$60,"Initial")</f>
        <v>22</v>
      </c>
      <c r="D65" s="46"/>
    </row>
    <row r="66" s="8" customFormat="true" ht="38.25" hidden="false" customHeight="true" outlineLevel="0" collapsed="false">
      <c r="A66" s="45" t="n">
        <f aca="false">COUNTIF($D$5:$D$60,"Limited")</f>
        <v>2</v>
      </c>
      <c r="D66" s="46"/>
    </row>
    <row r="67" s="8" customFormat="true" ht="38.25" hidden="false" customHeight="true" outlineLevel="0" collapsed="false">
      <c r="A67" s="45" t="n">
        <f aca="false">COUNTIF($D$5:$D$58,"Defined")</f>
        <v>1</v>
      </c>
      <c r="D67" s="46"/>
    </row>
    <row r="68" s="8" customFormat="true" ht="38.25" hidden="false" customHeight="true" outlineLevel="0" collapsed="false">
      <c r="A68" s="45" t="n">
        <f aca="false">COUNTIF($D$5:$D$60,"managed")</f>
        <v>0</v>
      </c>
      <c r="D68" s="46"/>
    </row>
    <row r="69" s="8" customFormat="true" ht="38.25" hidden="false" customHeight="true" outlineLevel="0" collapsed="false">
      <c r="A69" s="45" t="n">
        <f aca="false">COUNTIF($D$5:$D$60,"Optimized")</f>
        <v>0</v>
      </c>
      <c r="D69" s="46"/>
    </row>
    <row r="70" s="8" customFormat="true" ht="38.25" hidden="false" customHeight="true" outlineLevel="0" collapsed="false">
      <c r="A70" s="45" t="n">
        <f aca="false">COUNTIF($D$5:$D$58,"Not Applicable")</f>
        <v>1</v>
      </c>
      <c r="D70" s="46"/>
    </row>
    <row r="71" s="8" customFormat="true" ht="38.25" hidden="false" customHeight="true" outlineLevel="0" collapsed="false">
      <c r="A71" s="45" t="n">
        <f aca="false">COUNTIF($D$5:$D$60,"Not Checked")</f>
        <v>0</v>
      </c>
      <c r="D71" s="46"/>
    </row>
    <row r="72" customFormat="false" ht="18" hidden="false" customHeight="true" outlineLevel="0" collapsed="false">
      <c r="A72" s="47" t="n">
        <f aca="false">SUM(A64:A71)</f>
        <v>26</v>
      </c>
      <c r="B72" s="48"/>
      <c r="C72" s="49"/>
    </row>
    <row r="74" customFormat="false" ht="18" hidden="false" customHeight="true" outlineLevel="0" collapsed="false">
      <c r="A74" s="50"/>
      <c r="B74" s="50"/>
    </row>
  </sheetData>
  <mergeCells count="1">
    <mergeCell ref="B1:E1"/>
  </mergeCells>
  <conditionalFormatting sqref="D60">
    <cfRule type="containsText" priority="10" operator="containsText" aboveAverage="0" equalAverage="0" bottom="0" percent="0" rank="0" text="Initial" dxfId="8">
      <formula>NOT(ISERROR(SEARCH("Initial",D60)))</formula>
    </cfRule>
    <cfRule type="containsText" priority="11" operator="containsText" aboveAverage="0" equalAverage="0" bottom="0" percent="0" rank="0" text="Nonexistent" dxfId="9">
      <formula>NOT(ISERROR(SEARCH("Nonexistent",D60)))</formula>
    </cfRule>
  </conditionalFormatting>
  <conditionalFormatting sqref="D60">
    <cfRule type="expression" priority="12" aboveAverage="0" equalAverage="0" bottom="0" percent="0" rank="0" text="" dxfId="10">
      <formula>_xludf.style(VLOOKUP(D60,#ref!,2,0))</formula>
    </cfRule>
  </conditionalFormatting>
  <conditionalFormatting sqref="D58">
    <cfRule type="containsText" priority="21" operator="containsText" aboveAverage="0" equalAverage="0" bottom="0" percent="0" rank="0" text="Initial" dxfId="19">
      <formula>NOT(ISERROR(SEARCH("Initial",D58)))</formula>
    </cfRule>
    <cfRule type="containsText" priority="22" operator="containsText" aboveAverage="0" equalAverage="0" bottom="0" percent="0" rank="0" text="Nonexistent" dxfId="20">
      <formula>NOT(ISERROR(SEARCH("Nonexistent",D58)))</formula>
    </cfRule>
  </conditionalFormatting>
  <conditionalFormatting sqref="D58">
    <cfRule type="expression" priority="23" aboveAverage="0" equalAverage="0" bottom="0" percent="0" rank="0" text="" dxfId="21">
      <formula>_xludf.style(VLOOKUP(D58,#ref!,2,0))</formula>
    </cfRule>
  </conditionalFormatting>
  <conditionalFormatting sqref="D55">
    <cfRule type="containsText" priority="32" operator="containsText" aboveAverage="0" equalAverage="0" bottom="0" percent="0" rank="0" text="Initial" dxfId="30">
      <formula>NOT(ISERROR(SEARCH("Initial",D55)))</formula>
    </cfRule>
    <cfRule type="containsText" priority="33" operator="containsText" aboveAverage="0" equalAverage="0" bottom="0" percent="0" rank="0" text="Nonexistent" dxfId="31">
      <formula>NOT(ISERROR(SEARCH("Nonexistent",D55)))</formula>
    </cfRule>
  </conditionalFormatting>
  <conditionalFormatting sqref="D55">
    <cfRule type="expression" priority="34" aboveAverage="0" equalAverage="0" bottom="0" percent="0" rank="0" text="" dxfId="32">
      <formula>_xludf.style(VLOOKUP(D55,#ref!,2,0))</formula>
    </cfRule>
  </conditionalFormatting>
  <conditionalFormatting sqref="D53">
    <cfRule type="containsText" priority="43" operator="containsText" aboveAverage="0" equalAverage="0" bottom="0" percent="0" rank="0" text="Initial" dxfId="41">
      <formula>NOT(ISERROR(SEARCH("Initial",D53)))</formula>
    </cfRule>
    <cfRule type="containsText" priority="44" operator="containsText" aboveAverage="0" equalAverage="0" bottom="0" percent="0" rank="0" text="Nonexistent" dxfId="42">
      <formula>NOT(ISERROR(SEARCH("Nonexistent",D53)))</formula>
    </cfRule>
  </conditionalFormatting>
  <conditionalFormatting sqref="D53">
    <cfRule type="expression" priority="45" aboveAverage="0" equalAverage="0" bottom="0" percent="0" rank="0" text="" dxfId="43">
      <formula>_xludf.style(VLOOKUP(D53,#ref!,2,0))</formula>
    </cfRule>
  </conditionalFormatting>
  <conditionalFormatting sqref="D51">
    <cfRule type="containsText" priority="54" operator="containsText" aboveAverage="0" equalAverage="0" bottom="0" percent="0" rank="0" text="Initial" dxfId="52">
      <formula>NOT(ISERROR(SEARCH("Initial",D51)))</formula>
    </cfRule>
    <cfRule type="containsText" priority="55" operator="containsText" aboveAverage="0" equalAverage="0" bottom="0" percent="0" rank="0" text="Nonexistent" dxfId="53">
      <formula>NOT(ISERROR(SEARCH("Nonexistent",D51)))</formula>
    </cfRule>
  </conditionalFormatting>
  <conditionalFormatting sqref="D51">
    <cfRule type="expression" priority="56" aboveAverage="0" equalAverage="0" bottom="0" percent="0" rank="0" text="" dxfId="54">
      <formula>_xludf.style(VLOOKUP(D51,#ref!,2,0))</formula>
    </cfRule>
  </conditionalFormatting>
  <conditionalFormatting sqref="D48">
    <cfRule type="containsText" priority="65" operator="containsText" aboveAverage="0" equalAverage="0" bottom="0" percent="0" rank="0" text="Initial" dxfId="63">
      <formula>NOT(ISERROR(SEARCH("Initial",D48)))</formula>
    </cfRule>
    <cfRule type="containsText" priority="66" operator="containsText" aboveAverage="0" equalAverage="0" bottom="0" percent="0" rank="0" text="Nonexistent" dxfId="64">
      <formula>NOT(ISERROR(SEARCH("Nonexistent",D48)))</formula>
    </cfRule>
  </conditionalFormatting>
  <conditionalFormatting sqref="D48">
    <cfRule type="expression" priority="67" aboveAverage="0" equalAverage="0" bottom="0" percent="0" rank="0" text="" dxfId="65">
      <formula>_xludf.style(VLOOKUP(D48,#ref!,2,0))</formula>
    </cfRule>
  </conditionalFormatting>
  <conditionalFormatting sqref="D46">
    <cfRule type="containsText" priority="76" operator="containsText" aboveAverage="0" equalAverage="0" bottom="0" percent="0" rank="0" text="Initial" dxfId="74">
      <formula>NOT(ISERROR(SEARCH("Initial",D46)))</formula>
    </cfRule>
    <cfRule type="containsText" priority="77" operator="containsText" aboveAverage="0" equalAverage="0" bottom="0" percent="0" rank="0" text="Nonexistent" dxfId="75">
      <formula>NOT(ISERROR(SEARCH("Nonexistent",D46)))</formula>
    </cfRule>
  </conditionalFormatting>
  <conditionalFormatting sqref="D46">
    <cfRule type="expression" priority="78" aboveAverage="0" equalAverage="0" bottom="0" percent="0" rank="0" text="" dxfId="76">
      <formula>_xludf.style(VLOOKUP(D46,#ref!,2,0))</formula>
    </cfRule>
  </conditionalFormatting>
  <conditionalFormatting sqref="D44">
    <cfRule type="containsText" priority="87" operator="containsText" aboveAverage="0" equalAverage="0" bottom="0" percent="0" rank="0" text="Initial" dxfId="85">
      <formula>NOT(ISERROR(SEARCH("Initial",D44)))</formula>
    </cfRule>
    <cfRule type="containsText" priority="88" operator="containsText" aboveAverage="0" equalAverage="0" bottom="0" percent="0" rank="0" text="Nonexistent" dxfId="86">
      <formula>NOT(ISERROR(SEARCH("Nonexistent",D44)))</formula>
    </cfRule>
  </conditionalFormatting>
  <conditionalFormatting sqref="D44">
    <cfRule type="expression" priority="89" aboveAverage="0" equalAverage="0" bottom="0" percent="0" rank="0" text="" dxfId="87">
      <formula>_xludf.style(VLOOKUP(D44,#ref!,2,0))</formula>
    </cfRule>
  </conditionalFormatting>
  <conditionalFormatting sqref="D39:D41">
    <cfRule type="containsText" priority="98" operator="containsText" aboveAverage="0" equalAverage="0" bottom="0" percent="0" rank="0" text="Initial" dxfId="96">
      <formula>NOT(ISERROR(SEARCH("Initial",D39)))</formula>
    </cfRule>
    <cfRule type="containsText" priority="99" operator="containsText" aboveAverage="0" equalAverage="0" bottom="0" percent="0" rank="0" text="Nonexistent" dxfId="97">
      <formula>NOT(ISERROR(SEARCH("Nonexistent",D39)))</formula>
    </cfRule>
    <cfRule type="expression" priority="100" aboveAverage="0" equalAverage="0" bottom="0" percent="0" rank="0" text="" dxfId="98">
      <formula>_xludf.style(VLOOKUP(D39,#ref!,2,0))</formula>
    </cfRule>
  </conditionalFormatting>
  <conditionalFormatting sqref="D37">
    <cfRule type="containsText" priority="109" operator="containsText" aboveAverage="0" equalAverage="0" bottom="0" percent="0" rank="0" text="Initial" dxfId="107">
      <formula>NOT(ISERROR(SEARCH("Initial",D37)))</formula>
    </cfRule>
    <cfRule type="containsText" priority="110" operator="containsText" aboveAverage="0" equalAverage="0" bottom="0" percent="0" rank="0" text="Nonexistent" dxfId="108">
      <formula>NOT(ISERROR(SEARCH("Nonexistent",D37)))</formula>
    </cfRule>
  </conditionalFormatting>
  <conditionalFormatting sqref="D37">
    <cfRule type="expression" priority="111" aboveAverage="0" equalAverage="0" bottom="0" percent="0" rank="0" text="" dxfId="109">
      <formula>_xludf.style(VLOOKUP(D37,#ref!,2,0))</formula>
    </cfRule>
  </conditionalFormatting>
  <conditionalFormatting sqref="D35">
    <cfRule type="containsText" priority="120" operator="containsText" aboveAverage="0" equalAverage="0" bottom="0" percent="0" rank="0" text="Initial" dxfId="118">
      <formula>NOT(ISERROR(SEARCH("Initial",D35)))</formula>
    </cfRule>
    <cfRule type="containsText" priority="121" operator="containsText" aboveAverage="0" equalAverage="0" bottom="0" percent="0" rank="0" text="Nonexistent" dxfId="119">
      <formula>NOT(ISERROR(SEARCH("Nonexistent",D35)))</formula>
    </cfRule>
  </conditionalFormatting>
  <conditionalFormatting sqref="D35">
    <cfRule type="expression" priority="122" aboveAverage="0" equalAverage="0" bottom="0" percent="0" rank="0" text="" dxfId="120">
      <formula>_xludf.style(VLOOKUP(D35,#ref!,2,0))</formula>
    </cfRule>
  </conditionalFormatting>
  <conditionalFormatting sqref="D33">
    <cfRule type="containsText" priority="131" operator="containsText" aboveAverage="0" equalAverage="0" bottom="0" percent="0" rank="0" text="Initial" dxfId="129">
      <formula>NOT(ISERROR(SEARCH("Initial",D33)))</formula>
    </cfRule>
    <cfRule type="containsText" priority="132" operator="containsText" aboveAverage="0" equalAverage="0" bottom="0" percent="0" rank="0" text="Nonexistent" dxfId="130">
      <formula>NOT(ISERROR(SEARCH("Nonexistent",D33)))</formula>
    </cfRule>
  </conditionalFormatting>
  <conditionalFormatting sqref="D33">
    <cfRule type="expression" priority="133" aboveAverage="0" equalAverage="0" bottom="0" percent="0" rank="0" text="" dxfId="131">
      <formula>_xludf.style(VLOOKUP(D33,#ref!,2,0))</formula>
    </cfRule>
  </conditionalFormatting>
  <conditionalFormatting sqref="D31">
    <cfRule type="containsText" priority="142" operator="containsText" aboveAverage="0" equalAverage="0" bottom="0" percent="0" rank="0" text="Initial" dxfId="140">
      <formula>NOT(ISERROR(SEARCH("Initial",D31)))</formula>
    </cfRule>
    <cfRule type="containsText" priority="143" operator="containsText" aboveAverage="0" equalAverage="0" bottom="0" percent="0" rank="0" text="Nonexistent" dxfId="141">
      <formula>NOT(ISERROR(SEARCH("Nonexistent",D31)))</formula>
    </cfRule>
  </conditionalFormatting>
  <conditionalFormatting sqref="D31">
    <cfRule type="expression" priority="144" aboveAverage="0" equalAverage="0" bottom="0" percent="0" rank="0" text="" dxfId="142">
      <formula>_xludf.style(VLOOKUP(D31,#ref!,2,0))</formula>
    </cfRule>
  </conditionalFormatting>
  <conditionalFormatting sqref="D28">
    <cfRule type="containsText" priority="153" operator="containsText" aboveAverage="0" equalAverage="0" bottom="0" percent="0" rank="0" text="Initial" dxfId="151">
      <formula>NOT(ISERROR(SEARCH("Initial",D28)))</formula>
    </cfRule>
    <cfRule type="containsText" priority="154" operator="containsText" aboveAverage="0" equalAverage="0" bottom="0" percent="0" rank="0" text="Nonexistent" dxfId="152">
      <formula>NOT(ISERROR(SEARCH("Nonexistent",D28)))</formula>
    </cfRule>
  </conditionalFormatting>
  <conditionalFormatting sqref="D28">
    <cfRule type="expression" priority="155" aboveAverage="0" equalAverage="0" bottom="0" percent="0" rank="0" text="" dxfId="153">
      <formula>_xludf.style(VLOOKUP(D28,#ref!,2,0))</formula>
    </cfRule>
  </conditionalFormatting>
  <conditionalFormatting sqref="D26">
    <cfRule type="containsText" priority="164" operator="containsText" aboveAverage="0" equalAverage="0" bottom="0" percent="0" rank="0" text="Initial" dxfId="162">
      <formula>NOT(ISERROR(SEARCH("Initial",D26)))</formula>
    </cfRule>
    <cfRule type="containsText" priority="165" operator="containsText" aboveAverage="0" equalAverage="0" bottom="0" percent="0" rank="0" text="Nonexistent" dxfId="163">
      <formula>NOT(ISERROR(SEARCH("Nonexistent",D26)))</formula>
    </cfRule>
  </conditionalFormatting>
  <conditionalFormatting sqref="D26">
    <cfRule type="expression" priority="166" aboveAverage="0" equalAverage="0" bottom="0" percent="0" rank="0" text="" dxfId="164">
      <formula>_xludf.style(VLOOKUP(D26,#ref!,2,0))</formula>
    </cfRule>
  </conditionalFormatting>
  <conditionalFormatting sqref="D22:D24">
    <cfRule type="containsText" priority="175" operator="containsText" aboveAverage="0" equalAverage="0" bottom="0" percent="0" rank="0" text="Initial" dxfId="173">
      <formula>NOT(ISERROR(SEARCH("Initial",D22)))</formula>
    </cfRule>
    <cfRule type="containsText" priority="176" operator="containsText" aboveAverage="0" equalAverage="0" bottom="0" percent="0" rank="0" text="Nonexistent" dxfId="174">
      <formula>NOT(ISERROR(SEARCH("Nonexistent",D22)))</formula>
    </cfRule>
    <cfRule type="expression" priority="177" aboveAverage="0" equalAverage="0" bottom="0" percent="0" rank="0" text="" dxfId="175">
      <formula>_xludf.style(VLOOKUP(D22,#ref!,2,0))</formula>
    </cfRule>
  </conditionalFormatting>
  <conditionalFormatting sqref="D5">
    <cfRule type="containsText" priority="186" operator="containsText" aboveAverage="0" equalAverage="0" bottom="0" percent="0" rank="0" text="Initial" dxfId="184">
      <formula>NOT(ISERROR(SEARCH("Initial",D5)))</formula>
    </cfRule>
    <cfRule type="containsText" priority="187" operator="containsText" aboveAverage="0" equalAverage="0" bottom="0" percent="0" rank="0" text="Nonexistent" dxfId="185">
      <formula>NOT(ISERROR(SEARCH("Nonexistent",D5)))</formula>
    </cfRule>
  </conditionalFormatting>
  <conditionalFormatting sqref="D5">
    <cfRule type="expression" priority="188" aboveAverage="0" equalAverage="0" bottom="0" percent="0" rank="0" text="" dxfId="186">
      <formula>_xludf.style(VLOOKUP(D5,#ref!,2,0))</formula>
    </cfRule>
  </conditionalFormatting>
  <conditionalFormatting sqref="D19">
    <cfRule type="containsText" priority="197" operator="containsText" aboveAverage="0" equalAverage="0" bottom="0" percent="0" rank="0" text="Initial" dxfId="195">
      <formula>NOT(ISERROR(SEARCH("Initial",D19)))</formula>
    </cfRule>
    <cfRule type="containsText" priority="198" operator="containsText" aboveAverage="0" equalAverage="0" bottom="0" percent="0" rank="0" text="Nonexistent" dxfId="196">
      <formula>NOT(ISERROR(SEARCH("Nonexistent",D19)))</formula>
    </cfRule>
  </conditionalFormatting>
  <conditionalFormatting sqref="D19">
    <cfRule type="expression" priority="199" aboveAverage="0" equalAverage="0" bottom="0" percent="0" rank="0" text="" dxfId="197">
      <formula>_xludf.style(VLOOKUP(D19,#ref!,2,0))</formula>
    </cfRule>
  </conditionalFormatting>
  <conditionalFormatting sqref="D17">
    <cfRule type="containsText" priority="208" operator="containsText" aboveAverage="0" equalAverage="0" bottom="0" percent="0" rank="0" text="Initial" dxfId="206">
      <formula>NOT(ISERROR(SEARCH("Initial",D17)))</formula>
    </cfRule>
    <cfRule type="containsText" priority="209" operator="containsText" aboveAverage="0" equalAverage="0" bottom="0" percent="0" rank="0" text="Nonexistent" dxfId="207">
      <formula>NOT(ISERROR(SEARCH("Nonexistent",D17)))</formula>
    </cfRule>
  </conditionalFormatting>
  <conditionalFormatting sqref="D17">
    <cfRule type="expression" priority="210" aboveAverage="0" equalAverage="0" bottom="0" percent="0" rank="0" text="" dxfId="208">
      <formula>_xludf.style(VLOOKUP(D17,#ref!,2,0))</formula>
    </cfRule>
  </conditionalFormatting>
  <conditionalFormatting sqref="D15">
    <cfRule type="containsText" priority="219" operator="containsText" aboveAverage="0" equalAverage="0" bottom="0" percent="0" rank="0" text="Initial" dxfId="217">
      <formula>NOT(ISERROR(SEARCH("Initial",D15)))</formula>
    </cfRule>
    <cfRule type="containsText" priority="220" operator="containsText" aboveAverage="0" equalAverage="0" bottom="0" percent="0" rank="0" text="Nonexistent" dxfId="218">
      <formula>NOT(ISERROR(SEARCH("Nonexistent",D15)))</formula>
    </cfRule>
  </conditionalFormatting>
  <conditionalFormatting sqref="D15">
    <cfRule type="expression" priority="221" aboveAverage="0" equalAverage="0" bottom="0" percent="0" rank="0" text="" dxfId="219">
      <formula>_xludf.style(VLOOKUP(D15,#ref!,2,0))</formula>
    </cfRule>
  </conditionalFormatting>
  <conditionalFormatting sqref="D12">
    <cfRule type="containsText" priority="230" operator="containsText" aboveAverage="0" equalAverage="0" bottom="0" percent="0" rank="0" text="Initial" dxfId="228">
      <formula>NOT(ISERROR(SEARCH("Initial",D12)))</formula>
    </cfRule>
    <cfRule type="containsText" priority="231" operator="containsText" aboveAverage="0" equalAverage="0" bottom="0" percent="0" rank="0" text="Nonexistent" dxfId="229">
      <formula>NOT(ISERROR(SEARCH("Nonexistent",D12)))</formula>
    </cfRule>
  </conditionalFormatting>
  <conditionalFormatting sqref="D12">
    <cfRule type="expression" priority="232" aboveAverage="0" equalAverage="0" bottom="0" percent="0" rank="0" text="" dxfId="230">
      <formula>_xludf.style(VLOOKUP(D12,#ref!,2,0))</formula>
    </cfRule>
  </conditionalFormatting>
  <conditionalFormatting sqref="D10">
    <cfRule type="containsText" priority="241" operator="containsText" aboveAverage="0" equalAverage="0" bottom="0" percent="0" rank="0" text="Initial" dxfId="239">
      <formula>NOT(ISERROR(SEARCH("Initial",D10)))</formula>
    </cfRule>
    <cfRule type="containsText" priority="242" operator="containsText" aboveAverage="0" equalAverage="0" bottom="0" percent="0" rank="0" text="Nonexistent" dxfId="240">
      <formula>NOT(ISERROR(SEARCH("Nonexistent",D10)))</formula>
    </cfRule>
  </conditionalFormatting>
  <conditionalFormatting sqref="D10">
    <cfRule type="expression" priority="243" aboveAverage="0" equalAverage="0" bottom="0" percent="0" rank="0" text="" dxfId="241">
      <formula>_xludf.style(VLOOKUP(D10,#ref!,2,0))</formula>
    </cfRule>
  </conditionalFormatting>
  <conditionalFormatting sqref="D7:D8">
    <cfRule type="containsText" priority="252" operator="containsText" aboveAverage="0" equalAverage="0" bottom="0" percent="0" rank="0" text="Initial" dxfId="250">
      <formula>NOT(ISERROR(SEARCH("Initial",D7)))</formula>
    </cfRule>
    <cfRule type="containsText" priority="253" operator="containsText" aboveAverage="0" equalAverage="0" bottom="0" percent="0" rank="0" text="Nonexistent" dxfId="251">
      <formula>NOT(ISERROR(SEARCH("Nonexistent",D7)))</formula>
    </cfRule>
    <cfRule type="expression" priority="254" aboveAverage="0" equalAverage="0" bottom="0" percent="0" rank="0" text="" dxfId="252">
      <formula>_xludf.style(VLOOKUP(D7,#ref!,2,0))</formula>
    </cfRule>
  </conditionalFormatting>
  <conditionalFormatting sqref="F42:AF42">
    <cfRule type="expression" priority="255" aboveAverage="0" equalAverage="0" bottom="0" percent="0" rank="0" text="" dxfId="253">
      <formula>#n/a</formula>
    </cfRule>
  </conditionalFormatting>
  <dataValidations count="2">
    <dataValidation allowBlank="true" errorStyle="stop" operator="equal" promptTitle="Select Control Scope" showDropDown="false" showErrorMessage="true" showInputMessage="true" sqref="D30:E30 D32:E32 D34:E34 D36:E36 D38:E38 D43:E43 D45:E45 D47:E47 D50:E50 D52:E52 D54:E54 D59:E59" type="none">
      <formula1>0</formula1>
      <formula2>0</formula2>
    </dataValidation>
    <dataValidation allowBlank="true" errorStyle="stop" operator="equal" promptTitle="Select status" showDropDown="false" showErrorMessage="true" showInputMessage="true" sqref="D5 D7:D8 D10 D12 D15 D17 D19 D22:D24 D26 D28 D31 D33 D35 D37 D39:D41 D44 D46 D48 D51 D53 D55 D58 D60" type="list">
      <formula1>Metrics!$B$3:$B$10</formula1>
      <formula2>0</formula2>
    </dataValidation>
  </dataValidations>
  <printOptions headings="false" gridLines="false" gridLinesSet="true" horizontalCentered="true" verticalCentered="true"/>
  <pageMargins left="0.25" right="0.25"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&amp;C&amp;D&amp;RPage&amp;P of &amp;N</oddFooter>
  </headerFooter>
  <legacyDrawing r:id="rId2"/>
  <extLst>
    <ext xmlns:x14="http://schemas.microsoft.com/office/spreadsheetml/2009/9/main" uri="{78C0D931-6437-407d-A8EE-F0AAD7539E65}">
      <x14:conditionalFormattings>
        <x14:conditionalFormatting xmlns:xm="http://schemas.microsoft.com/office/excel/2006/main">
          <x14:cfRule type="cellIs" priority="2" operator="equal" id="{D13CAFDA-F661-42BB-98F2-F0FA88D92ADD}">
            <xm:f>Metrics!$B$10</xm:f>
            <x14:dxf>
              <font>
                <color rgb="FFFFFFFF"/>
              </font>
              <fill>
                <patternFill>
                  <bgColor theme="0" tint="-0.35"/>
                </patternFill>
              </fill>
            </x14:dxf>
          </x14:cfRule>
          <x14:cfRule type="cellIs" priority="3" operator="equal" id="{30C5F0CF-BDB5-4670-9FFF-569C23C0F7D9}">
            <xm:f>Metrics!$B$9</xm:f>
            <x14:dxf>
              <font>
                <color rgb="FFFFFFFF"/>
              </font>
              <fill>
                <patternFill>
                  <bgColor rgb="FF336600"/>
                </patternFill>
              </fill>
            </x14:dxf>
          </x14:cfRule>
          <x14:cfRule type="cellIs" priority="4" operator="equal" id="{892852F7-9810-479A-BCBC-19A79D9F4119}">
            <xm:f>Metrics!$B$8</xm:f>
            <x14:dxf>
              <font>
                <color rgb="FFFFFFFF"/>
              </font>
              <fill>
                <patternFill>
                  <bgColor rgb="FF92D050"/>
                </patternFill>
              </fill>
            </x14:dxf>
          </x14:cfRule>
          <x14:cfRule type="cellIs" priority="5" operator="equal" id="{1145F6D4-2055-4EB0-8E10-2547B44B5F30}">
            <xm:f>Metrics!$B$7</xm:f>
            <x14:dxf>
              <font>
                <color rgb="FFFFFFFF"/>
              </font>
              <fill>
                <patternFill>
                  <bgColor rgb="FFFFC000"/>
                </patternFill>
              </fill>
            </x14:dxf>
          </x14:cfRule>
          <x14:cfRule type="cellIs" priority="6" operator="equal" id="{F5C093D2-1531-4D9C-877E-F685804642DF}">
            <xm:f>Metrics!$B$6</xm:f>
            <x14:dxf>
              <font>
                <color rgb="FFFFFFFF"/>
              </font>
              <fill>
                <patternFill>
                  <bgColor theme="2" tint="-0.5"/>
                </patternFill>
              </fill>
            </x14:dxf>
          </x14:cfRule>
          <x14:cfRule type="cellIs" priority="7" operator="equal" id="{6A6B83F7-E463-4A99-B6F0-ECF0832F4263}">
            <xm:f>Metrics!$B$5</xm:f>
            <x14:dxf>
              <font>
                <color rgb="FFFFFFFF"/>
              </font>
              <fill>
                <patternFill>
                  <bgColor rgb="FFC00000"/>
                </patternFill>
              </fill>
            </x14:dxf>
          </x14:cfRule>
          <x14:cfRule type="cellIs" priority="8" operator="equal" id="{C79A906B-4699-46F6-B6DF-B56AAED8C720}">
            <xm:f>Metrics!$B$4</xm:f>
            <x14:dxf>
              <font>
                <color rgb="FFFFFFFF"/>
              </font>
              <fill>
                <patternFill>
                  <bgColor rgb="FFFF0000"/>
                </patternFill>
              </fill>
            </x14:dxf>
          </x14:cfRule>
          <x14:cfRule type="cellIs" priority="9" operator="equal" id="{DFE0E825-7AAB-4A52-A83B-5256416F47EB}">
            <xm:f>Metrics!$B$3</xm:f>
            <x14:dxf>
              <font>
                <color rgb="FFD9D9D9"/>
              </font>
              <fill>
                <patternFill>
                  <bgColor theme="0"/>
                </patternFill>
              </fill>
            </x14:dxf>
          </x14:cfRule>
          <xm:sqref>D60</xm:sqref>
        </x14:conditionalFormatting>
        <x14:conditionalFormatting xmlns:xm="http://schemas.microsoft.com/office/excel/2006/main">
          <x14:cfRule type="cellIs" priority="13" operator="equal" id="{4F7B8E3F-F5F8-47ED-A76B-7B3D404C8FB2}">
            <xm:f>Metrics!$B$10</xm:f>
            <x14:dxf>
              <font>
                <color rgb="FFFFFFFF"/>
              </font>
              <fill>
                <patternFill>
                  <bgColor theme="0" tint="-0.35"/>
                </patternFill>
              </fill>
            </x14:dxf>
          </x14:cfRule>
          <x14:cfRule type="cellIs" priority="14" operator="equal" id="{86A580A5-1371-4791-B065-377D001F5ECD}">
            <xm:f>Metrics!$B$9</xm:f>
            <x14:dxf>
              <font>
                <color rgb="FFFFFFFF"/>
              </font>
              <fill>
                <patternFill>
                  <bgColor rgb="FF336600"/>
                </patternFill>
              </fill>
            </x14:dxf>
          </x14:cfRule>
          <x14:cfRule type="cellIs" priority="15" operator="equal" id="{74E14417-BFE5-42BE-A419-D6BDE8A3B066}">
            <xm:f>Metrics!$B$8</xm:f>
            <x14:dxf>
              <font>
                <color rgb="FFFFFFFF"/>
              </font>
              <fill>
                <patternFill>
                  <bgColor rgb="FF92D050"/>
                </patternFill>
              </fill>
            </x14:dxf>
          </x14:cfRule>
          <x14:cfRule type="cellIs" priority="16" operator="equal" id="{6F1049B6-A0D0-4BCC-A9C4-E31EBE57E089}">
            <xm:f>Metrics!$B$7</xm:f>
            <x14:dxf>
              <font>
                <color rgb="FFFFFFFF"/>
              </font>
              <fill>
                <patternFill>
                  <bgColor rgb="FFFFC000"/>
                </patternFill>
              </fill>
            </x14:dxf>
          </x14:cfRule>
          <x14:cfRule type="cellIs" priority="17" operator="equal" id="{4DE5A19A-F770-4190-873F-32C690551D67}">
            <xm:f>Metrics!$B$6</xm:f>
            <x14:dxf>
              <font>
                <color rgb="FFFFFFFF"/>
              </font>
              <fill>
                <patternFill>
                  <bgColor theme="2" tint="-0.5"/>
                </patternFill>
              </fill>
            </x14:dxf>
          </x14:cfRule>
          <x14:cfRule type="cellIs" priority="18" operator="equal" id="{A0EA284D-2431-4FBF-9E2F-9A9578B037CB}">
            <xm:f>Metrics!$B$5</xm:f>
            <x14:dxf>
              <font>
                <color rgb="FFFFFFFF"/>
              </font>
              <fill>
                <patternFill>
                  <bgColor rgb="FFC00000"/>
                </patternFill>
              </fill>
            </x14:dxf>
          </x14:cfRule>
          <x14:cfRule type="cellIs" priority="19" operator="equal" id="{D29CF0F7-7695-4A98-ABBC-5E4F33F0DC25}">
            <xm:f>Metrics!$B$4</xm:f>
            <x14:dxf>
              <font>
                <color rgb="FFFFFFFF"/>
              </font>
              <fill>
                <patternFill>
                  <bgColor rgb="FFFF0000"/>
                </patternFill>
              </fill>
            </x14:dxf>
          </x14:cfRule>
          <x14:cfRule type="cellIs" priority="20" operator="equal" id="{144EC460-F05E-4BEC-963A-B9E0E4B75B5E}">
            <xm:f>Metrics!$B$3</xm:f>
            <x14:dxf>
              <font>
                <color rgb="FFD9D9D9"/>
              </font>
              <fill>
                <patternFill>
                  <bgColor theme="0"/>
                </patternFill>
              </fill>
            </x14:dxf>
          </x14:cfRule>
          <xm:sqref>D58</xm:sqref>
        </x14:conditionalFormatting>
        <x14:conditionalFormatting xmlns:xm="http://schemas.microsoft.com/office/excel/2006/main">
          <x14:cfRule type="cellIs" priority="24" operator="equal" id="{38E0C67B-55D4-4CD5-91AA-1A2C7271A7DA}">
            <xm:f>Metrics!$B$10</xm:f>
            <x14:dxf>
              <font>
                <color rgb="FFFFFFFF"/>
              </font>
              <fill>
                <patternFill>
                  <bgColor theme="0" tint="-0.35"/>
                </patternFill>
              </fill>
            </x14:dxf>
          </x14:cfRule>
          <x14:cfRule type="cellIs" priority="25" operator="equal" id="{8757B3F8-4594-4081-82CE-80B06BD63A74}">
            <xm:f>Metrics!$B$9</xm:f>
            <x14:dxf>
              <font>
                <color rgb="FFFFFFFF"/>
              </font>
              <fill>
                <patternFill>
                  <bgColor rgb="FF336600"/>
                </patternFill>
              </fill>
            </x14:dxf>
          </x14:cfRule>
          <x14:cfRule type="cellIs" priority="26" operator="equal" id="{B06DDFA8-548E-42A8-9A4E-647C952E9236}">
            <xm:f>Metrics!$B$8</xm:f>
            <x14:dxf>
              <font>
                <color rgb="FFFFFFFF"/>
              </font>
              <fill>
                <patternFill>
                  <bgColor rgb="FF92D050"/>
                </patternFill>
              </fill>
            </x14:dxf>
          </x14:cfRule>
          <x14:cfRule type="cellIs" priority="27" operator="equal" id="{79137798-E7E2-4D00-BC14-15E8D561B94F}">
            <xm:f>Metrics!$B$7</xm:f>
            <x14:dxf>
              <font>
                <color rgb="FFFFFFFF"/>
              </font>
              <fill>
                <patternFill>
                  <bgColor rgb="FFFFC000"/>
                </patternFill>
              </fill>
            </x14:dxf>
          </x14:cfRule>
          <x14:cfRule type="cellIs" priority="28" operator="equal" id="{AFF35EFC-4020-49C1-B8DB-F442C1FE9D27}">
            <xm:f>Metrics!$B$6</xm:f>
            <x14:dxf>
              <font>
                <color rgb="FFFFFFFF"/>
              </font>
              <fill>
                <patternFill>
                  <bgColor theme="2" tint="-0.5"/>
                </patternFill>
              </fill>
            </x14:dxf>
          </x14:cfRule>
          <x14:cfRule type="cellIs" priority="29" operator="equal" id="{633010CF-C43B-487B-A748-924DB9DF8B34}">
            <xm:f>Metrics!$B$5</xm:f>
            <x14:dxf>
              <font>
                <color rgb="FFFFFFFF"/>
              </font>
              <fill>
                <patternFill>
                  <bgColor rgb="FFC00000"/>
                </patternFill>
              </fill>
            </x14:dxf>
          </x14:cfRule>
          <x14:cfRule type="cellIs" priority="30" operator="equal" id="{685FED24-9D78-43B3-A8E1-473A37864AF8}">
            <xm:f>Metrics!$B$4</xm:f>
            <x14:dxf>
              <font>
                <color rgb="FFFFFFFF"/>
              </font>
              <fill>
                <patternFill>
                  <bgColor rgb="FFFF0000"/>
                </patternFill>
              </fill>
            </x14:dxf>
          </x14:cfRule>
          <x14:cfRule type="cellIs" priority="31" operator="equal" id="{A5A0B529-ADB0-4CFD-95CA-53F3B383555B}">
            <xm:f>Metrics!$B$3</xm:f>
            <x14:dxf>
              <font>
                <color rgb="FFD9D9D9"/>
              </font>
              <fill>
                <patternFill>
                  <bgColor theme="0"/>
                </patternFill>
              </fill>
            </x14:dxf>
          </x14:cfRule>
          <xm:sqref>D55</xm:sqref>
        </x14:conditionalFormatting>
        <x14:conditionalFormatting xmlns:xm="http://schemas.microsoft.com/office/excel/2006/main">
          <x14:cfRule type="cellIs" priority="35" operator="equal" id="{CBA5E4BA-5DFB-43D7-83E0-414069DB50F8}">
            <xm:f>Metrics!$B$10</xm:f>
            <x14:dxf>
              <font>
                <color rgb="FFFFFFFF"/>
              </font>
              <fill>
                <patternFill>
                  <bgColor theme="0" tint="-0.35"/>
                </patternFill>
              </fill>
            </x14:dxf>
          </x14:cfRule>
          <x14:cfRule type="cellIs" priority="36" operator="equal" id="{4A69EFEF-D77F-44B9-A9F8-B32C636D9A5F}">
            <xm:f>Metrics!$B$9</xm:f>
            <x14:dxf>
              <font>
                <color rgb="FFFFFFFF"/>
              </font>
              <fill>
                <patternFill>
                  <bgColor rgb="FF336600"/>
                </patternFill>
              </fill>
            </x14:dxf>
          </x14:cfRule>
          <x14:cfRule type="cellIs" priority="37" operator="equal" id="{D49D7E3B-CEAA-4DC3-9F73-FBB8CB336D2A}">
            <xm:f>Metrics!$B$8</xm:f>
            <x14:dxf>
              <font>
                <color rgb="FFFFFFFF"/>
              </font>
              <fill>
                <patternFill>
                  <bgColor rgb="FF92D050"/>
                </patternFill>
              </fill>
            </x14:dxf>
          </x14:cfRule>
          <x14:cfRule type="cellIs" priority="38" operator="equal" id="{DA6090D3-F6C0-4A61-9661-D9B7B3AF1A3C}">
            <xm:f>Metrics!$B$7</xm:f>
            <x14:dxf>
              <font>
                <color rgb="FFFFFFFF"/>
              </font>
              <fill>
                <patternFill>
                  <bgColor rgb="FFFFC000"/>
                </patternFill>
              </fill>
            </x14:dxf>
          </x14:cfRule>
          <x14:cfRule type="cellIs" priority="39" operator="equal" id="{1DB6549E-63A1-4168-B89C-521E432C7129}">
            <xm:f>Metrics!$B$6</xm:f>
            <x14:dxf>
              <font>
                <color rgb="FFFFFFFF"/>
              </font>
              <fill>
                <patternFill>
                  <bgColor theme="2" tint="-0.5"/>
                </patternFill>
              </fill>
            </x14:dxf>
          </x14:cfRule>
          <x14:cfRule type="cellIs" priority="40" operator="equal" id="{4344EB83-40A9-4D60-9730-52ABFA59EB7F}">
            <xm:f>Metrics!$B$5</xm:f>
            <x14:dxf>
              <font>
                <color rgb="FFFFFFFF"/>
              </font>
              <fill>
                <patternFill>
                  <bgColor rgb="FFC00000"/>
                </patternFill>
              </fill>
            </x14:dxf>
          </x14:cfRule>
          <x14:cfRule type="cellIs" priority="41" operator="equal" id="{70163EE7-FFDF-4475-BE2A-1E6E6D1480D6}">
            <xm:f>Metrics!$B$4</xm:f>
            <x14:dxf>
              <font>
                <color rgb="FFFFFFFF"/>
              </font>
              <fill>
                <patternFill>
                  <bgColor rgb="FFFF0000"/>
                </patternFill>
              </fill>
            </x14:dxf>
          </x14:cfRule>
          <x14:cfRule type="cellIs" priority="42" operator="equal" id="{971D9510-D88F-42F8-A55B-D0BF598A38AF}">
            <xm:f>Metrics!$B$3</xm:f>
            <x14:dxf>
              <font>
                <color rgb="FFD9D9D9"/>
              </font>
              <fill>
                <patternFill>
                  <bgColor theme="0"/>
                </patternFill>
              </fill>
            </x14:dxf>
          </x14:cfRule>
          <xm:sqref>D53</xm:sqref>
        </x14:conditionalFormatting>
        <x14:conditionalFormatting xmlns:xm="http://schemas.microsoft.com/office/excel/2006/main">
          <x14:cfRule type="cellIs" priority="46" operator="equal" id="{836049C2-9F60-44A0-855D-ABC2DBCE7B6E}">
            <xm:f>Metrics!$B$10</xm:f>
            <x14:dxf>
              <font>
                <color rgb="FFFFFFFF"/>
              </font>
              <fill>
                <patternFill>
                  <bgColor theme="0" tint="-0.35"/>
                </patternFill>
              </fill>
            </x14:dxf>
          </x14:cfRule>
          <x14:cfRule type="cellIs" priority="47" operator="equal" id="{7F3491E9-3972-4A46-A8B8-4FC6A9195780}">
            <xm:f>Metrics!$B$9</xm:f>
            <x14:dxf>
              <font>
                <color rgb="FFFFFFFF"/>
              </font>
              <fill>
                <patternFill>
                  <bgColor rgb="FF336600"/>
                </patternFill>
              </fill>
            </x14:dxf>
          </x14:cfRule>
          <x14:cfRule type="cellIs" priority="48" operator="equal" id="{93628D4F-FD9D-4080-9565-F7FA1F907E24}">
            <xm:f>Metrics!$B$8</xm:f>
            <x14:dxf>
              <font>
                <color rgb="FFFFFFFF"/>
              </font>
              <fill>
                <patternFill>
                  <bgColor rgb="FF92D050"/>
                </patternFill>
              </fill>
            </x14:dxf>
          </x14:cfRule>
          <x14:cfRule type="cellIs" priority="49" operator="equal" id="{B696E6CA-37FC-4AF0-9622-27AEFC8AFFBB}">
            <xm:f>Metrics!$B$7</xm:f>
            <x14:dxf>
              <font>
                <color rgb="FFFFFFFF"/>
              </font>
              <fill>
                <patternFill>
                  <bgColor rgb="FFFFC000"/>
                </patternFill>
              </fill>
            </x14:dxf>
          </x14:cfRule>
          <x14:cfRule type="cellIs" priority="50" operator="equal" id="{30A2F71E-8C28-434D-9EE0-796062C0AAA6}">
            <xm:f>Metrics!$B$6</xm:f>
            <x14:dxf>
              <font>
                <color rgb="FFFFFFFF"/>
              </font>
              <fill>
                <patternFill>
                  <bgColor theme="2" tint="-0.5"/>
                </patternFill>
              </fill>
            </x14:dxf>
          </x14:cfRule>
          <x14:cfRule type="cellIs" priority="51" operator="equal" id="{9C8EC5B9-CDFB-46E7-8445-FD2CAB16924A}">
            <xm:f>Metrics!$B$5</xm:f>
            <x14:dxf>
              <font>
                <color rgb="FFFFFFFF"/>
              </font>
              <fill>
                <patternFill>
                  <bgColor rgb="FFC00000"/>
                </patternFill>
              </fill>
            </x14:dxf>
          </x14:cfRule>
          <x14:cfRule type="cellIs" priority="52" operator="equal" id="{F7B08170-8DEA-46D5-B1DC-E960C5A93B8B}">
            <xm:f>Metrics!$B$4</xm:f>
            <x14:dxf>
              <font>
                <color rgb="FFFFFFFF"/>
              </font>
              <fill>
                <patternFill>
                  <bgColor rgb="FFFF0000"/>
                </patternFill>
              </fill>
            </x14:dxf>
          </x14:cfRule>
          <x14:cfRule type="cellIs" priority="53" operator="equal" id="{502A6749-F29B-4B95-BBAB-201CC12C5CBC}">
            <xm:f>Metrics!$B$3</xm:f>
            <x14:dxf>
              <font>
                <color rgb="FFD9D9D9"/>
              </font>
              <fill>
                <patternFill>
                  <bgColor theme="0"/>
                </patternFill>
              </fill>
            </x14:dxf>
          </x14:cfRule>
          <xm:sqref>D51</xm:sqref>
        </x14:conditionalFormatting>
        <x14:conditionalFormatting xmlns:xm="http://schemas.microsoft.com/office/excel/2006/main">
          <x14:cfRule type="cellIs" priority="57" operator="equal" id="{BE424B51-B412-46D1-B56C-B8607138E022}">
            <xm:f>Metrics!$B$10</xm:f>
            <x14:dxf>
              <font>
                <color rgb="FFFFFFFF"/>
              </font>
              <fill>
                <patternFill>
                  <bgColor theme="0" tint="-0.35"/>
                </patternFill>
              </fill>
            </x14:dxf>
          </x14:cfRule>
          <x14:cfRule type="cellIs" priority="58" operator="equal" id="{523D37D1-FC33-4DEA-845D-E0FE715723FA}">
            <xm:f>Metrics!$B$9</xm:f>
            <x14:dxf>
              <font>
                <color rgb="FFFFFFFF"/>
              </font>
              <fill>
                <patternFill>
                  <bgColor rgb="FF336600"/>
                </patternFill>
              </fill>
            </x14:dxf>
          </x14:cfRule>
          <x14:cfRule type="cellIs" priority="59" operator="equal" id="{4638191D-73D5-4E53-8D22-6A30204EED99}">
            <xm:f>Metrics!$B$8</xm:f>
            <x14:dxf>
              <font>
                <color rgb="FFFFFFFF"/>
              </font>
              <fill>
                <patternFill>
                  <bgColor rgb="FF92D050"/>
                </patternFill>
              </fill>
            </x14:dxf>
          </x14:cfRule>
          <x14:cfRule type="cellIs" priority="60" operator="equal" id="{74FC10B2-9676-4632-8B31-FD63833E5598}">
            <xm:f>Metrics!$B$7</xm:f>
            <x14:dxf>
              <font>
                <color rgb="FFFFFFFF"/>
              </font>
              <fill>
                <patternFill>
                  <bgColor rgb="FFFFC000"/>
                </patternFill>
              </fill>
            </x14:dxf>
          </x14:cfRule>
          <x14:cfRule type="cellIs" priority="61" operator="equal" id="{212EE580-4FD9-40EC-AC81-33C0186180A5}">
            <xm:f>Metrics!$B$6</xm:f>
            <x14:dxf>
              <font>
                <color rgb="FFFFFFFF"/>
              </font>
              <fill>
                <patternFill>
                  <bgColor theme="2" tint="-0.5"/>
                </patternFill>
              </fill>
            </x14:dxf>
          </x14:cfRule>
          <x14:cfRule type="cellIs" priority="62" operator="equal" id="{EEE01E17-CDF0-4B50-B1EB-718A2D50F0DC}">
            <xm:f>Metrics!$B$5</xm:f>
            <x14:dxf>
              <font>
                <color rgb="FFFFFFFF"/>
              </font>
              <fill>
                <patternFill>
                  <bgColor rgb="FFC00000"/>
                </patternFill>
              </fill>
            </x14:dxf>
          </x14:cfRule>
          <x14:cfRule type="cellIs" priority="63" operator="equal" id="{69DA5F53-27A5-4E70-89D6-ED43432824BE}">
            <xm:f>Metrics!$B$4</xm:f>
            <x14:dxf>
              <font>
                <color rgb="FFFFFFFF"/>
              </font>
              <fill>
                <patternFill>
                  <bgColor rgb="FFFF0000"/>
                </patternFill>
              </fill>
            </x14:dxf>
          </x14:cfRule>
          <x14:cfRule type="cellIs" priority="64" operator="equal" id="{AF597997-38F1-4514-A4E0-F9B87039DA91}">
            <xm:f>Metrics!$B$3</xm:f>
            <x14:dxf>
              <font>
                <color rgb="FFD9D9D9"/>
              </font>
              <fill>
                <patternFill>
                  <bgColor theme="0"/>
                </patternFill>
              </fill>
            </x14:dxf>
          </x14:cfRule>
          <xm:sqref>D48</xm:sqref>
        </x14:conditionalFormatting>
        <x14:conditionalFormatting xmlns:xm="http://schemas.microsoft.com/office/excel/2006/main">
          <x14:cfRule type="cellIs" priority="68" operator="equal" id="{ECFDE721-A4CB-48E6-A7E0-761A7B407E60}">
            <xm:f>Metrics!$B$10</xm:f>
            <x14:dxf>
              <font>
                <color rgb="FFFFFFFF"/>
              </font>
              <fill>
                <patternFill>
                  <bgColor theme="0" tint="-0.35"/>
                </patternFill>
              </fill>
            </x14:dxf>
          </x14:cfRule>
          <x14:cfRule type="cellIs" priority="69" operator="equal" id="{D0E240A3-2969-41A1-8F2E-31F954704349}">
            <xm:f>Metrics!$B$9</xm:f>
            <x14:dxf>
              <font>
                <color rgb="FFFFFFFF"/>
              </font>
              <fill>
                <patternFill>
                  <bgColor rgb="FF336600"/>
                </patternFill>
              </fill>
            </x14:dxf>
          </x14:cfRule>
          <x14:cfRule type="cellIs" priority="70" operator="equal" id="{4517B8E3-4C9A-40D3-ABCF-4489C8A8A555}">
            <xm:f>Metrics!$B$8</xm:f>
            <x14:dxf>
              <font>
                <color rgb="FFFFFFFF"/>
              </font>
              <fill>
                <patternFill>
                  <bgColor rgb="FF92D050"/>
                </patternFill>
              </fill>
            </x14:dxf>
          </x14:cfRule>
          <x14:cfRule type="cellIs" priority="71" operator="equal" id="{EEE33B1B-CF9F-477F-AA57-F953DEB0F6ED}">
            <xm:f>Metrics!$B$7</xm:f>
            <x14:dxf>
              <font>
                <color rgb="FFFFFFFF"/>
              </font>
              <fill>
                <patternFill>
                  <bgColor rgb="FFFFC000"/>
                </patternFill>
              </fill>
            </x14:dxf>
          </x14:cfRule>
          <x14:cfRule type="cellIs" priority="72" operator="equal" id="{8C8447DF-C047-44E7-9DEA-6E6F13F49A5D}">
            <xm:f>Metrics!$B$6</xm:f>
            <x14:dxf>
              <font>
                <color rgb="FFFFFFFF"/>
              </font>
              <fill>
                <patternFill>
                  <bgColor theme="2" tint="-0.5"/>
                </patternFill>
              </fill>
            </x14:dxf>
          </x14:cfRule>
          <x14:cfRule type="cellIs" priority="73" operator="equal" id="{4CDF2240-B558-4074-BD97-39FFDC54DE73}">
            <xm:f>Metrics!$B$5</xm:f>
            <x14:dxf>
              <font>
                <color rgb="FFFFFFFF"/>
              </font>
              <fill>
                <patternFill>
                  <bgColor rgb="FFC00000"/>
                </patternFill>
              </fill>
            </x14:dxf>
          </x14:cfRule>
          <x14:cfRule type="cellIs" priority="74" operator="equal" id="{B4323310-C087-4584-80DB-D0D4A1E043F0}">
            <xm:f>Metrics!$B$4</xm:f>
            <x14:dxf>
              <font>
                <color rgb="FFFFFFFF"/>
              </font>
              <fill>
                <patternFill>
                  <bgColor rgb="FFFF0000"/>
                </patternFill>
              </fill>
            </x14:dxf>
          </x14:cfRule>
          <x14:cfRule type="cellIs" priority="75" operator="equal" id="{3BA08D58-4CD1-4DF5-BDCC-B44361865B85}">
            <xm:f>Metrics!$B$3</xm:f>
            <x14:dxf>
              <font>
                <color rgb="FFD9D9D9"/>
              </font>
              <fill>
                <patternFill>
                  <bgColor theme="0"/>
                </patternFill>
              </fill>
            </x14:dxf>
          </x14:cfRule>
          <xm:sqref>D46</xm:sqref>
        </x14:conditionalFormatting>
        <x14:conditionalFormatting xmlns:xm="http://schemas.microsoft.com/office/excel/2006/main">
          <x14:cfRule type="cellIs" priority="79" operator="equal" id="{776E4040-382E-44A4-A5A2-B0603651D156}">
            <xm:f>Metrics!$B$10</xm:f>
            <x14:dxf>
              <font>
                <color rgb="FFFFFFFF"/>
              </font>
              <fill>
                <patternFill>
                  <bgColor theme="0" tint="-0.35"/>
                </patternFill>
              </fill>
            </x14:dxf>
          </x14:cfRule>
          <x14:cfRule type="cellIs" priority="80" operator="equal" id="{00CFC513-4E77-4C6B-BCAF-25B4322BD06F}">
            <xm:f>Metrics!$B$9</xm:f>
            <x14:dxf>
              <font>
                <color rgb="FFFFFFFF"/>
              </font>
              <fill>
                <patternFill>
                  <bgColor rgb="FF336600"/>
                </patternFill>
              </fill>
            </x14:dxf>
          </x14:cfRule>
          <x14:cfRule type="cellIs" priority="81" operator="equal" id="{3DFFFD7C-79A6-49F7-9D20-5D6A2FF55765}">
            <xm:f>Metrics!$B$8</xm:f>
            <x14:dxf>
              <font>
                <color rgb="FFFFFFFF"/>
              </font>
              <fill>
                <patternFill>
                  <bgColor rgb="FF92D050"/>
                </patternFill>
              </fill>
            </x14:dxf>
          </x14:cfRule>
          <x14:cfRule type="cellIs" priority="82" operator="equal" id="{D1AB9CCC-C04C-45D8-BD6B-E15A4BBCA674}">
            <xm:f>Metrics!$B$7</xm:f>
            <x14:dxf>
              <font>
                <color rgb="FFFFFFFF"/>
              </font>
              <fill>
                <patternFill>
                  <bgColor rgb="FFFFC000"/>
                </patternFill>
              </fill>
            </x14:dxf>
          </x14:cfRule>
          <x14:cfRule type="cellIs" priority="83" operator="equal" id="{47A117A0-A722-41D5-9914-29B69C783381}">
            <xm:f>Metrics!$B$6</xm:f>
            <x14:dxf>
              <font>
                <color rgb="FFFFFFFF"/>
              </font>
              <fill>
                <patternFill>
                  <bgColor theme="2" tint="-0.5"/>
                </patternFill>
              </fill>
            </x14:dxf>
          </x14:cfRule>
          <x14:cfRule type="cellIs" priority="84" operator="equal" id="{3938A160-E3D0-4563-8650-C0EE10CAAA1C}">
            <xm:f>Metrics!$B$5</xm:f>
            <x14:dxf>
              <font>
                <color rgb="FFFFFFFF"/>
              </font>
              <fill>
                <patternFill>
                  <bgColor rgb="FFC00000"/>
                </patternFill>
              </fill>
            </x14:dxf>
          </x14:cfRule>
          <x14:cfRule type="cellIs" priority="85" operator="equal" id="{83E293C0-7A29-414C-957F-C2192B555CC0}">
            <xm:f>Metrics!$B$4</xm:f>
            <x14:dxf>
              <font>
                <color rgb="FFFFFFFF"/>
              </font>
              <fill>
                <patternFill>
                  <bgColor rgb="FFFF0000"/>
                </patternFill>
              </fill>
            </x14:dxf>
          </x14:cfRule>
          <x14:cfRule type="cellIs" priority="86" operator="equal" id="{C6C14D4A-3CE9-43E6-8137-2C4E106C3E80}">
            <xm:f>Metrics!$B$3</xm:f>
            <x14:dxf>
              <font>
                <color rgb="FFD9D9D9"/>
              </font>
              <fill>
                <patternFill>
                  <bgColor theme="0"/>
                </patternFill>
              </fill>
            </x14:dxf>
          </x14:cfRule>
          <xm:sqref>D44</xm:sqref>
        </x14:conditionalFormatting>
        <x14:conditionalFormatting xmlns:xm="http://schemas.microsoft.com/office/excel/2006/main">
          <x14:cfRule type="cellIs" priority="90" operator="equal" id="{54A57CAF-248E-4DB7-B5BB-7417A098E598}">
            <xm:f>Metrics!$B$10</xm:f>
            <x14:dxf>
              <font>
                <color rgb="FFFFFFFF"/>
              </font>
              <fill>
                <patternFill>
                  <bgColor theme="0" tint="-0.35"/>
                </patternFill>
              </fill>
            </x14:dxf>
          </x14:cfRule>
          <x14:cfRule type="cellIs" priority="91" operator="equal" id="{BA53DDA7-36A0-44D3-A04A-604B42C76AC4}">
            <xm:f>Metrics!$B$9</xm:f>
            <x14:dxf>
              <font>
                <color rgb="FFFFFFFF"/>
              </font>
              <fill>
                <patternFill>
                  <bgColor rgb="FF336600"/>
                </patternFill>
              </fill>
            </x14:dxf>
          </x14:cfRule>
          <x14:cfRule type="cellIs" priority="92" operator="equal" id="{7CF4FE13-A8A4-46DB-80D0-1928985A536C}">
            <xm:f>Metrics!$B$8</xm:f>
            <x14:dxf>
              <font>
                <color rgb="FFFFFFFF"/>
              </font>
              <fill>
                <patternFill>
                  <bgColor rgb="FF92D050"/>
                </patternFill>
              </fill>
            </x14:dxf>
          </x14:cfRule>
          <x14:cfRule type="cellIs" priority="93" operator="equal" id="{EF1CE8C1-A57B-4213-9E3C-F4B5CE4EE6D3}">
            <xm:f>Metrics!$B$7</xm:f>
            <x14:dxf>
              <font>
                <color rgb="FFFFFFFF"/>
              </font>
              <fill>
                <patternFill>
                  <bgColor rgb="FFFFC000"/>
                </patternFill>
              </fill>
            </x14:dxf>
          </x14:cfRule>
          <x14:cfRule type="cellIs" priority="94" operator="equal" id="{5BD93B5C-FA93-40CE-BDF0-1174B200D31D}">
            <xm:f>Metrics!$B$6</xm:f>
            <x14:dxf>
              <font>
                <color rgb="FFFFFFFF"/>
              </font>
              <fill>
                <patternFill>
                  <bgColor theme="2" tint="-0.5"/>
                </patternFill>
              </fill>
            </x14:dxf>
          </x14:cfRule>
          <x14:cfRule type="cellIs" priority="95" operator="equal" id="{B36440D9-8E41-4976-BADB-94B0AFF92EF2}">
            <xm:f>Metrics!$B$5</xm:f>
            <x14:dxf>
              <font>
                <color rgb="FFFFFFFF"/>
              </font>
              <fill>
                <patternFill>
                  <bgColor rgb="FFC00000"/>
                </patternFill>
              </fill>
            </x14:dxf>
          </x14:cfRule>
          <x14:cfRule type="cellIs" priority="96" operator="equal" id="{5D61DC4E-55D7-4AC6-9650-D5921E8E1780}">
            <xm:f>Metrics!$B$4</xm:f>
            <x14:dxf>
              <font>
                <color rgb="FFFFFFFF"/>
              </font>
              <fill>
                <patternFill>
                  <bgColor rgb="FFFF0000"/>
                </patternFill>
              </fill>
            </x14:dxf>
          </x14:cfRule>
          <x14:cfRule type="cellIs" priority="97" operator="equal" id="{F9FEF77E-8723-432C-A7B2-102940B5BC7D}">
            <xm:f>Metrics!$B$3</xm:f>
            <x14:dxf>
              <font>
                <color rgb="FFD9D9D9"/>
              </font>
              <fill>
                <patternFill>
                  <bgColor theme="0"/>
                </patternFill>
              </fill>
            </x14:dxf>
          </x14:cfRule>
          <xm:sqref>D39:D41</xm:sqref>
        </x14:conditionalFormatting>
        <x14:conditionalFormatting xmlns:xm="http://schemas.microsoft.com/office/excel/2006/main">
          <x14:cfRule type="cellIs" priority="101" operator="equal" id="{F0CD21F5-D634-45C8-BBBD-B0D97F67FCDB}">
            <xm:f>Metrics!$B$10</xm:f>
            <x14:dxf>
              <font>
                <color rgb="FFFFFFFF"/>
              </font>
              <fill>
                <patternFill>
                  <bgColor theme="0" tint="-0.35"/>
                </patternFill>
              </fill>
            </x14:dxf>
          </x14:cfRule>
          <x14:cfRule type="cellIs" priority="102" operator="equal" id="{9481D3B8-6CAA-47A3-B812-4700AC9F87B6}">
            <xm:f>Metrics!$B$9</xm:f>
            <x14:dxf>
              <font>
                <color rgb="FFFFFFFF"/>
              </font>
              <fill>
                <patternFill>
                  <bgColor rgb="FF336600"/>
                </patternFill>
              </fill>
            </x14:dxf>
          </x14:cfRule>
          <x14:cfRule type="cellIs" priority="103" operator="equal" id="{39368C9C-F25F-48D7-8B5F-8D10CF75A084}">
            <xm:f>Metrics!$B$8</xm:f>
            <x14:dxf>
              <font>
                <color rgb="FFFFFFFF"/>
              </font>
              <fill>
                <patternFill>
                  <bgColor rgb="FF92D050"/>
                </patternFill>
              </fill>
            </x14:dxf>
          </x14:cfRule>
          <x14:cfRule type="cellIs" priority="104" operator="equal" id="{A3A6B699-D072-4316-ACB1-3EC07F141234}">
            <xm:f>Metrics!$B$7</xm:f>
            <x14:dxf>
              <font>
                <color rgb="FFFFFFFF"/>
              </font>
              <fill>
                <patternFill>
                  <bgColor rgb="FFFFC000"/>
                </patternFill>
              </fill>
            </x14:dxf>
          </x14:cfRule>
          <x14:cfRule type="cellIs" priority="105" operator="equal" id="{65E87132-873C-4874-B638-3BAEA4E86A97}">
            <xm:f>Metrics!$B$6</xm:f>
            <x14:dxf>
              <font>
                <color rgb="FFFFFFFF"/>
              </font>
              <fill>
                <patternFill>
                  <bgColor theme="2" tint="-0.5"/>
                </patternFill>
              </fill>
            </x14:dxf>
          </x14:cfRule>
          <x14:cfRule type="cellIs" priority="106" operator="equal" id="{765238B1-A5D7-4CEC-99F7-3A16FFAA92A4}">
            <xm:f>Metrics!$B$5</xm:f>
            <x14:dxf>
              <font>
                <color rgb="FFFFFFFF"/>
              </font>
              <fill>
                <patternFill>
                  <bgColor rgb="FFC00000"/>
                </patternFill>
              </fill>
            </x14:dxf>
          </x14:cfRule>
          <x14:cfRule type="cellIs" priority="107" operator="equal" id="{E3F2B157-698A-4025-8C42-E76C9AC864B0}">
            <xm:f>Metrics!$B$4</xm:f>
            <x14:dxf>
              <font>
                <color rgb="FFFFFFFF"/>
              </font>
              <fill>
                <patternFill>
                  <bgColor rgb="FFFF0000"/>
                </patternFill>
              </fill>
            </x14:dxf>
          </x14:cfRule>
          <x14:cfRule type="cellIs" priority="108" operator="equal" id="{3EAB1762-9034-413D-B641-8B78E8677CF7}">
            <xm:f>Metrics!$B$3</xm:f>
            <x14:dxf>
              <font>
                <color rgb="FFD9D9D9"/>
              </font>
              <fill>
                <patternFill>
                  <bgColor theme="0"/>
                </patternFill>
              </fill>
            </x14:dxf>
          </x14:cfRule>
          <xm:sqref>D37</xm:sqref>
        </x14:conditionalFormatting>
        <x14:conditionalFormatting xmlns:xm="http://schemas.microsoft.com/office/excel/2006/main">
          <x14:cfRule type="cellIs" priority="112" operator="equal" id="{25FF152E-3E3E-4D60-955E-F08512A815BA}">
            <xm:f>Metrics!$B$10</xm:f>
            <x14:dxf>
              <font>
                <color rgb="FFFFFFFF"/>
              </font>
              <fill>
                <patternFill>
                  <bgColor theme="0" tint="-0.35"/>
                </patternFill>
              </fill>
            </x14:dxf>
          </x14:cfRule>
          <x14:cfRule type="cellIs" priority="113" operator="equal" id="{171C5917-1BD3-4D42-9E50-60F2AAE2DC70}">
            <xm:f>Metrics!$B$9</xm:f>
            <x14:dxf>
              <font>
                <color rgb="FFFFFFFF"/>
              </font>
              <fill>
                <patternFill>
                  <bgColor rgb="FF336600"/>
                </patternFill>
              </fill>
            </x14:dxf>
          </x14:cfRule>
          <x14:cfRule type="cellIs" priority="114" operator="equal" id="{6DF92A4A-68ED-402E-AC2B-A9C0EE93E021}">
            <xm:f>Metrics!$B$8</xm:f>
            <x14:dxf>
              <font>
                <color rgb="FFFFFFFF"/>
              </font>
              <fill>
                <patternFill>
                  <bgColor rgb="FF92D050"/>
                </patternFill>
              </fill>
            </x14:dxf>
          </x14:cfRule>
          <x14:cfRule type="cellIs" priority="115" operator="equal" id="{951FB473-FDCC-4DD8-8222-F589C084C095}">
            <xm:f>Metrics!$B$7</xm:f>
            <x14:dxf>
              <font>
                <color rgb="FFFFFFFF"/>
              </font>
              <fill>
                <patternFill>
                  <bgColor rgb="FFFFC000"/>
                </patternFill>
              </fill>
            </x14:dxf>
          </x14:cfRule>
          <x14:cfRule type="cellIs" priority="116" operator="equal" id="{BF8571FE-232A-4E2B-BCF3-34A9AA39AA70}">
            <xm:f>Metrics!$B$6</xm:f>
            <x14:dxf>
              <font>
                <color rgb="FFFFFFFF"/>
              </font>
              <fill>
                <patternFill>
                  <bgColor theme="2" tint="-0.5"/>
                </patternFill>
              </fill>
            </x14:dxf>
          </x14:cfRule>
          <x14:cfRule type="cellIs" priority="117" operator="equal" id="{98A92053-1F35-40DC-BEE3-AAC7BA5E7D2F}">
            <xm:f>Metrics!$B$5</xm:f>
            <x14:dxf>
              <font>
                <color rgb="FFFFFFFF"/>
              </font>
              <fill>
                <patternFill>
                  <bgColor rgb="FFC00000"/>
                </patternFill>
              </fill>
            </x14:dxf>
          </x14:cfRule>
          <x14:cfRule type="cellIs" priority="118" operator="equal" id="{2584174B-3B70-4918-B781-4CDAC48091B2}">
            <xm:f>Metrics!$B$4</xm:f>
            <x14:dxf>
              <font>
                <color rgb="FFFFFFFF"/>
              </font>
              <fill>
                <patternFill>
                  <bgColor rgb="FFFF0000"/>
                </patternFill>
              </fill>
            </x14:dxf>
          </x14:cfRule>
          <x14:cfRule type="cellIs" priority="119" operator="equal" id="{9099B7B3-5A74-4B5C-9734-23D97CD6A37A}">
            <xm:f>Metrics!$B$3</xm:f>
            <x14:dxf>
              <font>
                <color rgb="FFD9D9D9"/>
              </font>
              <fill>
                <patternFill>
                  <bgColor theme="0"/>
                </patternFill>
              </fill>
            </x14:dxf>
          </x14:cfRule>
          <xm:sqref>D35</xm:sqref>
        </x14:conditionalFormatting>
        <x14:conditionalFormatting xmlns:xm="http://schemas.microsoft.com/office/excel/2006/main">
          <x14:cfRule type="cellIs" priority="123" operator="equal" id="{E4851E6F-D58C-471F-B25B-143D46562AE3}">
            <xm:f>Metrics!$B$10</xm:f>
            <x14:dxf>
              <font>
                <color rgb="FFFFFFFF"/>
              </font>
              <fill>
                <patternFill>
                  <bgColor theme="0" tint="-0.35"/>
                </patternFill>
              </fill>
            </x14:dxf>
          </x14:cfRule>
          <x14:cfRule type="cellIs" priority="124" operator="equal" id="{513E90FD-AB34-49BF-8749-D713D2D0EEA9}">
            <xm:f>Metrics!$B$9</xm:f>
            <x14:dxf>
              <font>
                <color rgb="FFFFFFFF"/>
              </font>
              <fill>
                <patternFill>
                  <bgColor rgb="FF336600"/>
                </patternFill>
              </fill>
            </x14:dxf>
          </x14:cfRule>
          <x14:cfRule type="cellIs" priority="125" operator="equal" id="{873C34C2-2835-40AA-B953-16192B1782E1}">
            <xm:f>Metrics!$B$8</xm:f>
            <x14:dxf>
              <font>
                <color rgb="FFFFFFFF"/>
              </font>
              <fill>
                <patternFill>
                  <bgColor rgb="FF92D050"/>
                </patternFill>
              </fill>
            </x14:dxf>
          </x14:cfRule>
          <x14:cfRule type="cellIs" priority="126" operator="equal" id="{37A88A29-3D2A-49B8-B334-B0BE71D04035}">
            <xm:f>Metrics!$B$7</xm:f>
            <x14:dxf>
              <font>
                <color rgb="FFFFFFFF"/>
              </font>
              <fill>
                <patternFill>
                  <bgColor rgb="FFFFC000"/>
                </patternFill>
              </fill>
            </x14:dxf>
          </x14:cfRule>
          <x14:cfRule type="cellIs" priority="127" operator="equal" id="{F099898F-1B8A-4C49-9480-C0D3C37C1899}">
            <xm:f>Metrics!$B$6</xm:f>
            <x14:dxf>
              <font>
                <color rgb="FFFFFFFF"/>
              </font>
              <fill>
                <patternFill>
                  <bgColor theme="2" tint="-0.5"/>
                </patternFill>
              </fill>
            </x14:dxf>
          </x14:cfRule>
          <x14:cfRule type="cellIs" priority="128" operator="equal" id="{ADA7878D-4D17-4CBA-9E17-FFE774417FDC}">
            <xm:f>Metrics!$B$5</xm:f>
            <x14:dxf>
              <font>
                <color rgb="FFFFFFFF"/>
              </font>
              <fill>
                <patternFill>
                  <bgColor rgb="FFC00000"/>
                </patternFill>
              </fill>
            </x14:dxf>
          </x14:cfRule>
          <x14:cfRule type="cellIs" priority="129" operator="equal" id="{621B00A8-A8D4-473A-9CD2-87A88D9BA55D}">
            <xm:f>Metrics!$B$4</xm:f>
            <x14:dxf>
              <font>
                <color rgb="FFFFFFFF"/>
              </font>
              <fill>
                <patternFill>
                  <bgColor rgb="FFFF0000"/>
                </patternFill>
              </fill>
            </x14:dxf>
          </x14:cfRule>
          <x14:cfRule type="cellIs" priority="130" operator="equal" id="{B6197148-4FD5-424B-80C7-EFFE6CDEBB30}">
            <xm:f>Metrics!$B$3</xm:f>
            <x14:dxf>
              <font>
                <color rgb="FFD9D9D9"/>
              </font>
              <fill>
                <patternFill>
                  <bgColor theme="0"/>
                </patternFill>
              </fill>
            </x14:dxf>
          </x14:cfRule>
          <xm:sqref>D33</xm:sqref>
        </x14:conditionalFormatting>
        <x14:conditionalFormatting xmlns:xm="http://schemas.microsoft.com/office/excel/2006/main">
          <x14:cfRule type="cellIs" priority="134" operator="equal" id="{FC61F157-83F7-4DFB-BA48-C39EF2E117B3}">
            <xm:f>Metrics!$B$10</xm:f>
            <x14:dxf>
              <font>
                <color rgb="FFFFFFFF"/>
              </font>
              <fill>
                <patternFill>
                  <bgColor theme="0" tint="-0.35"/>
                </patternFill>
              </fill>
            </x14:dxf>
          </x14:cfRule>
          <x14:cfRule type="cellIs" priority="135" operator="equal" id="{6747E89F-DE59-469F-96E0-D8934CA8B7F4}">
            <xm:f>Metrics!$B$9</xm:f>
            <x14:dxf>
              <font>
                <color rgb="FFFFFFFF"/>
              </font>
              <fill>
                <patternFill>
                  <bgColor rgb="FF336600"/>
                </patternFill>
              </fill>
            </x14:dxf>
          </x14:cfRule>
          <x14:cfRule type="cellIs" priority="136" operator="equal" id="{7065E2DF-C0FE-4A81-BDA9-5BE09E7F4F43}">
            <xm:f>Metrics!$B$8</xm:f>
            <x14:dxf>
              <font>
                <color rgb="FFFFFFFF"/>
              </font>
              <fill>
                <patternFill>
                  <bgColor rgb="FF92D050"/>
                </patternFill>
              </fill>
            </x14:dxf>
          </x14:cfRule>
          <x14:cfRule type="cellIs" priority="137" operator="equal" id="{7F69AE70-6A25-4089-94AA-22FA7F589781}">
            <xm:f>Metrics!$B$7</xm:f>
            <x14:dxf>
              <font>
                <color rgb="FFFFFFFF"/>
              </font>
              <fill>
                <patternFill>
                  <bgColor rgb="FFFFC000"/>
                </patternFill>
              </fill>
            </x14:dxf>
          </x14:cfRule>
          <x14:cfRule type="cellIs" priority="138" operator="equal" id="{3375E89B-1999-4363-B934-C1933C722332}">
            <xm:f>Metrics!$B$6</xm:f>
            <x14:dxf>
              <font>
                <color rgb="FFFFFFFF"/>
              </font>
              <fill>
                <patternFill>
                  <bgColor theme="2" tint="-0.5"/>
                </patternFill>
              </fill>
            </x14:dxf>
          </x14:cfRule>
          <x14:cfRule type="cellIs" priority="139" operator="equal" id="{3DC1AC9A-2580-40D1-8370-429B6CFDD180}">
            <xm:f>Metrics!$B$5</xm:f>
            <x14:dxf>
              <font>
                <color rgb="FFFFFFFF"/>
              </font>
              <fill>
                <patternFill>
                  <bgColor rgb="FFC00000"/>
                </patternFill>
              </fill>
            </x14:dxf>
          </x14:cfRule>
          <x14:cfRule type="cellIs" priority="140" operator="equal" id="{23B2C660-A25A-4F35-9E2E-90F8D7F9C1E9}">
            <xm:f>Metrics!$B$4</xm:f>
            <x14:dxf>
              <font>
                <color rgb="FFFFFFFF"/>
              </font>
              <fill>
                <patternFill>
                  <bgColor rgb="FFFF0000"/>
                </patternFill>
              </fill>
            </x14:dxf>
          </x14:cfRule>
          <x14:cfRule type="cellIs" priority="141" operator="equal" id="{535DB082-8AAB-48D6-9080-D41A48387D4E}">
            <xm:f>Metrics!$B$3</xm:f>
            <x14:dxf>
              <font>
                <color rgb="FFD9D9D9"/>
              </font>
              <fill>
                <patternFill>
                  <bgColor theme="0"/>
                </patternFill>
              </fill>
            </x14:dxf>
          </x14:cfRule>
          <xm:sqref>D31</xm:sqref>
        </x14:conditionalFormatting>
        <x14:conditionalFormatting xmlns:xm="http://schemas.microsoft.com/office/excel/2006/main">
          <x14:cfRule type="cellIs" priority="145" operator="equal" id="{4266CE1A-6FC4-4C54-A1BF-D69EB5A9BDB9}">
            <xm:f>Metrics!$B$10</xm:f>
            <x14:dxf>
              <font>
                <color rgb="FFFFFFFF"/>
              </font>
              <fill>
                <patternFill>
                  <bgColor theme="0" tint="-0.35"/>
                </patternFill>
              </fill>
            </x14:dxf>
          </x14:cfRule>
          <x14:cfRule type="cellIs" priority="146" operator="equal" id="{9C34A980-2A1F-4D2B-9274-4079DB6AE6B4}">
            <xm:f>Metrics!$B$9</xm:f>
            <x14:dxf>
              <font>
                <color rgb="FFFFFFFF"/>
              </font>
              <fill>
                <patternFill>
                  <bgColor rgb="FF336600"/>
                </patternFill>
              </fill>
            </x14:dxf>
          </x14:cfRule>
          <x14:cfRule type="cellIs" priority="147" operator="equal" id="{2C23F8F1-58C2-4A49-951B-9566E3F441EB}">
            <xm:f>Metrics!$B$8</xm:f>
            <x14:dxf>
              <font>
                <color rgb="FFFFFFFF"/>
              </font>
              <fill>
                <patternFill>
                  <bgColor rgb="FF92D050"/>
                </patternFill>
              </fill>
            </x14:dxf>
          </x14:cfRule>
          <x14:cfRule type="cellIs" priority="148" operator="equal" id="{855AFEBE-B059-48AE-BCCC-33F19A1250E0}">
            <xm:f>Metrics!$B$7</xm:f>
            <x14:dxf>
              <font>
                <color rgb="FFFFFFFF"/>
              </font>
              <fill>
                <patternFill>
                  <bgColor rgb="FFFFC000"/>
                </patternFill>
              </fill>
            </x14:dxf>
          </x14:cfRule>
          <x14:cfRule type="cellIs" priority="149" operator="equal" id="{6384DE3A-E2EB-4D16-BCCC-A641A0EA892F}">
            <xm:f>Metrics!$B$6</xm:f>
            <x14:dxf>
              <font>
                <color rgb="FFFFFFFF"/>
              </font>
              <fill>
                <patternFill>
                  <bgColor theme="2" tint="-0.5"/>
                </patternFill>
              </fill>
            </x14:dxf>
          </x14:cfRule>
          <x14:cfRule type="cellIs" priority="150" operator="equal" id="{80D4706E-E033-49E3-8ED0-656BA5209F54}">
            <xm:f>Metrics!$B$5</xm:f>
            <x14:dxf>
              <font>
                <color rgb="FFFFFFFF"/>
              </font>
              <fill>
                <patternFill>
                  <bgColor rgb="FFC00000"/>
                </patternFill>
              </fill>
            </x14:dxf>
          </x14:cfRule>
          <x14:cfRule type="cellIs" priority="151" operator="equal" id="{927FCC37-7AD5-4887-B837-5D2EBC912ABC}">
            <xm:f>Metrics!$B$4</xm:f>
            <x14:dxf>
              <font>
                <color rgb="FFFFFFFF"/>
              </font>
              <fill>
                <patternFill>
                  <bgColor rgb="FFFF0000"/>
                </patternFill>
              </fill>
            </x14:dxf>
          </x14:cfRule>
          <x14:cfRule type="cellIs" priority="152" operator="equal" id="{96DD40CA-A16F-4CF6-818D-15E13D3D6B3C}">
            <xm:f>Metrics!$B$3</xm:f>
            <x14:dxf>
              <font>
                <color rgb="FFD9D9D9"/>
              </font>
              <fill>
                <patternFill>
                  <bgColor theme="0"/>
                </patternFill>
              </fill>
            </x14:dxf>
          </x14:cfRule>
          <xm:sqref>D28</xm:sqref>
        </x14:conditionalFormatting>
        <x14:conditionalFormatting xmlns:xm="http://schemas.microsoft.com/office/excel/2006/main">
          <x14:cfRule type="cellIs" priority="156" operator="equal" id="{C340FC7B-8043-4B46-8FD5-99DF1C3ED47A}">
            <xm:f>Metrics!$B$10</xm:f>
            <x14:dxf>
              <font>
                <color rgb="FFFFFFFF"/>
              </font>
              <fill>
                <patternFill>
                  <bgColor theme="0" tint="-0.35"/>
                </patternFill>
              </fill>
            </x14:dxf>
          </x14:cfRule>
          <x14:cfRule type="cellIs" priority="157" operator="equal" id="{3FC9D098-8292-4694-9888-E3A0CFFEABC4}">
            <xm:f>Metrics!$B$9</xm:f>
            <x14:dxf>
              <font>
                <color rgb="FFFFFFFF"/>
              </font>
              <fill>
                <patternFill>
                  <bgColor rgb="FF336600"/>
                </patternFill>
              </fill>
            </x14:dxf>
          </x14:cfRule>
          <x14:cfRule type="cellIs" priority="158" operator="equal" id="{F0E08050-D0D9-4239-BB74-1070783F1AEE}">
            <xm:f>Metrics!$B$8</xm:f>
            <x14:dxf>
              <font>
                <color rgb="FFFFFFFF"/>
              </font>
              <fill>
                <patternFill>
                  <bgColor rgb="FF92D050"/>
                </patternFill>
              </fill>
            </x14:dxf>
          </x14:cfRule>
          <x14:cfRule type="cellIs" priority="159" operator="equal" id="{8AAEA3CE-91C8-41F2-82BC-8E8916D4C689}">
            <xm:f>Metrics!$B$7</xm:f>
            <x14:dxf>
              <font>
                <color rgb="FFFFFFFF"/>
              </font>
              <fill>
                <patternFill>
                  <bgColor rgb="FFFFC000"/>
                </patternFill>
              </fill>
            </x14:dxf>
          </x14:cfRule>
          <x14:cfRule type="cellIs" priority="160" operator="equal" id="{BC8DBB2A-9D3C-4337-8AA5-80BB9BDD5E70}">
            <xm:f>Metrics!$B$6</xm:f>
            <x14:dxf>
              <font>
                <color rgb="FFFFFFFF"/>
              </font>
              <fill>
                <patternFill>
                  <bgColor theme="2" tint="-0.5"/>
                </patternFill>
              </fill>
            </x14:dxf>
          </x14:cfRule>
          <x14:cfRule type="cellIs" priority="161" operator="equal" id="{7540D019-9F1C-4F60-952B-30B639E26048}">
            <xm:f>Metrics!$B$5</xm:f>
            <x14:dxf>
              <font>
                <color rgb="FFFFFFFF"/>
              </font>
              <fill>
                <patternFill>
                  <bgColor rgb="FFC00000"/>
                </patternFill>
              </fill>
            </x14:dxf>
          </x14:cfRule>
          <x14:cfRule type="cellIs" priority="162" operator="equal" id="{8C6CF12F-B8F0-46A2-B864-D050C096B53E}">
            <xm:f>Metrics!$B$4</xm:f>
            <x14:dxf>
              <font>
                <color rgb="FFFFFFFF"/>
              </font>
              <fill>
                <patternFill>
                  <bgColor rgb="FFFF0000"/>
                </patternFill>
              </fill>
            </x14:dxf>
          </x14:cfRule>
          <x14:cfRule type="cellIs" priority="163" operator="equal" id="{55753A84-B11B-4A89-AE71-7A81A9F49053}">
            <xm:f>Metrics!$B$3</xm:f>
            <x14:dxf>
              <font>
                <color rgb="FFD9D9D9"/>
              </font>
              <fill>
                <patternFill>
                  <bgColor theme="0"/>
                </patternFill>
              </fill>
            </x14:dxf>
          </x14:cfRule>
          <xm:sqref>D26</xm:sqref>
        </x14:conditionalFormatting>
        <x14:conditionalFormatting xmlns:xm="http://schemas.microsoft.com/office/excel/2006/main">
          <x14:cfRule type="cellIs" priority="167" operator="equal" id="{CDB6888C-AB7F-4110-B4A8-496631738968}">
            <xm:f>Metrics!$B$10</xm:f>
            <x14:dxf>
              <font>
                <color rgb="FFFFFFFF"/>
              </font>
              <fill>
                <patternFill>
                  <bgColor theme="0" tint="-0.35"/>
                </patternFill>
              </fill>
            </x14:dxf>
          </x14:cfRule>
          <x14:cfRule type="cellIs" priority="168" operator="equal" id="{C33B9516-8832-4552-9617-D04C42CB8054}">
            <xm:f>Metrics!$B$9</xm:f>
            <x14:dxf>
              <font>
                <color rgb="FFFFFFFF"/>
              </font>
              <fill>
                <patternFill>
                  <bgColor rgb="FF336600"/>
                </patternFill>
              </fill>
            </x14:dxf>
          </x14:cfRule>
          <x14:cfRule type="cellIs" priority="169" operator="equal" id="{653E7C82-2FD4-43C5-A37F-7448AA93B3CE}">
            <xm:f>Metrics!$B$8</xm:f>
            <x14:dxf>
              <font>
                <color rgb="FFFFFFFF"/>
              </font>
              <fill>
                <patternFill>
                  <bgColor rgb="FF92D050"/>
                </patternFill>
              </fill>
            </x14:dxf>
          </x14:cfRule>
          <x14:cfRule type="cellIs" priority="170" operator="equal" id="{DA9EC985-BF99-487F-8E92-5E22EF621763}">
            <xm:f>Metrics!$B$7</xm:f>
            <x14:dxf>
              <font>
                <color rgb="FFFFFFFF"/>
              </font>
              <fill>
                <patternFill>
                  <bgColor rgb="FFFFC000"/>
                </patternFill>
              </fill>
            </x14:dxf>
          </x14:cfRule>
          <x14:cfRule type="cellIs" priority="171" operator="equal" id="{98F6F396-9945-4927-8D8E-6290512A76DB}">
            <xm:f>Metrics!$B$6</xm:f>
            <x14:dxf>
              <font>
                <color rgb="FFFFFFFF"/>
              </font>
              <fill>
                <patternFill>
                  <bgColor theme="2" tint="-0.5"/>
                </patternFill>
              </fill>
            </x14:dxf>
          </x14:cfRule>
          <x14:cfRule type="cellIs" priority="172" operator="equal" id="{C7484EE0-EEB4-47E7-AF37-B46B6742FC8A}">
            <xm:f>Metrics!$B$5</xm:f>
            <x14:dxf>
              <font>
                <color rgb="FFFFFFFF"/>
              </font>
              <fill>
                <patternFill>
                  <bgColor rgb="FFC00000"/>
                </patternFill>
              </fill>
            </x14:dxf>
          </x14:cfRule>
          <x14:cfRule type="cellIs" priority="173" operator="equal" id="{64DA8FC0-F72A-4614-8493-D35A7F4EDFBA}">
            <xm:f>Metrics!$B$4</xm:f>
            <x14:dxf>
              <font>
                <color rgb="FFFFFFFF"/>
              </font>
              <fill>
                <patternFill>
                  <bgColor rgb="FFFF0000"/>
                </patternFill>
              </fill>
            </x14:dxf>
          </x14:cfRule>
          <x14:cfRule type="cellIs" priority="174" operator="equal" id="{4051AF28-A791-42BC-9A7C-665C158FB590}">
            <xm:f>Metrics!$B$3</xm:f>
            <x14:dxf>
              <font>
                <color rgb="FFD9D9D9"/>
              </font>
              <fill>
                <patternFill>
                  <bgColor theme="0"/>
                </patternFill>
              </fill>
            </x14:dxf>
          </x14:cfRule>
          <xm:sqref>D22:D24</xm:sqref>
        </x14:conditionalFormatting>
        <x14:conditionalFormatting xmlns:xm="http://schemas.microsoft.com/office/excel/2006/main">
          <x14:cfRule type="cellIs" priority="178" operator="equal" id="{6233B310-C978-4187-B5A9-94F578DF8156}">
            <xm:f>Metrics!$B$10</xm:f>
            <x14:dxf>
              <font>
                <color rgb="FFFFFFFF"/>
              </font>
              <fill>
                <patternFill>
                  <bgColor theme="0" tint="-0.35"/>
                </patternFill>
              </fill>
            </x14:dxf>
          </x14:cfRule>
          <x14:cfRule type="cellIs" priority="179" operator="equal" id="{BE48C85E-DB33-4AEF-B890-F3BD7C50ADA0}">
            <xm:f>Metrics!$B$9</xm:f>
            <x14:dxf>
              <font>
                <color rgb="FFFFFFFF"/>
              </font>
              <fill>
                <patternFill>
                  <bgColor rgb="FF336600"/>
                </patternFill>
              </fill>
            </x14:dxf>
          </x14:cfRule>
          <x14:cfRule type="cellIs" priority="180" operator="equal" id="{B0199061-3D91-4640-9AE0-B7C379CE31F7}">
            <xm:f>Metrics!$B$8</xm:f>
            <x14:dxf>
              <font>
                <color rgb="FFFFFFFF"/>
              </font>
              <fill>
                <patternFill>
                  <bgColor rgb="FF92D050"/>
                </patternFill>
              </fill>
            </x14:dxf>
          </x14:cfRule>
          <x14:cfRule type="cellIs" priority="181" operator="equal" id="{97668FC7-C280-4820-8438-751F81AB91D2}">
            <xm:f>Metrics!$B$7</xm:f>
            <x14:dxf>
              <font>
                <color rgb="FFFFFFFF"/>
              </font>
              <fill>
                <patternFill>
                  <bgColor rgb="FFFFC000"/>
                </patternFill>
              </fill>
            </x14:dxf>
          </x14:cfRule>
          <x14:cfRule type="cellIs" priority="182" operator="equal" id="{C5861FA8-5541-48ED-BDC0-6CBCE066FD93}">
            <xm:f>Metrics!$B$6</xm:f>
            <x14:dxf>
              <font>
                <color rgb="FFFFFFFF"/>
              </font>
              <fill>
                <patternFill>
                  <bgColor theme="2" tint="-0.5"/>
                </patternFill>
              </fill>
            </x14:dxf>
          </x14:cfRule>
          <x14:cfRule type="cellIs" priority="183" operator="equal" id="{4DAEFEA6-10F3-4CFA-ABE7-F2CF7FFCB8AE}">
            <xm:f>Metrics!$B$5</xm:f>
            <x14:dxf>
              <font>
                <color rgb="FFFFFFFF"/>
              </font>
              <fill>
                <patternFill>
                  <bgColor rgb="FFC00000"/>
                </patternFill>
              </fill>
            </x14:dxf>
          </x14:cfRule>
          <x14:cfRule type="cellIs" priority="184" operator="equal" id="{B0D1E4EF-BEF0-4849-9D33-606167E0F054}">
            <xm:f>Metrics!$B$4</xm:f>
            <x14:dxf>
              <font>
                <color rgb="FFFFFFFF"/>
              </font>
              <fill>
                <patternFill>
                  <bgColor rgb="FFFF0000"/>
                </patternFill>
              </fill>
            </x14:dxf>
          </x14:cfRule>
          <x14:cfRule type="cellIs" priority="185" operator="equal" id="{CE3B991F-7BDB-4CC4-ACD0-2C4F60829AF5}">
            <xm:f>Metrics!$B$3</xm:f>
            <x14:dxf>
              <font>
                <color rgb="FFD9D9D9"/>
              </font>
              <fill>
                <patternFill>
                  <bgColor theme="0"/>
                </patternFill>
              </fill>
            </x14:dxf>
          </x14:cfRule>
          <xm:sqref>D5</xm:sqref>
        </x14:conditionalFormatting>
        <x14:conditionalFormatting xmlns:xm="http://schemas.microsoft.com/office/excel/2006/main">
          <x14:cfRule type="cellIs" priority="189" operator="equal" id="{E0E0E085-8A6C-4296-B318-7D869052298D}">
            <xm:f>Metrics!$B$10</xm:f>
            <x14:dxf>
              <font>
                <color rgb="FFFFFFFF"/>
              </font>
              <fill>
                <patternFill>
                  <bgColor theme="0" tint="-0.35"/>
                </patternFill>
              </fill>
            </x14:dxf>
          </x14:cfRule>
          <x14:cfRule type="cellIs" priority="190" operator="equal" id="{E5D4A57D-7868-4CD7-8B5A-EDB59C68BA91}">
            <xm:f>Metrics!$B$9</xm:f>
            <x14:dxf>
              <font>
                <color rgb="FFFFFFFF"/>
              </font>
              <fill>
                <patternFill>
                  <bgColor rgb="FF336600"/>
                </patternFill>
              </fill>
            </x14:dxf>
          </x14:cfRule>
          <x14:cfRule type="cellIs" priority="191" operator="equal" id="{CE4551C8-6F81-4BEF-AFF9-167FAAE58BDE}">
            <xm:f>Metrics!$B$8</xm:f>
            <x14:dxf>
              <font>
                <color rgb="FFFFFFFF"/>
              </font>
              <fill>
                <patternFill>
                  <bgColor rgb="FF92D050"/>
                </patternFill>
              </fill>
            </x14:dxf>
          </x14:cfRule>
          <x14:cfRule type="cellIs" priority="192" operator="equal" id="{EA732E92-7EC4-44CD-A795-F2E774937079}">
            <xm:f>Metrics!$B$7</xm:f>
            <x14:dxf>
              <font>
                <color rgb="FFFFFFFF"/>
              </font>
              <fill>
                <patternFill>
                  <bgColor rgb="FFFFC000"/>
                </patternFill>
              </fill>
            </x14:dxf>
          </x14:cfRule>
          <x14:cfRule type="cellIs" priority="193" operator="equal" id="{3F203630-C340-45A6-B56A-6D5C3D7F5AAC}">
            <xm:f>Metrics!$B$6</xm:f>
            <x14:dxf>
              <font>
                <color rgb="FFFFFFFF"/>
              </font>
              <fill>
                <patternFill>
                  <bgColor theme="2" tint="-0.5"/>
                </patternFill>
              </fill>
            </x14:dxf>
          </x14:cfRule>
          <x14:cfRule type="cellIs" priority="194" operator="equal" id="{6FF4ABD7-F6E6-489B-A0F2-15A519228EA8}">
            <xm:f>Metrics!$B$5</xm:f>
            <x14:dxf>
              <font>
                <color rgb="FFFFFFFF"/>
              </font>
              <fill>
                <patternFill>
                  <bgColor rgb="FFC00000"/>
                </patternFill>
              </fill>
            </x14:dxf>
          </x14:cfRule>
          <x14:cfRule type="cellIs" priority="195" operator="equal" id="{5D1B199A-AEFD-41BD-A385-5F85624DF19A}">
            <xm:f>Metrics!$B$4</xm:f>
            <x14:dxf>
              <font>
                <color rgb="FFFFFFFF"/>
              </font>
              <fill>
                <patternFill>
                  <bgColor rgb="FFFF0000"/>
                </patternFill>
              </fill>
            </x14:dxf>
          </x14:cfRule>
          <x14:cfRule type="cellIs" priority="196" operator="equal" id="{71FCEDD2-A01D-4AA0-AFA4-CB386E5F276D}">
            <xm:f>Metrics!$B$3</xm:f>
            <x14:dxf>
              <font>
                <color rgb="FFD9D9D9"/>
              </font>
              <fill>
                <patternFill>
                  <bgColor theme="0"/>
                </patternFill>
              </fill>
            </x14:dxf>
          </x14:cfRule>
          <xm:sqref>D19</xm:sqref>
        </x14:conditionalFormatting>
        <x14:conditionalFormatting xmlns:xm="http://schemas.microsoft.com/office/excel/2006/main">
          <x14:cfRule type="cellIs" priority="200" operator="equal" id="{4CA76A6F-94EF-4551-AC7D-A2B047F218B8}">
            <xm:f>Metrics!$B$10</xm:f>
            <x14:dxf>
              <font>
                <color rgb="FFFFFFFF"/>
              </font>
              <fill>
                <patternFill>
                  <bgColor theme="0" tint="-0.35"/>
                </patternFill>
              </fill>
            </x14:dxf>
          </x14:cfRule>
          <x14:cfRule type="cellIs" priority="201" operator="equal" id="{1DD7A6D0-A336-41F7-81B8-1377B330DA9A}">
            <xm:f>Metrics!$B$9</xm:f>
            <x14:dxf>
              <font>
                <color rgb="FFFFFFFF"/>
              </font>
              <fill>
                <patternFill>
                  <bgColor rgb="FF336600"/>
                </patternFill>
              </fill>
            </x14:dxf>
          </x14:cfRule>
          <x14:cfRule type="cellIs" priority="202" operator="equal" id="{A0363E52-B8EC-4440-94A5-E0F4AE48D04D}">
            <xm:f>Metrics!$B$8</xm:f>
            <x14:dxf>
              <font>
                <color rgb="FFFFFFFF"/>
              </font>
              <fill>
                <patternFill>
                  <bgColor rgb="FF92D050"/>
                </patternFill>
              </fill>
            </x14:dxf>
          </x14:cfRule>
          <x14:cfRule type="cellIs" priority="203" operator="equal" id="{2C143030-80D5-4295-99C0-178EFAA43098}">
            <xm:f>Metrics!$B$7</xm:f>
            <x14:dxf>
              <font>
                <color rgb="FFFFFFFF"/>
              </font>
              <fill>
                <patternFill>
                  <bgColor rgb="FFFFC000"/>
                </patternFill>
              </fill>
            </x14:dxf>
          </x14:cfRule>
          <x14:cfRule type="cellIs" priority="204" operator="equal" id="{A99080BD-FEAE-439F-90B4-206F5FE43022}">
            <xm:f>Metrics!$B$6</xm:f>
            <x14:dxf>
              <font>
                <color rgb="FFFFFFFF"/>
              </font>
              <fill>
                <patternFill>
                  <bgColor theme="2" tint="-0.5"/>
                </patternFill>
              </fill>
            </x14:dxf>
          </x14:cfRule>
          <x14:cfRule type="cellIs" priority="205" operator="equal" id="{2C78E63D-7939-4F35-AD84-B22678BEE3EE}">
            <xm:f>Metrics!$B$5</xm:f>
            <x14:dxf>
              <font>
                <color rgb="FFFFFFFF"/>
              </font>
              <fill>
                <patternFill>
                  <bgColor rgb="FFC00000"/>
                </patternFill>
              </fill>
            </x14:dxf>
          </x14:cfRule>
          <x14:cfRule type="cellIs" priority="206" operator="equal" id="{E3BCEE56-7B92-49C1-B367-F355FB349D17}">
            <xm:f>Metrics!$B$4</xm:f>
            <x14:dxf>
              <font>
                <color rgb="FFFFFFFF"/>
              </font>
              <fill>
                <patternFill>
                  <bgColor rgb="FFFF0000"/>
                </patternFill>
              </fill>
            </x14:dxf>
          </x14:cfRule>
          <x14:cfRule type="cellIs" priority="207" operator="equal" id="{57A0864B-97DD-4A19-B96D-DD25007D47E2}">
            <xm:f>Metrics!$B$3</xm:f>
            <x14:dxf>
              <font>
                <color rgb="FFD9D9D9"/>
              </font>
              <fill>
                <patternFill>
                  <bgColor theme="0"/>
                </patternFill>
              </fill>
            </x14:dxf>
          </x14:cfRule>
          <xm:sqref>D17</xm:sqref>
        </x14:conditionalFormatting>
        <x14:conditionalFormatting xmlns:xm="http://schemas.microsoft.com/office/excel/2006/main">
          <x14:cfRule type="cellIs" priority="211" operator="equal" id="{DDFA169F-A9B2-44F2-B6E3-D8CA29A74322}">
            <xm:f>Metrics!$B$10</xm:f>
            <x14:dxf>
              <font>
                <color rgb="FFFFFFFF"/>
              </font>
              <fill>
                <patternFill>
                  <bgColor theme="0" tint="-0.35"/>
                </patternFill>
              </fill>
            </x14:dxf>
          </x14:cfRule>
          <x14:cfRule type="cellIs" priority="212" operator="equal" id="{1E3153F9-55EC-4672-9988-97CF1F9FFEBB}">
            <xm:f>Metrics!$B$9</xm:f>
            <x14:dxf>
              <font>
                <color rgb="FFFFFFFF"/>
              </font>
              <fill>
                <patternFill>
                  <bgColor rgb="FF336600"/>
                </patternFill>
              </fill>
            </x14:dxf>
          </x14:cfRule>
          <x14:cfRule type="cellIs" priority="213" operator="equal" id="{D7269210-3533-4B88-B634-35F564DDC160}">
            <xm:f>Metrics!$B$8</xm:f>
            <x14:dxf>
              <font>
                <color rgb="FFFFFFFF"/>
              </font>
              <fill>
                <patternFill>
                  <bgColor rgb="FF92D050"/>
                </patternFill>
              </fill>
            </x14:dxf>
          </x14:cfRule>
          <x14:cfRule type="cellIs" priority="214" operator="equal" id="{1FFA8DC2-10F7-41DF-8642-6697CDC51876}">
            <xm:f>Metrics!$B$7</xm:f>
            <x14:dxf>
              <font>
                <color rgb="FFFFFFFF"/>
              </font>
              <fill>
                <patternFill>
                  <bgColor rgb="FFFFC000"/>
                </patternFill>
              </fill>
            </x14:dxf>
          </x14:cfRule>
          <x14:cfRule type="cellIs" priority="215" operator="equal" id="{4E9616D9-77B6-423C-BE70-C8F0EF11B2FE}">
            <xm:f>Metrics!$B$6</xm:f>
            <x14:dxf>
              <font>
                <color rgb="FFFFFFFF"/>
              </font>
              <fill>
                <patternFill>
                  <bgColor theme="2" tint="-0.5"/>
                </patternFill>
              </fill>
            </x14:dxf>
          </x14:cfRule>
          <x14:cfRule type="cellIs" priority="216" operator="equal" id="{E1006A86-BBC0-44F7-88E3-D7A6BEF46EEF}">
            <xm:f>Metrics!$B$5</xm:f>
            <x14:dxf>
              <font>
                <color rgb="FFFFFFFF"/>
              </font>
              <fill>
                <patternFill>
                  <bgColor rgb="FFC00000"/>
                </patternFill>
              </fill>
            </x14:dxf>
          </x14:cfRule>
          <x14:cfRule type="cellIs" priority="217" operator="equal" id="{3974EED7-34C9-4310-AEDE-4A3133335420}">
            <xm:f>Metrics!$B$4</xm:f>
            <x14:dxf>
              <font>
                <color rgb="FFFFFFFF"/>
              </font>
              <fill>
                <patternFill>
                  <bgColor rgb="FFFF0000"/>
                </patternFill>
              </fill>
            </x14:dxf>
          </x14:cfRule>
          <x14:cfRule type="cellIs" priority="218" operator="equal" id="{591920B2-38C1-42DA-ACEF-EFA8F82ECAD2}">
            <xm:f>Metrics!$B$3</xm:f>
            <x14:dxf>
              <font>
                <color rgb="FFD9D9D9"/>
              </font>
              <fill>
                <patternFill>
                  <bgColor theme="0"/>
                </patternFill>
              </fill>
            </x14:dxf>
          </x14:cfRule>
          <xm:sqref>D15</xm:sqref>
        </x14:conditionalFormatting>
        <x14:conditionalFormatting xmlns:xm="http://schemas.microsoft.com/office/excel/2006/main">
          <x14:cfRule type="cellIs" priority="222" operator="equal" id="{DC74DD5D-E3CC-45E3-8CD9-27A71472CC1E}">
            <xm:f>Metrics!$B$10</xm:f>
            <x14:dxf>
              <font>
                <color rgb="FFFFFFFF"/>
              </font>
              <fill>
                <patternFill>
                  <bgColor theme="0" tint="-0.35"/>
                </patternFill>
              </fill>
            </x14:dxf>
          </x14:cfRule>
          <x14:cfRule type="cellIs" priority="223" operator="equal" id="{1E105E22-4E84-43E0-B4E6-8E806E50A5AC}">
            <xm:f>Metrics!$B$9</xm:f>
            <x14:dxf>
              <font>
                <color rgb="FFFFFFFF"/>
              </font>
              <fill>
                <patternFill>
                  <bgColor rgb="FF336600"/>
                </patternFill>
              </fill>
            </x14:dxf>
          </x14:cfRule>
          <x14:cfRule type="cellIs" priority="224" operator="equal" id="{2A355B4D-36B4-4DD7-B062-29607EA0F1FA}">
            <xm:f>Metrics!$B$8</xm:f>
            <x14:dxf>
              <font>
                <color rgb="FFFFFFFF"/>
              </font>
              <fill>
                <patternFill>
                  <bgColor rgb="FF92D050"/>
                </patternFill>
              </fill>
            </x14:dxf>
          </x14:cfRule>
          <x14:cfRule type="cellIs" priority="225" operator="equal" id="{14C28695-9420-4DB2-91ED-EE622F49812D}">
            <xm:f>Metrics!$B$7</xm:f>
            <x14:dxf>
              <font>
                <color rgb="FFFFFFFF"/>
              </font>
              <fill>
                <patternFill>
                  <bgColor rgb="FFFFC000"/>
                </patternFill>
              </fill>
            </x14:dxf>
          </x14:cfRule>
          <x14:cfRule type="cellIs" priority="226" operator="equal" id="{6965469B-9041-4E6E-AE53-521CA3C09082}">
            <xm:f>Metrics!$B$6</xm:f>
            <x14:dxf>
              <font>
                <color rgb="FFFFFFFF"/>
              </font>
              <fill>
                <patternFill>
                  <bgColor theme="2" tint="-0.5"/>
                </patternFill>
              </fill>
            </x14:dxf>
          </x14:cfRule>
          <x14:cfRule type="cellIs" priority="227" operator="equal" id="{ADFB89EB-4FD0-4480-93E4-95AC672F48EE}">
            <xm:f>Metrics!$B$5</xm:f>
            <x14:dxf>
              <font>
                <color rgb="FFFFFFFF"/>
              </font>
              <fill>
                <patternFill>
                  <bgColor rgb="FFC00000"/>
                </patternFill>
              </fill>
            </x14:dxf>
          </x14:cfRule>
          <x14:cfRule type="cellIs" priority="228" operator="equal" id="{21B08BAE-A480-4192-BF15-CBCE5AD747EB}">
            <xm:f>Metrics!$B$4</xm:f>
            <x14:dxf>
              <font>
                <color rgb="FFFFFFFF"/>
              </font>
              <fill>
                <patternFill>
                  <bgColor rgb="FFFF0000"/>
                </patternFill>
              </fill>
            </x14:dxf>
          </x14:cfRule>
          <x14:cfRule type="cellIs" priority="229" operator="equal" id="{68212F7B-8414-4C6B-84DB-80E2A178936D}">
            <xm:f>Metrics!$B$3</xm:f>
            <x14:dxf>
              <font>
                <color rgb="FFD9D9D9"/>
              </font>
              <fill>
                <patternFill>
                  <bgColor theme="0"/>
                </patternFill>
              </fill>
            </x14:dxf>
          </x14:cfRule>
          <xm:sqref>D12</xm:sqref>
        </x14:conditionalFormatting>
        <x14:conditionalFormatting xmlns:xm="http://schemas.microsoft.com/office/excel/2006/main">
          <x14:cfRule type="cellIs" priority="233" operator="equal" id="{A0DF38CE-90E3-4C24-A9CA-8442C0B026F6}">
            <xm:f>Metrics!$B$10</xm:f>
            <x14:dxf>
              <font>
                <color rgb="FFFFFFFF"/>
              </font>
              <fill>
                <patternFill>
                  <bgColor theme="0" tint="-0.35"/>
                </patternFill>
              </fill>
            </x14:dxf>
          </x14:cfRule>
          <x14:cfRule type="cellIs" priority="234" operator="equal" id="{22DE7D70-DCCC-4210-BA49-82D8F05F42F7}">
            <xm:f>Metrics!$B$9</xm:f>
            <x14:dxf>
              <font>
                <color rgb="FFFFFFFF"/>
              </font>
              <fill>
                <patternFill>
                  <bgColor rgb="FF336600"/>
                </patternFill>
              </fill>
            </x14:dxf>
          </x14:cfRule>
          <x14:cfRule type="cellIs" priority="235" operator="equal" id="{0089E43D-356E-4357-A7C2-5430736156FC}">
            <xm:f>Metrics!$B$8</xm:f>
            <x14:dxf>
              <font>
                <color rgb="FFFFFFFF"/>
              </font>
              <fill>
                <patternFill>
                  <bgColor rgb="FF92D050"/>
                </patternFill>
              </fill>
            </x14:dxf>
          </x14:cfRule>
          <x14:cfRule type="cellIs" priority="236" operator="equal" id="{F6C530B5-9E22-4DF2-A83E-F86AD719F07A}">
            <xm:f>Metrics!$B$7</xm:f>
            <x14:dxf>
              <font>
                <color rgb="FFFFFFFF"/>
              </font>
              <fill>
                <patternFill>
                  <bgColor rgb="FFFFC000"/>
                </patternFill>
              </fill>
            </x14:dxf>
          </x14:cfRule>
          <x14:cfRule type="cellIs" priority="237" operator="equal" id="{7084D37D-983B-42E9-85BB-7CBF87F7175E}">
            <xm:f>Metrics!$B$6</xm:f>
            <x14:dxf>
              <font>
                <color rgb="FFFFFFFF"/>
              </font>
              <fill>
                <patternFill>
                  <bgColor theme="2" tint="-0.5"/>
                </patternFill>
              </fill>
            </x14:dxf>
          </x14:cfRule>
          <x14:cfRule type="cellIs" priority="238" operator="equal" id="{7C2F4710-D315-47EC-BE82-6529C6D066C7}">
            <xm:f>Metrics!$B$5</xm:f>
            <x14:dxf>
              <font>
                <color rgb="FFFFFFFF"/>
              </font>
              <fill>
                <patternFill>
                  <bgColor rgb="FFC00000"/>
                </patternFill>
              </fill>
            </x14:dxf>
          </x14:cfRule>
          <x14:cfRule type="cellIs" priority="239" operator="equal" id="{4E87F3CD-8256-48B0-A691-7ADA49D0152E}">
            <xm:f>Metrics!$B$4</xm:f>
            <x14:dxf>
              <font>
                <color rgb="FFFFFFFF"/>
              </font>
              <fill>
                <patternFill>
                  <bgColor rgb="FFFF0000"/>
                </patternFill>
              </fill>
            </x14:dxf>
          </x14:cfRule>
          <x14:cfRule type="cellIs" priority="240" operator="equal" id="{1EE38721-5DD7-4A4A-8C56-20D2D37B6013}">
            <xm:f>Metrics!$B$3</xm:f>
            <x14:dxf>
              <font>
                <color rgb="FFD9D9D9"/>
              </font>
              <fill>
                <patternFill>
                  <bgColor theme="0"/>
                </patternFill>
              </fill>
            </x14:dxf>
          </x14:cfRule>
          <xm:sqref>D10</xm:sqref>
        </x14:conditionalFormatting>
        <x14:conditionalFormatting xmlns:xm="http://schemas.microsoft.com/office/excel/2006/main">
          <x14:cfRule type="cellIs" priority="244" operator="equal" id="{F6ACE5C0-1216-425B-8A73-90AB78E4BB3D}">
            <xm:f>Metrics!$B$10</xm:f>
            <x14:dxf>
              <font>
                <color rgb="FFFFFFFF"/>
              </font>
              <fill>
                <patternFill>
                  <bgColor theme="0" tint="-0.35"/>
                </patternFill>
              </fill>
            </x14:dxf>
          </x14:cfRule>
          <x14:cfRule type="cellIs" priority="245" operator="equal" id="{AA96339C-93FF-43A8-87D4-4483B8628CF0}">
            <xm:f>Metrics!$B$9</xm:f>
            <x14:dxf>
              <font>
                <color rgb="FFFFFFFF"/>
              </font>
              <fill>
                <patternFill>
                  <bgColor rgb="FF336600"/>
                </patternFill>
              </fill>
            </x14:dxf>
          </x14:cfRule>
          <x14:cfRule type="cellIs" priority="246" operator="equal" id="{7161A6E1-A3E0-42F9-BBDC-FF27C31A567D}">
            <xm:f>Metrics!$B$8</xm:f>
            <x14:dxf>
              <font>
                <color rgb="FFFFFFFF"/>
              </font>
              <fill>
                <patternFill>
                  <bgColor rgb="FF92D050"/>
                </patternFill>
              </fill>
            </x14:dxf>
          </x14:cfRule>
          <x14:cfRule type="cellIs" priority="247" operator="equal" id="{8166B2A8-9460-48AF-A6D5-1744EB422AE3}">
            <xm:f>Metrics!$B$7</xm:f>
            <x14:dxf>
              <font>
                <color rgb="FFFFFFFF"/>
              </font>
              <fill>
                <patternFill>
                  <bgColor rgb="FFFFC000"/>
                </patternFill>
              </fill>
            </x14:dxf>
          </x14:cfRule>
          <x14:cfRule type="cellIs" priority="248" operator="equal" id="{89FD121E-35AE-4B50-A2A9-6DCD13B6FCC7}">
            <xm:f>Metrics!$B$6</xm:f>
            <x14:dxf>
              <font>
                <color rgb="FFFFFFFF"/>
              </font>
              <fill>
                <patternFill>
                  <bgColor theme="2" tint="-0.5"/>
                </patternFill>
              </fill>
            </x14:dxf>
          </x14:cfRule>
          <x14:cfRule type="cellIs" priority="249" operator="equal" id="{22644761-604A-4E7C-9B5E-B8657E6D5BBD}">
            <xm:f>Metrics!$B$5</xm:f>
            <x14:dxf>
              <font>
                <color rgb="FFFFFFFF"/>
              </font>
              <fill>
                <patternFill>
                  <bgColor rgb="FFC00000"/>
                </patternFill>
              </fill>
            </x14:dxf>
          </x14:cfRule>
          <x14:cfRule type="cellIs" priority="250" operator="equal" id="{8A2D573F-BCB2-49D9-ABEC-A5F3B389BC30}">
            <xm:f>Metrics!$B$4</xm:f>
            <x14:dxf>
              <font>
                <color rgb="FFFFFFFF"/>
              </font>
              <fill>
                <patternFill>
                  <bgColor rgb="FFFF0000"/>
                </patternFill>
              </fill>
            </x14:dxf>
          </x14:cfRule>
          <x14:cfRule type="cellIs" priority="251" operator="equal" id="{A88751DB-F150-43C0-B794-8B50493486D0}">
            <xm:f>Metrics!$B$3</xm:f>
            <x14:dxf>
              <font>
                <color rgb="FFD9D9D9"/>
              </font>
              <fill>
                <patternFill>
                  <bgColor theme="0"/>
                </patternFill>
              </fill>
            </x14:dxf>
          </x14:cfRule>
          <xm:sqref>D7:D8</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0" activePane="bottomRight" state="frozen"/>
      <selection pane="topLeft" activeCell="A1" activeCellId="0" sqref="A1"/>
      <selection pane="topRight" activeCell="B1" activeCellId="0" sqref="B1"/>
      <selection pane="bottomLeft" activeCell="A30" activeCellId="0" sqref="A30"/>
      <selection pane="bottomRight" activeCell="E87" activeCellId="0" sqref="E87"/>
    </sheetView>
  </sheetViews>
  <sheetFormatPr defaultColWidth="11.5703125" defaultRowHeight="12.75" zeroHeight="false" outlineLevelRow="0" outlineLevelCol="0"/>
  <cols>
    <col collapsed="false" customWidth="true" hidden="false" outlineLevel="0" max="1" min="1" style="51" width="1.57"/>
    <col collapsed="false" customWidth="true" hidden="false" outlineLevel="0" max="2" min="2" style="51" width="8.57"/>
    <col collapsed="false" customWidth="true" hidden="false" outlineLevel="0" max="3" min="3" style="52" width="65.29"/>
    <col collapsed="false" customWidth="true" hidden="false" outlineLevel="0" max="4" min="4" style="53" width="14.71"/>
    <col collapsed="false" customWidth="true" hidden="false" outlineLevel="0" max="5" min="5" style="51" width="75.29"/>
    <col collapsed="false" customWidth="true" hidden="false" outlineLevel="0" max="252" min="6" style="54" width="30.29"/>
    <col collapsed="false" customWidth="false" hidden="false" outlineLevel="0" max="16384" min="253" style="55" width="11.57"/>
  </cols>
  <sheetData>
    <row r="1" s="58" customFormat="true" ht="32.25" hidden="false" customHeight="true" outlineLevel="0" collapsed="false">
      <c r="A1" s="56"/>
      <c r="B1" s="57" t="s">
        <v>97</v>
      </c>
      <c r="C1" s="57"/>
      <c r="D1" s="57"/>
      <c r="E1" s="57"/>
    </row>
    <row r="2" s="9" customFormat="true" ht="21.75" hidden="false" customHeight="true" outlineLevel="0" collapsed="false">
      <c r="B2" s="59" t="s">
        <v>20</v>
      </c>
      <c r="C2" s="60" t="s">
        <v>98</v>
      </c>
      <c r="D2" s="13" t="s">
        <v>22</v>
      </c>
      <c r="E2" s="14" t="s">
        <v>23</v>
      </c>
    </row>
    <row r="3" s="15" customFormat="true" ht="31.5" hidden="false" customHeight="true" outlineLevel="0" collapsed="false">
      <c r="B3" s="16" t="s">
        <v>99</v>
      </c>
      <c r="C3" s="61" t="s">
        <v>100</v>
      </c>
      <c r="D3" s="61"/>
      <c r="E3" s="61"/>
    </row>
    <row r="4" s="25" customFormat="true" ht="22.5" hidden="false" customHeight="true" outlineLevel="0" collapsed="false">
      <c r="B4" s="62" t="s">
        <v>101</v>
      </c>
      <c r="C4" s="63" t="s">
        <v>102</v>
      </c>
      <c r="D4" s="28" t="s">
        <v>103</v>
      </c>
      <c r="E4" s="64"/>
    </row>
    <row r="5" s="25" customFormat="true" ht="22.5" hidden="false" customHeight="true" outlineLevel="0" collapsed="false">
      <c r="B5" s="62" t="s">
        <v>104</v>
      </c>
      <c r="C5" s="63" t="s">
        <v>105</v>
      </c>
      <c r="D5" s="28" t="s">
        <v>103</v>
      </c>
      <c r="E5" s="64"/>
    </row>
    <row r="6" s="25" customFormat="true" ht="22.5" hidden="false" customHeight="true" outlineLevel="0" collapsed="false">
      <c r="B6" s="62" t="s">
        <v>106</v>
      </c>
      <c r="C6" s="63" t="s">
        <v>107</v>
      </c>
      <c r="D6" s="28" t="s">
        <v>103</v>
      </c>
      <c r="E6" s="64"/>
    </row>
    <row r="7" s="25" customFormat="true" ht="22.5" hidden="false" customHeight="true" outlineLevel="0" collapsed="false">
      <c r="B7" s="62" t="s">
        <v>108</v>
      </c>
      <c r="C7" s="63" t="s">
        <v>109</v>
      </c>
      <c r="D7" s="28" t="s">
        <v>103</v>
      </c>
      <c r="E7" s="64"/>
    </row>
    <row r="8" s="25" customFormat="true" ht="22.5" hidden="false" customHeight="true" outlineLevel="0" collapsed="false">
      <c r="B8" s="62" t="s">
        <v>110</v>
      </c>
      <c r="C8" s="63" t="s">
        <v>111</v>
      </c>
      <c r="D8" s="28" t="s">
        <v>103</v>
      </c>
      <c r="E8" s="64"/>
    </row>
    <row r="9" s="25" customFormat="true" ht="22.5" hidden="false" customHeight="true" outlineLevel="0" collapsed="false">
      <c r="B9" s="62" t="s">
        <v>112</v>
      </c>
      <c r="C9" s="63" t="s">
        <v>113</v>
      </c>
      <c r="D9" s="28" t="s">
        <v>103</v>
      </c>
      <c r="E9" s="64"/>
    </row>
    <row r="10" s="25" customFormat="true" ht="22.5" hidden="false" customHeight="true" outlineLevel="0" collapsed="false">
      <c r="B10" s="62" t="s">
        <v>114</v>
      </c>
      <c r="C10" s="63" t="s">
        <v>115</v>
      </c>
      <c r="D10" s="28" t="s">
        <v>103</v>
      </c>
      <c r="E10" s="64"/>
    </row>
    <row r="11" s="25" customFormat="true" ht="22.5" hidden="false" customHeight="true" outlineLevel="0" collapsed="false">
      <c r="B11" s="62" t="s">
        <v>116</v>
      </c>
      <c r="C11" s="63" t="s">
        <v>117</v>
      </c>
      <c r="D11" s="28" t="s">
        <v>103</v>
      </c>
      <c r="E11" s="64"/>
    </row>
    <row r="12" s="25" customFormat="true" ht="22.5" hidden="false" customHeight="true" outlineLevel="0" collapsed="false">
      <c r="B12" s="62" t="s">
        <v>118</v>
      </c>
      <c r="C12" s="63" t="s">
        <v>119</v>
      </c>
      <c r="D12" s="28" t="s">
        <v>103</v>
      </c>
      <c r="E12" s="64"/>
    </row>
    <row r="13" s="25" customFormat="true" ht="22.5" hidden="false" customHeight="true" outlineLevel="0" collapsed="false">
      <c r="B13" s="62" t="s">
        <v>120</v>
      </c>
      <c r="C13" s="63" t="s">
        <v>121</v>
      </c>
      <c r="D13" s="28" t="s">
        <v>103</v>
      </c>
      <c r="E13" s="64"/>
    </row>
    <row r="14" s="25" customFormat="true" ht="22.5" hidden="false" customHeight="true" outlineLevel="0" collapsed="false">
      <c r="B14" s="62" t="s">
        <v>122</v>
      </c>
      <c r="C14" s="63" t="s">
        <v>123</v>
      </c>
      <c r="D14" s="28" t="s">
        <v>103</v>
      </c>
      <c r="E14" s="64"/>
    </row>
    <row r="15" s="25" customFormat="true" ht="22.5" hidden="false" customHeight="true" outlineLevel="0" collapsed="false">
      <c r="B15" s="62" t="s">
        <v>124</v>
      </c>
      <c r="C15" s="63" t="s">
        <v>125</v>
      </c>
      <c r="D15" s="28" t="s">
        <v>103</v>
      </c>
      <c r="E15" s="64"/>
    </row>
    <row r="16" s="25" customFormat="true" ht="22.5" hidden="false" customHeight="true" outlineLevel="0" collapsed="false">
      <c r="B16" s="62" t="s">
        <v>126</v>
      </c>
      <c r="C16" s="63" t="s">
        <v>127</v>
      </c>
      <c r="D16" s="28" t="s">
        <v>103</v>
      </c>
      <c r="E16" s="64"/>
    </row>
    <row r="17" s="25" customFormat="true" ht="22.5" hidden="false" customHeight="true" outlineLevel="0" collapsed="false">
      <c r="B17" s="62" t="s">
        <v>128</v>
      </c>
      <c r="C17" s="63" t="s">
        <v>129</v>
      </c>
      <c r="D17" s="28" t="s">
        <v>103</v>
      </c>
      <c r="E17" s="64"/>
    </row>
    <row r="18" s="25" customFormat="true" ht="22.5" hidden="false" customHeight="true" outlineLevel="0" collapsed="false">
      <c r="B18" s="62" t="s">
        <v>130</v>
      </c>
      <c r="C18" s="63" t="s">
        <v>131</v>
      </c>
      <c r="D18" s="28" t="s">
        <v>103</v>
      </c>
      <c r="E18" s="64"/>
    </row>
    <row r="19" s="25" customFormat="true" ht="22.5" hidden="false" customHeight="true" outlineLevel="0" collapsed="false">
      <c r="B19" s="62" t="s">
        <v>132</v>
      </c>
      <c r="C19" s="63" t="s">
        <v>133</v>
      </c>
      <c r="D19" s="28" t="s">
        <v>103</v>
      </c>
      <c r="E19" s="64"/>
    </row>
    <row r="20" s="25" customFormat="true" ht="22.5" hidden="false" customHeight="true" outlineLevel="0" collapsed="false">
      <c r="B20" s="62" t="s">
        <v>134</v>
      </c>
      <c r="C20" s="63" t="s">
        <v>135</v>
      </c>
      <c r="D20" s="28" t="s">
        <v>103</v>
      </c>
      <c r="E20" s="64"/>
    </row>
    <row r="21" s="25" customFormat="true" ht="22.5" hidden="false" customHeight="true" outlineLevel="0" collapsed="false">
      <c r="B21" s="62" t="s">
        <v>136</v>
      </c>
      <c r="C21" s="63" t="s">
        <v>137</v>
      </c>
      <c r="D21" s="28" t="s">
        <v>103</v>
      </c>
      <c r="E21" s="64"/>
    </row>
    <row r="22" s="25" customFormat="true" ht="22.5" hidden="false" customHeight="true" outlineLevel="0" collapsed="false">
      <c r="B22" s="62" t="s">
        <v>138</v>
      </c>
      <c r="C22" s="63" t="s">
        <v>139</v>
      </c>
      <c r="D22" s="28" t="s">
        <v>103</v>
      </c>
      <c r="E22" s="64"/>
    </row>
    <row r="23" s="25" customFormat="true" ht="22.5" hidden="false" customHeight="true" outlineLevel="0" collapsed="false">
      <c r="B23" s="62" t="s">
        <v>140</v>
      </c>
      <c r="C23" s="63" t="s">
        <v>141</v>
      </c>
      <c r="D23" s="28" t="s">
        <v>103</v>
      </c>
      <c r="E23" s="64"/>
    </row>
    <row r="24" s="25" customFormat="true" ht="34.3" hidden="false" customHeight="false" outlineLevel="0" collapsed="false">
      <c r="B24" s="62" t="s">
        <v>142</v>
      </c>
      <c r="C24" s="65" t="s">
        <v>143</v>
      </c>
      <c r="D24" s="28" t="s">
        <v>103</v>
      </c>
      <c r="E24" s="64"/>
    </row>
    <row r="25" s="25" customFormat="true" ht="22.5" hidden="false" customHeight="true" outlineLevel="0" collapsed="false">
      <c r="B25" s="62" t="s">
        <v>144</v>
      </c>
      <c r="C25" s="63" t="s">
        <v>145</v>
      </c>
      <c r="D25" s="28" t="s">
        <v>103</v>
      </c>
      <c r="E25" s="64"/>
    </row>
    <row r="26" s="25" customFormat="true" ht="22.5" hidden="false" customHeight="true" outlineLevel="0" collapsed="false">
      <c r="B26" s="62" t="s">
        <v>146</v>
      </c>
      <c r="C26" s="63" t="s">
        <v>147</v>
      </c>
      <c r="D26" s="28" t="s">
        <v>103</v>
      </c>
      <c r="E26" s="64"/>
    </row>
    <row r="27" s="25" customFormat="true" ht="22.5" hidden="false" customHeight="true" outlineLevel="0" collapsed="false">
      <c r="B27" s="62" t="s">
        <v>148</v>
      </c>
      <c r="C27" s="63" t="s">
        <v>149</v>
      </c>
      <c r="D27" s="28" t="s">
        <v>103</v>
      </c>
      <c r="E27" s="64"/>
    </row>
    <row r="28" s="25" customFormat="true" ht="22.5" hidden="false" customHeight="true" outlineLevel="0" collapsed="false">
      <c r="B28" s="62" t="s">
        <v>150</v>
      </c>
      <c r="C28" s="63" t="s">
        <v>151</v>
      </c>
      <c r="D28" s="28" t="s">
        <v>103</v>
      </c>
      <c r="E28" s="64"/>
    </row>
    <row r="29" s="25" customFormat="true" ht="22.5" hidden="false" customHeight="true" outlineLevel="0" collapsed="false">
      <c r="B29" s="62" t="s">
        <v>152</v>
      </c>
      <c r="C29" s="63" t="s">
        <v>153</v>
      </c>
      <c r="D29" s="28" t="s">
        <v>103</v>
      </c>
      <c r="E29" s="64"/>
    </row>
    <row r="30" s="25" customFormat="true" ht="22.5" hidden="false" customHeight="true" outlineLevel="0" collapsed="false">
      <c r="B30" s="62" t="s">
        <v>154</v>
      </c>
      <c r="C30" s="63" t="s">
        <v>155</v>
      </c>
      <c r="D30" s="28" t="s">
        <v>103</v>
      </c>
      <c r="E30" s="64"/>
    </row>
    <row r="31" s="25" customFormat="true" ht="22.5" hidden="false" customHeight="true" outlineLevel="0" collapsed="false">
      <c r="B31" s="62" t="s">
        <v>156</v>
      </c>
      <c r="C31" s="63" t="s">
        <v>157</v>
      </c>
      <c r="D31" s="28" t="s">
        <v>103</v>
      </c>
      <c r="E31" s="64"/>
    </row>
    <row r="32" s="25" customFormat="true" ht="22.5" hidden="false" customHeight="true" outlineLevel="0" collapsed="false">
      <c r="B32" s="62" t="s">
        <v>158</v>
      </c>
      <c r="C32" s="63" t="s">
        <v>159</v>
      </c>
      <c r="D32" s="28" t="s">
        <v>103</v>
      </c>
      <c r="E32" s="64"/>
    </row>
    <row r="33" s="25" customFormat="true" ht="22.5" hidden="false" customHeight="true" outlineLevel="0" collapsed="false">
      <c r="B33" s="62" t="s">
        <v>160</v>
      </c>
      <c r="C33" s="63" t="s">
        <v>161</v>
      </c>
      <c r="D33" s="28" t="s">
        <v>103</v>
      </c>
      <c r="E33" s="64"/>
    </row>
    <row r="34" s="25" customFormat="true" ht="22.5" hidden="false" customHeight="true" outlineLevel="0" collapsed="false">
      <c r="B34" s="62" t="s">
        <v>162</v>
      </c>
      <c r="C34" s="63" t="s">
        <v>163</v>
      </c>
      <c r="D34" s="28" t="s">
        <v>103</v>
      </c>
      <c r="E34" s="64"/>
    </row>
    <row r="35" s="25" customFormat="true" ht="22.5" hidden="false" customHeight="true" outlineLevel="0" collapsed="false">
      <c r="B35" s="62" t="s">
        <v>164</v>
      </c>
      <c r="C35" s="63" t="s">
        <v>165</v>
      </c>
      <c r="D35" s="28" t="s">
        <v>103</v>
      </c>
      <c r="E35" s="64"/>
    </row>
    <row r="36" s="25" customFormat="true" ht="22.5" hidden="false" customHeight="true" outlineLevel="0" collapsed="false">
      <c r="B36" s="62" t="s">
        <v>166</v>
      </c>
      <c r="C36" s="63" t="s">
        <v>167</v>
      </c>
      <c r="D36" s="28" t="s">
        <v>103</v>
      </c>
      <c r="E36" s="64"/>
    </row>
    <row r="37" s="25" customFormat="true" ht="22.5" hidden="false" customHeight="true" outlineLevel="0" collapsed="false">
      <c r="B37" s="62" t="s">
        <v>168</v>
      </c>
      <c r="C37" s="63" t="s">
        <v>169</v>
      </c>
      <c r="D37" s="28" t="s">
        <v>103</v>
      </c>
      <c r="E37" s="64"/>
    </row>
    <row r="38" s="25" customFormat="true" ht="22.5" hidden="false" customHeight="true" outlineLevel="0" collapsed="false">
      <c r="B38" s="62" t="s">
        <v>170</v>
      </c>
      <c r="C38" s="63" t="s">
        <v>171</v>
      </c>
      <c r="D38" s="28" t="s">
        <v>103</v>
      </c>
      <c r="E38" s="64"/>
    </row>
    <row r="39" s="25" customFormat="true" ht="22.5" hidden="false" customHeight="true" outlineLevel="0" collapsed="false">
      <c r="B39" s="62" t="s">
        <v>172</v>
      </c>
      <c r="C39" s="63" t="s">
        <v>173</v>
      </c>
      <c r="D39" s="28" t="s">
        <v>103</v>
      </c>
      <c r="E39" s="64"/>
    </row>
    <row r="40" s="25" customFormat="true" ht="22.5" hidden="false" customHeight="true" outlineLevel="0" collapsed="false">
      <c r="B40" s="62" t="s">
        <v>174</v>
      </c>
      <c r="C40" s="63" t="s">
        <v>175</v>
      </c>
      <c r="D40" s="28" t="s">
        <v>103</v>
      </c>
      <c r="E40" s="64"/>
    </row>
    <row r="41" s="15" customFormat="true" ht="39" hidden="false" customHeight="true" outlineLevel="0" collapsed="false">
      <c r="B41" s="16" t="s">
        <v>176</v>
      </c>
      <c r="C41" s="61" t="s">
        <v>177</v>
      </c>
      <c r="D41" s="61"/>
      <c r="E41" s="61"/>
    </row>
    <row r="42" s="66" customFormat="true" ht="22.5" hidden="false" customHeight="true" outlineLevel="0" collapsed="false">
      <c r="B42" s="62" t="s">
        <v>178</v>
      </c>
      <c r="C42" s="63" t="s">
        <v>179</v>
      </c>
      <c r="D42" s="28" t="s">
        <v>103</v>
      </c>
      <c r="E42" s="64"/>
    </row>
    <row r="43" s="66" customFormat="true" ht="22.5" hidden="false" customHeight="true" outlineLevel="0" collapsed="false">
      <c r="B43" s="62" t="s">
        <v>180</v>
      </c>
      <c r="C43" s="63" t="s">
        <v>181</v>
      </c>
      <c r="D43" s="28" t="s">
        <v>38</v>
      </c>
      <c r="E43" s="64"/>
    </row>
    <row r="44" s="66" customFormat="true" ht="22.5" hidden="false" customHeight="true" outlineLevel="0" collapsed="false">
      <c r="B44" s="62" t="s">
        <v>182</v>
      </c>
      <c r="C44" s="63" t="s">
        <v>183</v>
      </c>
      <c r="D44" s="28" t="s">
        <v>27</v>
      </c>
      <c r="E44" s="64"/>
    </row>
    <row r="45" s="66" customFormat="true" ht="22.5" hidden="false" customHeight="true" outlineLevel="0" collapsed="false">
      <c r="B45" s="62" t="s">
        <v>184</v>
      </c>
      <c r="C45" s="63" t="s">
        <v>185</v>
      </c>
      <c r="D45" s="28" t="s">
        <v>31</v>
      </c>
      <c r="E45" s="64"/>
    </row>
    <row r="46" s="66" customFormat="true" ht="22.5" hidden="false" customHeight="true" outlineLevel="0" collapsed="false">
      <c r="B46" s="62" t="s">
        <v>186</v>
      </c>
      <c r="C46" s="63" t="s">
        <v>187</v>
      </c>
      <c r="D46" s="28" t="s">
        <v>42</v>
      </c>
      <c r="E46" s="64"/>
    </row>
    <row r="47" s="66" customFormat="true" ht="22.5" hidden="false" customHeight="true" outlineLevel="0" collapsed="false">
      <c r="B47" s="62" t="s">
        <v>188</v>
      </c>
      <c r="C47" s="63" t="s">
        <v>189</v>
      </c>
      <c r="D47" s="28" t="s">
        <v>190</v>
      </c>
      <c r="E47" s="64"/>
    </row>
    <row r="48" s="66" customFormat="true" ht="22.5" hidden="false" customHeight="true" outlineLevel="0" collapsed="false">
      <c r="B48" s="62" t="s">
        <v>191</v>
      </c>
      <c r="C48" s="63" t="s">
        <v>192</v>
      </c>
      <c r="D48" s="28" t="s">
        <v>193</v>
      </c>
      <c r="E48" s="64"/>
    </row>
    <row r="49" s="66" customFormat="true" ht="22.5" hidden="false" customHeight="true" outlineLevel="0" collapsed="false">
      <c r="B49" s="62" t="s">
        <v>194</v>
      </c>
      <c r="C49" s="63" t="s">
        <v>195</v>
      </c>
      <c r="D49" s="28" t="s">
        <v>47</v>
      </c>
      <c r="E49" s="64"/>
    </row>
    <row r="50" s="15" customFormat="true" ht="39" hidden="false" customHeight="true" outlineLevel="0" collapsed="false">
      <c r="B50" s="16" t="s">
        <v>196</v>
      </c>
      <c r="C50" s="61" t="s">
        <v>197</v>
      </c>
      <c r="D50" s="61"/>
      <c r="E50" s="61"/>
    </row>
    <row r="51" s="66" customFormat="true" ht="22.5" hidden="false" customHeight="true" outlineLevel="0" collapsed="false">
      <c r="B51" s="62" t="s">
        <v>198</v>
      </c>
      <c r="C51" s="63" t="s">
        <v>199</v>
      </c>
      <c r="D51" s="28" t="s">
        <v>103</v>
      </c>
      <c r="E51" s="64"/>
    </row>
    <row r="52" s="66" customFormat="true" ht="22.5" hidden="false" customHeight="true" outlineLevel="0" collapsed="false">
      <c r="B52" s="62" t="s">
        <v>200</v>
      </c>
      <c r="C52" s="63" t="s">
        <v>201</v>
      </c>
      <c r="D52" s="28" t="s">
        <v>103</v>
      </c>
      <c r="E52" s="64"/>
    </row>
    <row r="53" s="66" customFormat="true" ht="22.5" hidden="false" customHeight="true" outlineLevel="0" collapsed="false">
      <c r="B53" s="62" t="s">
        <v>202</v>
      </c>
      <c r="C53" s="63" t="s">
        <v>203</v>
      </c>
      <c r="D53" s="28" t="s">
        <v>103</v>
      </c>
      <c r="E53" s="64"/>
    </row>
    <row r="54" s="66" customFormat="true" ht="22.5" hidden="false" customHeight="true" outlineLevel="0" collapsed="false">
      <c r="B54" s="62" t="s">
        <v>204</v>
      </c>
      <c r="C54" s="63" t="s">
        <v>205</v>
      </c>
      <c r="D54" s="28" t="s">
        <v>103</v>
      </c>
      <c r="E54" s="64"/>
    </row>
    <row r="55" s="66" customFormat="true" ht="22.5" hidden="false" customHeight="true" outlineLevel="0" collapsed="false">
      <c r="B55" s="62" t="s">
        <v>206</v>
      </c>
      <c r="C55" s="63" t="s">
        <v>207</v>
      </c>
      <c r="D55" s="28" t="s">
        <v>103</v>
      </c>
      <c r="E55" s="64"/>
    </row>
    <row r="56" s="66" customFormat="true" ht="22.5" hidden="false" customHeight="true" outlineLevel="0" collapsed="false">
      <c r="B56" s="62" t="s">
        <v>208</v>
      </c>
      <c r="C56" s="63" t="s">
        <v>209</v>
      </c>
      <c r="D56" s="28" t="s">
        <v>103</v>
      </c>
      <c r="E56" s="64"/>
    </row>
    <row r="57" s="66" customFormat="true" ht="22.5" hidden="false" customHeight="true" outlineLevel="0" collapsed="false">
      <c r="B57" s="62" t="s">
        <v>210</v>
      </c>
      <c r="C57" s="63" t="s">
        <v>211</v>
      </c>
      <c r="D57" s="28" t="s">
        <v>103</v>
      </c>
      <c r="E57" s="64"/>
    </row>
    <row r="58" s="66" customFormat="true" ht="22.5" hidden="false" customHeight="true" outlineLevel="0" collapsed="false">
      <c r="B58" s="62" t="s">
        <v>212</v>
      </c>
      <c r="C58" s="63" t="s">
        <v>213</v>
      </c>
      <c r="D58" s="28" t="s">
        <v>103</v>
      </c>
      <c r="E58" s="64"/>
    </row>
    <row r="59" s="66" customFormat="true" ht="22.5" hidden="false" customHeight="true" outlineLevel="0" collapsed="false">
      <c r="B59" s="62" t="s">
        <v>214</v>
      </c>
      <c r="C59" s="63" t="s">
        <v>215</v>
      </c>
      <c r="D59" s="28" t="s">
        <v>103</v>
      </c>
      <c r="E59" s="64"/>
    </row>
    <row r="60" s="66" customFormat="true" ht="22.5" hidden="false" customHeight="true" outlineLevel="0" collapsed="false">
      <c r="B60" s="62" t="s">
        <v>216</v>
      </c>
      <c r="C60" s="63" t="s">
        <v>217</v>
      </c>
      <c r="D60" s="28" t="s">
        <v>103</v>
      </c>
      <c r="E60" s="64"/>
    </row>
    <row r="61" s="66" customFormat="true" ht="22.5" hidden="false" customHeight="true" outlineLevel="0" collapsed="false">
      <c r="B61" s="62" t="s">
        <v>218</v>
      </c>
      <c r="C61" s="63" t="s">
        <v>219</v>
      </c>
      <c r="D61" s="28" t="s">
        <v>103</v>
      </c>
      <c r="E61" s="64"/>
    </row>
    <row r="62" s="66" customFormat="true" ht="22.5" hidden="false" customHeight="true" outlineLevel="0" collapsed="false">
      <c r="B62" s="62" t="s">
        <v>220</v>
      </c>
      <c r="C62" s="63" t="s">
        <v>221</v>
      </c>
      <c r="D62" s="28" t="s">
        <v>103</v>
      </c>
      <c r="E62" s="64"/>
    </row>
    <row r="63" s="66" customFormat="true" ht="22.5" hidden="false" customHeight="true" outlineLevel="0" collapsed="false">
      <c r="B63" s="62" t="s">
        <v>222</v>
      </c>
      <c r="C63" s="63" t="s">
        <v>223</v>
      </c>
      <c r="D63" s="28" t="s">
        <v>103</v>
      </c>
      <c r="E63" s="64"/>
    </row>
    <row r="64" s="66" customFormat="true" ht="22.5" hidden="false" customHeight="true" outlineLevel="0" collapsed="false">
      <c r="B64" s="62" t="s">
        <v>224</v>
      </c>
      <c r="C64" s="63" t="s">
        <v>225</v>
      </c>
      <c r="D64" s="28" t="s">
        <v>103</v>
      </c>
      <c r="E64" s="64"/>
    </row>
    <row r="65" s="15" customFormat="true" ht="39" hidden="false" customHeight="true" outlineLevel="0" collapsed="false">
      <c r="B65" s="16" t="s">
        <v>226</v>
      </c>
      <c r="C65" s="61" t="s">
        <v>227</v>
      </c>
      <c r="D65" s="61"/>
      <c r="E65" s="61"/>
    </row>
    <row r="66" s="66" customFormat="true" ht="22.5" hidden="false" customHeight="true" outlineLevel="0" collapsed="false">
      <c r="B66" s="62" t="s">
        <v>228</v>
      </c>
      <c r="C66" s="63" t="s">
        <v>229</v>
      </c>
      <c r="D66" s="28" t="s">
        <v>103</v>
      </c>
      <c r="E66" s="64"/>
    </row>
    <row r="67" s="66" customFormat="true" ht="22.5" hidden="false" customHeight="true" outlineLevel="0" collapsed="false">
      <c r="B67" s="62" t="s">
        <v>230</v>
      </c>
      <c r="C67" s="63" t="s">
        <v>231</v>
      </c>
      <c r="D67" s="28" t="s">
        <v>103</v>
      </c>
      <c r="E67" s="64"/>
    </row>
    <row r="68" s="66" customFormat="true" ht="22.5" hidden="false" customHeight="true" outlineLevel="0" collapsed="false">
      <c r="B68" s="62" t="s">
        <v>232</v>
      </c>
      <c r="C68" s="63" t="s">
        <v>233</v>
      </c>
      <c r="D68" s="28" t="s">
        <v>103</v>
      </c>
      <c r="E68" s="64"/>
    </row>
    <row r="69" s="66" customFormat="true" ht="22.5" hidden="false" customHeight="true" outlineLevel="0" collapsed="false">
      <c r="B69" s="62" t="s">
        <v>234</v>
      </c>
      <c r="C69" s="63" t="s">
        <v>235</v>
      </c>
      <c r="D69" s="28" t="s">
        <v>103</v>
      </c>
      <c r="E69" s="64"/>
    </row>
    <row r="70" s="66" customFormat="true" ht="22.5" hidden="false" customHeight="true" outlineLevel="0" collapsed="false">
      <c r="B70" s="62" t="s">
        <v>236</v>
      </c>
      <c r="C70" s="63" t="s">
        <v>237</v>
      </c>
      <c r="D70" s="28" t="s">
        <v>103</v>
      </c>
      <c r="E70" s="64"/>
    </row>
    <row r="71" s="66" customFormat="true" ht="22.5" hidden="false" customHeight="true" outlineLevel="0" collapsed="false">
      <c r="B71" s="62" t="s">
        <v>238</v>
      </c>
      <c r="C71" s="63" t="s">
        <v>239</v>
      </c>
      <c r="D71" s="28" t="s">
        <v>103</v>
      </c>
      <c r="E71" s="64"/>
    </row>
    <row r="72" s="66" customFormat="true" ht="22.5" hidden="false" customHeight="true" outlineLevel="0" collapsed="false">
      <c r="B72" s="62" t="s">
        <v>240</v>
      </c>
      <c r="C72" s="63" t="s">
        <v>241</v>
      </c>
      <c r="D72" s="28" t="s">
        <v>103</v>
      </c>
      <c r="E72" s="64"/>
    </row>
    <row r="73" s="66" customFormat="true" ht="22.5" hidden="false" customHeight="true" outlineLevel="0" collapsed="false">
      <c r="B73" s="62" t="s">
        <v>242</v>
      </c>
      <c r="C73" s="63" t="s">
        <v>243</v>
      </c>
      <c r="D73" s="28" t="s">
        <v>103</v>
      </c>
      <c r="E73" s="64"/>
    </row>
    <row r="74" s="66" customFormat="true" ht="22.5" hidden="false" customHeight="true" outlineLevel="0" collapsed="false">
      <c r="B74" s="62" t="s">
        <v>244</v>
      </c>
      <c r="C74" s="63" t="s">
        <v>245</v>
      </c>
      <c r="D74" s="28" t="s">
        <v>103</v>
      </c>
      <c r="E74" s="64"/>
    </row>
    <row r="75" s="66" customFormat="true" ht="22.5" hidden="false" customHeight="true" outlineLevel="0" collapsed="false">
      <c r="B75" s="62" t="s">
        <v>246</v>
      </c>
      <c r="C75" s="63" t="s">
        <v>247</v>
      </c>
      <c r="D75" s="28" t="s">
        <v>103</v>
      </c>
      <c r="E75" s="64"/>
    </row>
    <row r="76" s="66" customFormat="true" ht="22.5" hidden="false" customHeight="true" outlineLevel="0" collapsed="false">
      <c r="B76" s="62" t="s">
        <v>248</v>
      </c>
      <c r="C76" s="63" t="s">
        <v>249</v>
      </c>
      <c r="D76" s="28" t="s">
        <v>103</v>
      </c>
      <c r="E76" s="64"/>
    </row>
    <row r="77" s="66" customFormat="true" ht="22.5" hidden="false" customHeight="true" outlineLevel="0" collapsed="false">
      <c r="B77" s="62" t="s">
        <v>250</v>
      </c>
      <c r="C77" s="63" t="s">
        <v>251</v>
      </c>
      <c r="D77" s="28" t="s">
        <v>103</v>
      </c>
      <c r="E77" s="64"/>
    </row>
    <row r="78" s="66" customFormat="true" ht="22.5" hidden="false" customHeight="true" outlineLevel="0" collapsed="false">
      <c r="B78" s="62" t="s">
        <v>252</v>
      </c>
      <c r="C78" s="63" t="s">
        <v>253</v>
      </c>
      <c r="D78" s="28" t="s">
        <v>103</v>
      </c>
      <c r="E78" s="64"/>
    </row>
    <row r="79" s="66" customFormat="true" ht="22.5" hidden="false" customHeight="true" outlineLevel="0" collapsed="false">
      <c r="B79" s="62" t="s">
        <v>254</v>
      </c>
      <c r="C79" s="63" t="s">
        <v>255</v>
      </c>
      <c r="D79" s="28" t="s">
        <v>103</v>
      </c>
      <c r="E79" s="64"/>
    </row>
    <row r="80" s="66" customFormat="true" ht="22.5" hidden="false" customHeight="true" outlineLevel="0" collapsed="false">
      <c r="B80" s="62" t="s">
        <v>256</v>
      </c>
      <c r="C80" s="63" t="s">
        <v>257</v>
      </c>
      <c r="D80" s="28" t="s">
        <v>103</v>
      </c>
      <c r="E80" s="64"/>
    </row>
    <row r="81" s="66" customFormat="true" ht="22.5" hidden="false" customHeight="true" outlineLevel="0" collapsed="false">
      <c r="B81" s="62" t="s">
        <v>258</v>
      </c>
      <c r="C81" s="63" t="s">
        <v>259</v>
      </c>
      <c r="D81" s="28" t="s">
        <v>103</v>
      </c>
      <c r="E81" s="64"/>
    </row>
    <row r="82" s="66" customFormat="true" ht="22.5" hidden="false" customHeight="true" outlineLevel="0" collapsed="false">
      <c r="B82" s="62" t="s">
        <v>260</v>
      </c>
      <c r="C82" s="63" t="s">
        <v>261</v>
      </c>
      <c r="D82" s="28" t="s">
        <v>103</v>
      </c>
      <c r="E82" s="64"/>
    </row>
    <row r="83" s="66" customFormat="true" ht="22.5" hidden="false" customHeight="true" outlineLevel="0" collapsed="false">
      <c r="B83" s="62" t="s">
        <v>262</v>
      </c>
      <c r="C83" s="63" t="s">
        <v>263</v>
      </c>
      <c r="D83" s="28" t="s">
        <v>103</v>
      </c>
      <c r="E83" s="64"/>
    </row>
    <row r="84" s="66" customFormat="true" ht="22.5" hidden="false" customHeight="true" outlineLevel="0" collapsed="false">
      <c r="B84" s="62" t="s">
        <v>264</v>
      </c>
      <c r="C84" s="63" t="s">
        <v>265</v>
      </c>
      <c r="D84" s="28" t="s">
        <v>103</v>
      </c>
      <c r="E84" s="64"/>
    </row>
    <row r="85" s="66" customFormat="true" ht="22.5" hidden="false" customHeight="true" outlineLevel="0" collapsed="false">
      <c r="B85" s="62" t="s">
        <v>266</v>
      </c>
      <c r="C85" s="63" t="s">
        <v>267</v>
      </c>
      <c r="D85" s="28" t="s">
        <v>103</v>
      </c>
      <c r="E85" s="64"/>
    </row>
    <row r="86" s="66" customFormat="true" ht="22.5" hidden="false" customHeight="true" outlineLevel="0" collapsed="false">
      <c r="B86" s="62" t="s">
        <v>268</v>
      </c>
      <c r="C86" s="63" t="s">
        <v>269</v>
      </c>
      <c r="D86" s="28" t="s">
        <v>103</v>
      </c>
      <c r="E86" s="64"/>
    </row>
    <row r="87" s="66" customFormat="true" ht="22.5" hidden="false" customHeight="true" outlineLevel="0" collapsed="false">
      <c r="B87" s="62" t="s">
        <v>270</v>
      </c>
      <c r="C87" s="63" t="s">
        <v>271</v>
      </c>
      <c r="D87" s="28" t="s">
        <v>103</v>
      </c>
      <c r="E87" s="64"/>
    </row>
    <row r="88" s="66" customFormat="true" ht="22.5" hidden="false" customHeight="true" outlineLevel="0" collapsed="false">
      <c r="B88" s="62" t="s">
        <v>272</v>
      </c>
      <c r="C88" s="63" t="s">
        <v>273</v>
      </c>
      <c r="D88" s="28" t="s">
        <v>103</v>
      </c>
      <c r="E88" s="64"/>
    </row>
    <row r="89" s="66" customFormat="true" ht="22.5" hidden="false" customHeight="true" outlineLevel="0" collapsed="false">
      <c r="B89" s="62" t="s">
        <v>274</v>
      </c>
      <c r="C89" s="63" t="s">
        <v>275</v>
      </c>
      <c r="D89" s="28" t="s">
        <v>103</v>
      </c>
      <c r="E89" s="64"/>
    </row>
    <row r="90" s="66" customFormat="true" ht="22.5" hidden="false" customHeight="true" outlineLevel="0" collapsed="false">
      <c r="B90" s="62" t="s">
        <v>276</v>
      </c>
      <c r="C90" s="63" t="s">
        <v>277</v>
      </c>
      <c r="D90" s="28" t="s">
        <v>103</v>
      </c>
      <c r="E90" s="64"/>
    </row>
    <row r="91" s="66" customFormat="true" ht="22.5" hidden="false" customHeight="true" outlineLevel="0" collapsed="false">
      <c r="B91" s="62" t="s">
        <v>278</v>
      </c>
      <c r="C91" s="63" t="s">
        <v>279</v>
      </c>
      <c r="D91" s="28" t="s">
        <v>103</v>
      </c>
      <c r="E91" s="64"/>
    </row>
    <row r="92" s="66" customFormat="true" ht="22.5" hidden="false" customHeight="true" outlineLevel="0" collapsed="false">
      <c r="B92" s="62" t="s">
        <v>280</v>
      </c>
      <c r="C92" s="63" t="s">
        <v>281</v>
      </c>
      <c r="D92" s="28" t="s">
        <v>103</v>
      </c>
      <c r="E92" s="64"/>
    </row>
    <row r="93" s="66" customFormat="true" ht="22.5" hidden="false" customHeight="true" outlineLevel="0" collapsed="false">
      <c r="B93" s="62" t="s">
        <v>282</v>
      </c>
      <c r="C93" s="63" t="s">
        <v>283</v>
      </c>
      <c r="D93" s="28" t="s">
        <v>103</v>
      </c>
      <c r="E93" s="64"/>
    </row>
    <row r="94" s="66" customFormat="true" ht="22.5" hidden="false" customHeight="true" outlineLevel="0" collapsed="false">
      <c r="B94" s="62" t="s">
        <v>284</v>
      </c>
      <c r="C94" s="63" t="s">
        <v>285</v>
      </c>
      <c r="D94" s="28" t="s">
        <v>103</v>
      </c>
      <c r="E94" s="64"/>
    </row>
    <row r="95" s="66" customFormat="true" ht="22.5" hidden="false" customHeight="true" outlineLevel="0" collapsed="false">
      <c r="B95" s="62" t="s">
        <v>286</v>
      </c>
      <c r="C95" s="63" t="s">
        <v>287</v>
      </c>
      <c r="D95" s="28" t="s">
        <v>103</v>
      </c>
      <c r="E95" s="64"/>
    </row>
    <row r="96" s="66" customFormat="true" ht="22.5" hidden="false" customHeight="true" outlineLevel="0" collapsed="false">
      <c r="B96" s="62" t="s">
        <v>288</v>
      </c>
      <c r="C96" s="63" t="s">
        <v>289</v>
      </c>
      <c r="D96" s="28" t="s">
        <v>103</v>
      </c>
      <c r="E96" s="64"/>
    </row>
    <row r="97" s="66" customFormat="true" ht="22.5" hidden="false" customHeight="true" outlineLevel="0" collapsed="false">
      <c r="B97" s="62" t="s">
        <v>290</v>
      </c>
      <c r="C97" s="63" t="s">
        <v>291</v>
      </c>
      <c r="D97" s="28" t="s">
        <v>103</v>
      </c>
      <c r="E97" s="64"/>
    </row>
    <row r="98" s="66" customFormat="true" ht="22.5" hidden="false" customHeight="true" outlineLevel="0" collapsed="false">
      <c r="B98" s="62" t="s">
        <v>292</v>
      </c>
      <c r="C98" s="63" t="s">
        <v>293</v>
      </c>
      <c r="D98" s="28" t="s">
        <v>103</v>
      </c>
      <c r="E98" s="64"/>
    </row>
    <row r="99" s="66" customFormat="true" ht="22.5" hidden="false" customHeight="true" outlineLevel="0" collapsed="false">
      <c r="B99" s="62" t="s">
        <v>294</v>
      </c>
      <c r="C99" s="63" t="s">
        <v>295</v>
      </c>
      <c r="D99" s="28" t="s">
        <v>103</v>
      </c>
      <c r="E99" s="64"/>
    </row>
    <row r="100" s="71" customFormat="true" ht="17.9" hidden="false" customHeight="false" outlineLevel="0" collapsed="false">
      <c r="A100" s="67"/>
      <c r="B100" s="68"/>
      <c r="C100" s="69"/>
      <c r="D100" s="40" t="n">
        <f aca="false">COUNTA(D3:D99)</f>
        <v>93</v>
      </c>
      <c r="E100" s="70" t="s">
        <v>296</v>
      </c>
    </row>
    <row r="101" s="71" customFormat="true" ht="15.75" hidden="false" customHeight="false" outlineLevel="0" collapsed="false">
      <c r="A101" s="72"/>
      <c r="B101" s="72"/>
      <c r="C101" s="73"/>
      <c r="D101" s="68"/>
      <c r="E101" s="72"/>
    </row>
    <row r="102" s="71" customFormat="true" ht="15.75" hidden="false" customHeight="false" outlineLevel="0" collapsed="false">
      <c r="A102" s="72"/>
      <c r="B102" s="72"/>
      <c r="C102" s="73"/>
      <c r="D102" s="68"/>
      <c r="E102" s="72"/>
    </row>
    <row r="103" s="71" customFormat="true" ht="15.75" hidden="false" customHeight="false" outlineLevel="0" collapsed="false">
      <c r="A103" s="72"/>
      <c r="B103" s="72"/>
      <c r="C103" s="73"/>
      <c r="D103" s="68"/>
      <c r="E103" s="72"/>
    </row>
    <row r="104" s="71" customFormat="true" ht="15.75" hidden="false" customHeight="false" outlineLevel="0" collapsed="false">
      <c r="A104" s="72"/>
      <c r="B104" s="72"/>
      <c r="C104" s="73"/>
      <c r="D104" s="68"/>
      <c r="E104" s="72"/>
    </row>
    <row r="105" s="71" customFormat="true" ht="15.75" hidden="false" customHeight="false" outlineLevel="0" collapsed="false">
      <c r="A105" s="72"/>
      <c r="B105" s="72"/>
      <c r="C105" s="73"/>
      <c r="D105" s="68"/>
      <c r="E105" s="72"/>
    </row>
    <row r="106" s="71" customFormat="true" ht="15.75" hidden="false" customHeight="false" outlineLevel="0" collapsed="false">
      <c r="A106" s="72"/>
      <c r="B106" s="72"/>
      <c r="C106" s="73"/>
      <c r="D106" s="68"/>
      <c r="E106" s="72"/>
    </row>
    <row r="107" s="71" customFormat="true" ht="15.75" hidden="false" customHeight="false" outlineLevel="0" collapsed="false">
      <c r="A107" s="72"/>
      <c r="B107" s="72"/>
      <c r="C107" s="73"/>
      <c r="D107" s="68"/>
      <c r="E107" s="72"/>
    </row>
    <row r="108" s="71" customFormat="true" ht="15.75" hidden="false" customHeight="false" outlineLevel="0" collapsed="false">
      <c r="A108" s="72"/>
      <c r="B108" s="72"/>
      <c r="C108" s="73"/>
      <c r="D108" s="68"/>
      <c r="E108" s="72"/>
    </row>
    <row r="109" s="71" customFormat="true" ht="15.75" hidden="false" customHeight="false" outlineLevel="0" collapsed="false">
      <c r="A109" s="72"/>
      <c r="B109" s="72"/>
      <c r="C109" s="73"/>
      <c r="D109" s="68"/>
      <c r="E109" s="72"/>
    </row>
    <row r="110" s="71" customFormat="true" ht="15.75" hidden="false" customHeight="false" outlineLevel="0" collapsed="false">
      <c r="A110" s="72"/>
      <c r="B110" s="72"/>
      <c r="C110" s="73"/>
      <c r="D110" s="68"/>
      <c r="E110" s="72"/>
    </row>
  </sheetData>
  <mergeCells count="5">
    <mergeCell ref="B1:E1"/>
    <mergeCell ref="C3:E3"/>
    <mergeCell ref="C41:E41"/>
    <mergeCell ref="C50:E50"/>
    <mergeCell ref="C65:E65"/>
  </mergeCells>
  <conditionalFormatting sqref="D66:D99">
    <cfRule type="containsText" priority="10" operator="containsText" aboveAverage="0" equalAverage="0" bottom="0" percent="0" rank="0" text="Initial" dxfId="262">
      <formula>NOT(ISERROR(SEARCH("Initial",D66)))</formula>
    </cfRule>
    <cfRule type="containsText" priority="11" operator="containsText" aboveAverage="0" equalAverage="0" bottom="0" percent="0" rank="0" text="Nonexistent" dxfId="263">
      <formula>NOT(ISERROR(SEARCH("Nonexistent",D66)))</formula>
    </cfRule>
    <cfRule type="expression" priority="12" aboveAverage="0" equalAverage="0" bottom="0" percent="0" rank="0" text="" dxfId="264">
      <formula>_xludf.style(VLOOKUP(D66,#ref!,2,0))</formula>
    </cfRule>
  </conditionalFormatting>
  <conditionalFormatting sqref="D51:D64">
    <cfRule type="containsText" priority="21" operator="containsText" aboveAverage="0" equalAverage="0" bottom="0" percent="0" rank="0" text="Initial" dxfId="273">
      <formula>NOT(ISERROR(SEARCH("Initial",D51)))</formula>
    </cfRule>
    <cfRule type="containsText" priority="22" operator="containsText" aboveAverage="0" equalAverage="0" bottom="0" percent="0" rank="0" text="Nonexistent" dxfId="274">
      <formula>NOT(ISERROR(SEARCH("Nonexistent",D51)))</formula>
    </cfRule>
    <cfRule type="expression" priority="23" aboveAverage="0" equalAverage="0" bottom="0" percent="0" rank="0" text="" dxfId="275">
      <formula>_xludf.style(VLOOKUP(D51,#ref!,2,0))</formula>
    </cfRule>
  </conditionalFormatting>
  <conditionalFormatting sqref="D4:D40">
    <cfRule type="containsText" priority="32" operator="containsText" aboveAverage="0" equalAverage="0" bottom="0" percent="0" rank="0" text="Initial" dxfId="284">
      <formula>NOT(ISERROR(SEARCH("Initial",D4)))</formula>
    </cfRule>
    <cfRule type="containsText" priority="33" operator="containsText" aboveAverage="0" equalAverage="0" bottom="0" percent="0" rank="0" text="Nonexistent" dxfId="285">
      <formula>NOT(ISERROR(SEARCH("Nonexistent",D4)))</formula>
    </cfRule>
    <cfRule type="expression" priority="34" aboveAverage="0" equalAverage="0" bottom="0" percent="0" rank="0" text="" dxfId="286">
      <formula>_xludf.style(VLOOKUP(D4,#ref!,2,0))</formula>
    </cfRule>
  </conditionalFormatting>
  <conditionalFormatting sqref="D48:D49">
    <cfRule type="containsText" priority="43" operator="containsText" aboveAverage="0" equalAverage="0" bottom="0" percent="0" rank="0" text="Initial" dxfId="295">
      <formula>NOT(ISERROR(SEARCH("Initial",D48)))</formula>
    </cfRule>
    <cfRule type="containsText" priority="44" operator="containsText" aboveAverage="0" equalAverage="0" bottom="0" percent="0" rank="0" text="Nonexistent" dxfId="296">
      <formula>NOT(ISERROR(SEARCH("Nonexistent",D48)))</formula>
    </cfRule>
    <cfRule type="expression" priority="45" aboveAverage="0" equalAverage="0" bottom="0" percent="0" rank="0" text="" dxfId="297">
      <formula>_xludf.style(VLOOKUP(D48,#ref!,2,0))</formula>
    </cfRule>
  </conditionalFormatting>
  <conditionalFormatting sqref="D42:D47">
    <cfRule type="containsText" priority="54" operator="containsText" aboveAverage="0" equalAverage="0" bottom="0" percent="0" rank="0" text="Initial" dxfId="306">
      <formula>NOT(ISERROR(SEARCH("Initial",D42)))</formula>
    </cfRule>
    <cfRule type="containsText" priority="55" operator="containsText" aboveAverage="0" equalAverage="0" bottom="0" percent="0" rank="0" text="Nonexistent" dxfId="307">
      <formula>NOT(ISERROR(SEARCH("Nonexistent",D42)))</formula>
    </cfRule>
    <cfRule type="expression" priority="56" aboveAverage="0" equalAverage="0" bottom="0" percent="0" rank="0" text="" dxfId="308">
      <formula>_xludf.style(VLOOKUP(D42,#ref!,2,0))</formula>
    </cfRule>
  </conditionalFormatting>
  <dataValidations count="1">
    <dataValidation allowBlank="true" errorStyle="stop" operator="equal" promptTitle="Select status" showDropDown="false" showErrorMessage="true" showInputMessage="true" sqref="D4:D40 D42:D49 D51:D64 D66:D99" type="list">
      <formula1>Metrics!$B$3:$B$10</formula1>
      <formula2>0</formula2>
    </dataValidation>
  </dataValidations>
  <printOptions headings="false" gridLines="true" gridLinesSet="true" horizontalCentered="false" verticalCentered="false"/>
  <pageMargins left="0.39375" right="0.295138888888889" top="0.295138888888889" bottom="0.315972222222222" header="0.511811023622047" footer="0.177083333333333"/>
  <pageSetup paperSize="9" scale="100" fitToWidth="1" fitToHeight="15" pageOrder="downThenOver" orientation="portrait" blackAndWhite="false" draft="false" cellComments="none" horizontalDpi="300" verticalDpi="300" copies="1"/>
  <headerFooter differentFirst="false" differentOddEven="false">
    <oddHeader/>
    <oddFooter>&amp;C&amp;D&amp;RPage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cellIs" priority="2" operator="equal" id="{5D7E5C50-3671-4E23-B6F6-3C9471E4D45D}">
            <xm:f>Metrics!$B$10</xm:f>
            <x14:dxf>
              <font>
                <color rgb="FFFFFFFF"/>
              </font>
              <fill>
                <patternFill>
                  <bgColor theme="0" tint="-0.35"/>
                </patternFill>
              </fill>
            </x14:dxf>
          </x14:cfRule>
          <x14:cfRule type="cellIs" priority="3" operator="equal" id="{9266E0EA-76F0-4E6E-9A59-906CF55B40B2}">
            <xm:f>Metrics!$B$9</xm:f>
            <x14:dxf>
              <font>
                <color rgb="FFFFFFFF"/>
              </font>
              <fill>
                <patternFill>
                  <bgColor rgb="FF336600"/>
                </patternFill>
              </fill>
            </x14:dxf>
          </x14:cfRule>
          <x14:cfRule type="cellIs" priority="4" operator="equal" id="{30505B7F-FBED-4F54-AF8F-AED25EE134FC}">
            <xm:f>Metrics!$B$8</xm:f>
            <x14:dxf>
              <font>
                <color rgb="FFFFFFFF"/>
              </font>
              <fill>
                <patternFill>
                  <bgColor rgb="FF92D050"/>
                </patternFill>
              </fill>
            </x14:dxf>
          </x14:cfRule>
          <x14:cfRule type="cellIs" priority="5" operator="equal" id="{A7DCC5FF-58A9-4D3F-8ADB-E99C33E4344C}">
            <xm:f>Metrics!$B$7</xm:f>
            <x14:dxf>
              <font>
                <color rgb="FFFFFFFF"/>
              </font>
              <fill>
                <patternFill>
                  <bgColor rgb="FFFFC000"/>
                </patternFill>
              </fill>
            </x14:dxf>
          </x14:cfRule>
          <x14:cfRule type="cellIs" priority="6" operator="equal" id="{C1FB63F0-23B0-4F22-BE9A-652529FC317E}">
            <xm:f>Metrics!$B$6</xm:f>
            <x14:dxf>
              <font>
                <color rgb="FFFFFFFF"/>
              </font>
              <fill>
                <patternFill>
                  <bgColor theme="2" tint="-0.5"/>
                </patternFill>
              </fill>
            </x14:dxf>
          </x14:cfRule>
          <x14:cfRule type="cellIs" priority="7" operator="equal" id="{50402EE9-8C69-4C79-8BEC-DDFF7F97571A}">
            <xm:f>Metrics!$B$5</xm:f>
            <x14:dxf>
              <font>
                <color rgb="FFFFFFFF"/>
              </font>
              <fill>
                <patternFill>
                  <bgColor rgb="FFC00000"/>
                </patternFill>
              </fill>
            </x14:dxf>
          </x14:cfRule>
          <x14:cfRule type="cellIs" priority="8" operator="equal" id="{4C97CECB-C032-44CE-B26B-9BE71F42EAEB}">
            <xm:f>Metrics!$B$4</xm:f>
            <x14:dxf>
              <font>
                <color rgb="FFFFFFFF"/>
              </font>
              <fill>
                <patternFill>
                  <bgColor rgb="FFFF0000"/>
                </patternFill>
              </fill>
            </x14:dxf>
          </x14:cfRule>
          <x14:cfRule type="cellIs" priority="9" operator="equal" id="{6EB87519-9CC2-4357-A4F9-2CB5737CF8F7}">
            <xm:f>Metrics!$B$3</xm:f>
            <x14:dxf>
              <font>
                <color rgb="FFD9D9D9"/>
              </font>
              <fill>
                <patternFill>
                  <bgColor theme="0"/>
                </patternFill>
              </fill>
            </x14:dxf>
          </x14:cfRule>
          <xm:sqref>D66:D99</xm:sqref>
        </x14:conditionalFormatting>
        <x14:conditionalFormatting xmlns:xm="http://schemas.microsoft.com/office/excel/2006/main">
          <x14:cfRule type="cellIs" priority="13" operator="equal" id="{B4A6C06F-EAD1-4D67-B9FB-1E36D3CE61A1}">
            <xm:f>Metrics!$B$10</xm:f>
            <x14:dxf>
              <font>
                <color rgb="FFFFFFFF"/>
              </font>
              <fill>
                <patternFill>
                  <bgColor theme="0" tint="-0.35"/>
                </patternFill>
              </fill>
            </x14:dxf>
          </x14:cfRule>
          <x14:cfRule type="cellIs" priority="14" operator="equal" id="{ADB1CD80-11F9-4E32-B285-4D1E5093DB2D}">
            <xm:f>Metrics!$B$9</xm:f>
            <x14:dxf>
              <font>
                <color rgb="FFFFFFFF"/>
              </font>
              <fill>
                <patternFill>
                  <bgColor rgb="FF336600"/>
                </patternFill>
              </fill>
            </x14:dxf>
          </x14:cfRule>
          <x14:cfRule type="cellIs" priority="15" operator="equal" id="{EF71FF1F-B957-4E44-AD8E-4DF5F3A6C9E7}">
            <xm:f>Metrics!$B$8</xm:f>
            <x14:dxf>
              <font>
                <color rgb="FFFFFFFF"/>
              </font>
              <fill>
                <patternFill>
                  <bgColor rgb="FF92D050"/>
                </patternFill>
              </fill>
            </x14:dxf>
          </x14:cfRule>
          <x14:cfRule type="cellIs" priority="16" operator="equal" id="{5EDAA5E0-303E-48A4-ABB7-CBEFCAA9BE19}">
            <xm:f>Metrics!$B$7</xm:f>
            <x14:dxf>
              <font>
                <color rgb="FFFFFFFF"/>
              </font>
              <fill>
                <patternFill>
                  <bgColor rgb="FFFFC000"/>
                </patternFill>
              </fill>
            </x14:dxf>
          </x14:cfRule>
          <x14:cfRule type="cellIs" priority="17" operator="equal" id="{79D39A17-4F75-4AF0-B3B2-B72B2F3038E1}">
            <xm:f>Metrics!$B$6</xm:f>
            <x14:dxf>
              <font>
                <color rgb="FFFFFFFF"/>
              </font>
              <fill>
                <patternFill>
                  <bgColor theme="2" tint="-0.5"/>
                </patternFill>
              </fill>
            </x14:dxf>
          </x14:cfRule>
          <x14:cfRule type="cellIs" priority="18" operator="equal" id="{A5B73F7D-B1C2-48B5-945F-424C86E4F662}">
            <xm:f>Metrics!$B$5</xm:f>
            <x14:dxf>
              <font>
                <color rgb="FFFFFFFF"/>
              </font>
              <fill>
                <patternFill>
                  <bgColor rgb="FFC00000"/>
                </patternFill>
              </fill>
            </x14:dxf>
          </x14:cfRule>
          <x14:cfRule type="cellIs" priority="19" operator="equal" id="{F6654F70-579E-47A5-B231-2DEF4C356065}">
            <xm:f>Metrics!$B$4</xm:f>
            <x14:dxf>
              <font>
                <color rgb="FFFFFFFF"/>
              </font>
              <fill>
                <patternFill>
                  <bgColor rgb="FFFF0000"/>
                </patternFill>
              </fill>
            </x14:dxf>
          </x14:cfRule>
          <x14:cfRule type="cellIs" priority="20" operator="equal" id="{6E647980-B9F0-4B84-A78D-1036354C9C16}">
            <xm:f>Metrics!$B$3</xm:f>
            <x14:dxf>
              <font>
                <color rgb="FFD9D9D9"/>
              </font>
              <fill>
                <patternFill>
                  <bgColor theme="0"/>
                </patternFill>
              </fill>
            </x14:dxf>
          </x14:cfRule>
          <xm:sqref>D51:D64</xm:sqref>
        </x14:conditionalFormatting>
        <x14:conditionalFormatting xmlns:xm="http://schemas.microsoft.com/office/excel/2006/main">
          <x14:cfRule type="cellIs" priority="24" operator="equal" id="{5990B5E9-32EC-4EC0-8B66-E69E2F6F9340}">
            <xm:f>Metrics!$B$10</xm:f>
            <x14:dxf>
              <font>
                <color rgb="FFFFFFFF"/>
              </font>
              <fill>
                <patternFill>
                  <bgColor theme="0" tint="-0.35"/>
                </patternFill>
              </fill>
            </x14:dxf>
          </x14:cfRule>
          <x14:cfRule type="cellIs" priority="25" operator="equal" id="{897EEEE4-CDE1-4DC0-BB50-5440D5A19971}">
            <xm:f>Metrics!$B$9</xm:f>
            <x14:dxf>
              <font>
                <color rgb="FFFFFFFF"/>
              </font>
              <fill>
                <patternFill>
                  <bgColor rgb="FF336600"/>
                </patternFill>
              </fill>
            </x14:dxf>
          </x14:cfRule>
          <x14:cfRule type="cellIs" priority="26" operator="equal" id="{936F89DD-2272-4857-A9F8-2A7B84231E9A}">
            <xm:f>Metrics!$B$8</xm:f>
            <x14:dxf>
              <font>
                <color rgb="FFFFFFFF"/>
              </font>
              <fill>
                <patternFill>
                  <bgColor rgb="FF92D050"/>
                </patternFill>
              </fill>
            </x14:dxf>
          </x14:cfRule>
          <x14:cfRule type="cellIs" priority="27" operator="equal" id="{B53398D8-B52C-4B59-9A94-C9AFC65ECE8B}">
            <xm:f>Metrics!$B$7</xm:f>
            <x14:dxf>
              <font>
                <color rgb="FFFFFFFF"/>
              </font>
              <fill>
                <patternFill>
                  <bgColor rgb="FFFFC000"/>
                </patternFill>
              </fill>
            </x14:dxf>
          </x14:cfRule>
          <x14:cfRule type="cellIs" priority="28" operator="equal" id="{58CF7D78-587C-466A-871A-73996BBE43A1}">
            <xm:f>Metrics!$B$6</xm:f>
            <x14:dxf>
              <font>
                <color rgb="FFFFFFFF"/>
              </font>
              <fill>
                <patternFill>
                  <bgColor theme="2" tint="-0.5"/>
                </patternFill>
              </fill>
            </x14:dxf>
          </x14:cfRule>
          <x14:cfRule type="cellIs" priority="29" operator="equal" id="{B495A44C-B2F3-40CE-8C91-5F9F44BFE7F0}">
            <xm:f>Metrics!$B$5</xm:f>
            <x14:dxf>
              <font>
                <color rgb="FFFFFFFF"/>
              </font>
              <fill>
                <patternFill>
                  <bgColor rgb="FFC00000"/>
                </patternFill>
              </fill>
            </x14:dxf>
          </x14:cfRule>
          <x14:cfRule type="cellIs" priority="30" operator="equal" id="{8D433A70-5AC1-4E5C-9F56-442E28C0A8CA}">
            <xm:f>Metrics!$B$4</xm:f>
            <x14:dxf>
              <font>
                <color rgb="FFFFFFFF"/>
              </font>
              <fill>
                <patternFill>
                  <bgColor rgb="FFFF0000"/>
                </patternFill>
              </fill>
            </x14:dxf>
          </x14:cfRule>
          <x14:cfRule type="cellIs" priority="31" operator="equal" id="{6F2FC027-FBBD-4F5B-AC8C-8AD5EDD2C755}">
            <xm:f>Metrics!$B$3</xm:f>
            <x14:dxf>
              <font>
                <color rgb="FFD9D9D9"/>
              </font>
              <fill>
                <patternFill>
                  <bgColor theme="0"/>
                </patternFill>
              </fill>
            </x14:dxf>
          </x14:cfRule>
          <xm:sqref>D4:D40</xm:sqref>
        </x14:conditionalFormatting>
        <x14:conditionalFormatting xmlns:xm="http://schemas.microsoft.com/office/excel/2006/main">
          <x14:cfRule type="cellIs" priority="35" operator="equal" id="{647672DB-D955-44FB-A6C1-77B520CB5FA3}">
            <xm:f>Metrics!$B$10</xm:f>
            <x14:dxf>
              <font>
                <color rgb="FFFFFFFF"/>
              </font>
              <fill>
                <patternFill>
                  <bgColor theme="0" tint="-0.35"/>
                </patternFill>
              </fill>
            </x14:dxf>
          </x14:cfRule>
          <x14:cfRule type="cellIs" priority="36" operator="equal" id="{38702C6A-8A82-469C-A7EB-4CA8B2A4CD43}">
            <xm:f>Metrics!$B$9</xm:f>
            <x14:dxf>
              <font>
                <color rgb="FFFFFFFF"/>
              </font>
              <fill>
                <patternFill>
                  <bgColor rgb="FF336600"/>
                </patternFill>
              </fill>
            </x14:dxf>
          </x14:cfRule>
          <x14:cfRule type="cellIs" priority="37" operator="equal" id="{B1E44954-904A-4773-8158-8D95B0D11059}">
            <xm:f>Metrics!$B$8</xm:f>
            <x14:dxf>
              <font>
                <color rgb="FFFFFFFF"/>
              </font>
              <fill>
                <patternFill>
                  <bgColor rgb="FF92D050"/>
                </patternFill>
              </fill>
            </x14:dxf>
          </x14:cfRule>
          <x14:cfRule type="cellIs" priority="38" operator="equal" id="{4B83D04C-52BA-4B51-9763-167B5E3B2614}">
            <xm:f>Metrics!$B$7</xm:f>
            <x14:dxf>
              <font>
                <color rgb="FFFFFFFF"/>
              </font>
              <fill>
                <patternFill>
                  <bgColor rgb="FFFFC000"/>
                </patternFill>
              </fill>
            </x14:dxf>
          </x14:cfRule>
          <x14:cfRule type="cellIs" priority="39" operator="equal" id="{468165E7-2D60-4B56-BC79-6E9A208B80CF}">
            <xm:f>Metrics!$B$6</xm:f>
            <x14:dxf>
              <font>
                <color rgb="FFFFFFFF"/>
              </font>
              <fill>
                <patternFill>
                  <bgColor theme="2" tint="-0.5"/>
                </patternFill>
              </fill>
            </x14:dxf>
          </x14:cfRule>
          <x14:cfRule type="cellIs" priority="40" operator="equal" id="{B6606D3D-0026-49EA-B4A2-F5D339F5D6E3}">
            <xm:f>Metrics!$B$5</xm:f>
            <x14:dxf>
              <font>
                <color rgb="FFFFFFFF"/>
              </font>
              <fill>
                <patternFill>
                  <bgColor rgb="FFC00000"/>
                </patternFill>
              </fill>
            </x14:dxf>
          </x14:cfRule>
          <x14:cfRule type="cellIs" priority="41" operator="equal" id="{8361D196-58D0-47AB-B5AA-F676DE92DBEB}">
            <xm:f>Metrics!$B$4</xm:f>
            <x14:dxf>
              <font>
                <color rgb="FFFFFFFF"/>
              </font>
              <fill>
                <patternFill>
                  <bgColor rgb="FFFF0000"/>
                </patternFill>
              </fill>
            </x14:dxf>
          </x14:cfRule>
          <x14:cfRule type="cellIs" priority="42" operator="equal" id="{6E8F6E4A-4636-43C5-A9FB-603CAC88D910}">
            <xm:f>Metrics!$B$3</xm:f>
            <x14:dxf>
              <font>
                <color rgb="FFD9D9D9"/>
              </font>
              <fill>
                <patternFill>
                  <bgColor theme="0"/>
                </patternFill>
              </fill>
            </x14:dxf>
          </x14:cfRule>
          <xm:sqref>D48:D49</xm:sqref>
        </x14:conditionalFormatting>
        <x14:conditionalFormatting xmlns:xm="http://schemas.microsoft.com/office/excel/2006/main">
          <x14:cfRule type="cellIs" priority="46" operator="equal" id="{D3935F2D-44AB-41FF-B5B5-4C694CD7E022}">
            <xm:f>Metrics!$B$10</xm:f>
            <x14:dxf>
              <font>
                <color rgb="FFFFFFFF"/>
              </font>
              <fill>
                <patternFill>
                  <bgColor theme="0" tint="-0.35"/>
                </patternFill>
              </fill>
            </x14:dxf>
          </x14:cfRule>
          <x14:cfRule type="cellIs" priority="47" operator="equal" id="{5C002E3A-ADE8-4C52-A0CC-B8F13A647BF5}">
            <xm:f>Metrics!$B$9</xm:f>
            <x14:dxf>
              <font>
                <color rgb="FFFFFFFF"/>
              </font>
              <fill>
                <patternFill>
                  <bgColor rgb="FF336600"/>
                </patternFill>
              </fill>
            </x14:dxf>
          </x14:cfRule>
          <x14:cfRule type="cellIs" priority="48" operator="equal" id="{6F8EC4B0-68CC-49D9-9E9E-B0147E84361B}">
            <xm:f>Metrics!$B$8</xm:f>
            <x14:dxf>
              <font>
                <color rgb="FFFFFFFF"/>
              </font>
              <fill>
                <patternFill>
                  <bgColor rgb="FF92D050"/>
                </patternFill>
              </fill>
            </x14:dxf>
          </x14:cfRule>
          <x14:cfRule type="cellIs" priority="49" operator="equal" id="{6D5A7833-CDA4-455E-A242-AB9580ED4B21}">
            <xm:f>Metrics!$B$7</xm:f>
            <x14:dxf>
              <font>
                <color rgb="FFFFFFFF"/>
              </font>
              <fill>
                <patternFill>
                  <bgColor rgb="FFFFC000"/>
                </patternFill>
              </fill>
            </x14:dxf>
          </x14:cfRule>
          <x14:cfRule type="cellIs" priority="50" operator="equal" id="{9E4C4C80-E62B-43BB-9F48-A21C45B790A0}">
            <xm:f>Metrics!$B$6</xm:f>
            <x14:dxf>
              <font>
                <color rgb="FFFFFFFF"/>
              </font>
              <fill>
                <patternFill>
                  <bgColor theme="2" tint="-0.5"/>
                </patternFill>
              </fill>
            </x14:dxf>
          </x14:cfRule>
          <x14:cfRule type="cellIs" priority="51" operator="equal" id="{5ACB7ACC-67F2-4C5A-B763-A91075CDEAFF}">
            <xm:f>Metrics!$B$5</xm:f>
            <x14:dxf>
              <font>
                <color rgb="FFFFFFFF"/>
              </font>
              <fill>
                <patternFill>
                  <bgColor rgb="FFC00000"/>
                </patternFill>
              </fill>
            </x14:dxf>
          </x14:cfRule>
          <x14:cfRule type="cellIs" priority="52" operator="equal" id="{217515B2-F8C5-4483-AF26-C7C076DC81A4}">
            <xm:f>Metrics!$B$4</xm:f>
            <x14:dxf>
              <font>
                <color rgb="FFFFFFFF"/>
              </font>
              <fill>
                <patternFill>
                  <bgColor rgb="FFFF0000"/>
                </patternFill>
              </fill>
            </x14:dxf>
          </x14:cfRule>
          <x14:cfRule type="cellIs" priority="53" operator="equal" id="{CB9464D3-CFCF-40F7-B424-20F77A6512A6}">
            <xm:f>Metrics!$B$3</xm:f>
            <x14:dxf>
              <font>
                <color rgb="FFD9D9D9"/>
              </font>
              <fill>
                <patternFill>
                  <bgColor theme="0"/>
                </patternFill>
              </fill>
            </x14:dxf>
          </x14:cfRule>
          <xm:sqref>D42:D47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R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0" activePane="bottomRight" state="frozen"/>
      <selection pane="topLeft" activeCell="A1" activeCellId="0" sqref="A1"/>
      <selection pane="topRight" activeCell="B1" activeCellId="0" sqref="B1"/>
      <selection pane="bottomLeft" activeCell="A30" activeCellId="0" sqref="A30"/>
      <selection pane="bottomRight" activeCell="E87" activeCellId="0" sqref="E87"/>
    </sheetView>
  </sheetViews>
  <sheetFormatPr defaultColWidth="11.5703125" defaultRowHeight="12.75" zeroHeight="false" outlineLevelRow="0" outlineLevelCol="0"/>
  <cols>
    <col collapsed="false" customWidth="true" hidden="false" outlineLevel="0" max="1" min="1" style="51" width="1.57"/>
    <col collapsed="false" customWidth="true" hidden="false" outlineLevel="0" max="2" min="2" style="51" width="8.57"/>
    <col collapsed="false" customWidth="true" hidden="false" outlineLevel="0" max="3" min="3" style="52" width="65.29"/>
    <col collapsed="false" customWidth="true" hidden="false" outlineLevel="0" max="4" min="4" style="53" width="14.71"/>
    <col collapsed="false" customWidth="true" hidden="false" outlineLevel="0" max="5" min="5" style="51" width="75.29"/>
    <col collapsed="false" customWidth="true" hidden="false" outlineLevel="0" max="252" min="6" style="54" width="30.29"/>
  </cols>
  <sheetData>
    <row r="1" customFormat="false" ht="32.25" hidden="false" customHeight="true" outlineLevel="0" collapsed="false">
      <c r="A1" s="56"/>
      <c r="B1" s="57" t="s">
        <v>97</v>
      </c>
      <c r="C1" s="57"/>
      <c r="D1" s="57"/>
      <c r="E1" s="57"/>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c r="CE1" s="58"/>
      <c r="CF1" s="58"/>
      <c r="CG1" s="58"/>
      <c r="CH1" s="58"/>
      <c r="CI1" s="58"/>
      <c r="CJ1" s="58"/>
      <c r="CK1" s="58"/>
      <c r="CL1" s="58"/>
      <c r="CM1" s="58"/>
      <c r="CN1" s="58"/>
      <c r="CO1" s="58"/>
      <c r="CP1" s="58"/>
      <c r="CQ1" s="58"/>
      <c r="CR1" s="58"/>
      <c r="CS1" s="58"/>
      <c r="CT1" s="58"/>
      <c r="CU1" s="58"/>
      <c r="CV1" s="58"/>
      <c r="CW1" s="58"/>
      <c r="CX1" s="58"/>
      <c r="CY1" s="58"/>
      <c r="CZ1" s="58"/>
      <c r="DA1" s="58"/>
      <c r="DB1" s="58"/>
      <c r="DC1" s="58"/>
      <c r="DD1" s="58"/>
      <c r="DE1" s="58"/>
      <c r="DF1" s="58"/>
      <c r="DG1" s="58"/>
      <c r="DH1" s="58"/>
      <c r="DI1" s="58"/>
      <c r="DJ1" s="58"/>
      <c r="DK1" s="58"/>
      <c r="DL1" s="58"/>
      <c r="DM1" s="58"/>
      <c r="DN1" s="58"/>
      <c r="DO1" s="58"/>
      <c r="DP1" s="58"/>
      <c r="DQ1" s="58"/>
      <c r="DR1" s="58"/>
      <c r="DS1" s="58"/>
      <c r="DT1" s="58"/>
      <c r="DU1" s="58"/>
      <c r="DV1" s="58"/>
      <c r="DW1" s="58"/>
      <c r="DX1" s="58"/>
      <c r="DY1" s="58"/>
      <c r="DZ1" s="58"/>
      <c r="EA1" s="58"/>
      <c r="EB1" s="58"/>
      <c r="EC1" s="58"/>
      <c r="ED1" s="58"/>
      <c r="EE1" s="58"/>
      <c r="EF1" s="58"/>
      <c r="EG1" s="58"/>
      <c r="EH1" s="58"/>
      <c r="EI1" s="58"/>
      <c r="EJ1" s="58"/>
      <c r="EK1" s="58"/>
      <c r="EL1" s="58"/>
      <c r="EM1" s="58"/>
      <c r="EN1" s="58"/>
      <c r="EO1" s="58"/>
      <c r="EP1" s="58"/>
      <c r="EQ1" s="58"/>
      <c r="ER1" s="58"/>
      <c r="ES1" s="58"/>
      <c r="ET1" s="58"/>
      <c r="EU1" s="58"/>
      <c r="EV1" s="58"/>
      <c r="EW1" s="58"/>
      <c r="EX1" s="58"/>
      <c r="EY1" s="58"/>
      <c r="EZ1" s="58"/>
      <c r="FA1" s="58"/>
      <c r="FB1" s="58"/>
      <c r="FC1" s="58"/>
      <c r="FD1" s="58"/>
      <c r="FE1" s="58"/>
      <c r="FF1" s="58"/>
      <c r="FG1" s="58"/>
      <c r="FH1" s="58"/>
      <c r="FI1" s="58"/>
      <c r="FJ1" s="58"/>
      <c r="FK1" s="58"/>
      <c r="FL1" s="58"/>
      <c r="FM1" s="58"/>
      <c r="FN1" s="58"/>
      <c r="FO1" s="58"/>
      <c r="FP1" s="58"/>
      <c r="FQ1" s="58"/>
      <c r="FR1" s="58"/>
      <c r="FS1" s="58"/>
      <c r="FT1" s="58"/>
      <c r="FU1" s="58"/>
      <c r="FV1" s="58"/>
      <c r="FW1" s="58"/>
      <c r="FX1" s="58"/>
      <c r="FY1" s="58"/>
      <c r="FZ1" s="58"/>
      <c r="GA1" s="58"/>
      <c r="GB1" s="58"/>
      <c r="GC1" s="58"/>
      <c r="GD1" s="58"/>
      <c r="GE1" s="58"/>
      <c r="GF1" s="58"/>
      <c r="GG1" s="58"/>
      <c r="GH1" s="58"/>
      <c r="GI1" s="58"/>
      <c r="GJ1" s="58"/>
      <c r="GK1" s="58"/>
      <c r="GL1" s="58"/>
      <c r="GM1" s="58"/>
      <c r="GN1" s="58"/>
      <c r="GO1" s="58"/>
      <c r="GP1" s="58"/>
      <c r="GQ1" s="58"/>
      <c r="GR1" s="58"/>
      <c r="GS1" s="58"/>
      <c r="GT1" s="58"/>
      <c r="GU1" s="58"/>
      <c r="GV1" s="58"/>
      <c r="GW1" s="58"/>
      <c r="GX1" s="58"/>
      <c r="GY1" s="58"/>
      <c r="GZ1" s="58"/>
      <c r="HA1" s="58"/>
      <c r="HB1" s="58"/>
      <c r="HC1" s="58"/>
      <c r="HD1" s="58"/>
      <c r="HE1" s="58"/>
      <c r="HF1" s="58"/>
      <c r="HG1" s="58"/>
      <c r="HH1" s="58"/>
      <c r="HI1" s="58"/>
      <c r="HJ1" s="58"/>
      <c r="HK1" s="58"/>
      <c r="HL1" s="58"/>
      <c r="HM1" s="58"/>
      <c r="HN1" s="58"/>
      <c r="HO1" s="58"/>
      <c r="HP1" s="58"/>
      <c r="HQ1" s="58"/>
      <c r="HR1" s="58"/>
      <c r="HS1" s="58"/>
      <c r="HT1" s="58"/>
      <c r="HU1" s="58"/>
      <c r="HV1" s="58"/>
      <c r="HW1" s="58"/>
      <c r="HX1" s="58"/>
      <c r="HY1" s="58"/>
      <c r="HZ1" s="58"/>
      <c r="IA1" s="58"/>
      <c r="IB1" s="58"/>
      <c r="IC1" s="58"/>
      <c r="ID1" s="58"/>
      <c r="IE1" s="58"/>
      <c r="IF1" s="58"/>
      <c r="IG1" s="58"/>
      <c r="IH1" s="58"/>
      <c r="II1" s="58"/>
      <c r="IJ1" s="58"/>
      <c r="IK1" s="58"/>
      <c r="IL1" s="58"/>
      <c r="IM1" s="58"/>
      <c r="IN1" s="58"/>
      <c r="IO1" s="58"/>
      <c r="IP1" s="58"/>
      <c r="IQ1" s="58"/>
      <c r="IR1" s="58"/>
    </row>
    <row r="2" customFormat="false" ht="21.75" hidden="false" customHeight="true" outlineLevel="0" collapsed="false">
      <c r="A2" s="9"/>
      <c r="B2" s="59" t="s">
        <v>20</v>
      </c>
      <c r="C2" s="60" t="s">
        <v>98</v>
      </c>
      <c r="D2" s="13" t="s">
        <v>22</v>
      </c>
      <c r="E2" s="14" t="s">
        <v>23</v>
      </c>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row>
    <row r="3" customFormat="false" ht="31.5" hidden="false" customHeight="true" outlineLevel="0" collapsed="false">
      <c r="A3" s="15"/>
      <c r="B3" s="16" t="s">
        <v>99</v>
      </c>
      <c r="C3" s="61" t="s">
        <v>100</v>
      </c>
      <c r="D3" s="61"/>
      <c r="E3" s="61"/>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c r="GJ3" s="15"/>
      <c r="GK3" s="15"/>
      <c r="GL3" s="15"/>
      <c r="GM3" s="15"/>
      <c r="GN3" s="15"/>
      <c r="GO3" s="15"/>
      <c r="GP3" s="15"/>
      <c r="GQ3" s="15"/>
      <c r="GR3" s="15"/>
      <c r="GS3" s="15"/>
      <c r="GT3" s="15"/>
      <c r="GU3" s="15"/>
      <c r="GV3" s="15"/>
      <c r="GW3" s="15"/>
      <c r="GX3" s="15"/>
      <c r="GY3" s="15"/>
      <c r="GZ3" s="15"/>
      <c r="HA3" s="15"/>
      <c r="HB3" s="15"/>
      <c r="HC3" s="15"/>
      <c r="HD3" s="15"/>
      <c r="HE3" s="15"/>
      <c r="HF3" s="15"/>
      <c r="HG3" s="15"/>
      <c r="HH3" s="15"/>
      <c r="HI3" s="15"/>
      <c r="HJ3" s="15"/>
      <c r="HK3" s="15"/>
      <c r="HL3" s="15"/>
      <c r="HM3" s="15"/>
      <c r="HN3" s="15"/>
      <c r="HO3" s="15"/>
      <c r="HP3" s="15"/>
      <c r="HQ3" s="15"/>
      <c r="HR3" s="15"/>
      <c r="HS3" s="15"/>
      <c r="HT3" s="15"/>
      <c r="HU3" s="15"/>
      <c r="HV3" s="15"/>
      <c r="HW3" s="15"/>
      <c r="HX3" s="15"/>
      <c r="HY3" s="15"/>
      <c r="HZ3" s="15"/>
      <c r="IA3" s="15"/>
      <c r="IB3" s="15"/>
      <c r="IC3" s="15"/>
      <c r="ID3" s="15"/>
      <c r="IE3" s="15"/>
      <c r="IF3" s="15"/>
      <c r="IG3" s="15"/>
      <c r="IH3" s="15"/>
      <c r="II3" s="15"/>
      <c r="IJ3" s="15"/>
      <c r="IK3" s="15"/>
      <c r="IL3" s="15"/>
      <c r="IM3" s="15"/>
      <c r="IN3" s="15"/>
      <c r="IO3" s="15"/>
      <c r="IP3" s="15"/>
      <c r="IQ3" s="15"/>
      <c r="IR3" s="15"/>
    </row>
    <row r="4" customFormat="false" ht="22.5" hidden="false" customHeight="true" outlineLevel="0" collapsed="false">
      <c r="A4" s="25"/>
      <c r="B4" s="62" t="s">
        <v>101</v>
      </c>
      <c r="C4" s="63" t="s">
        <v>102</v>
      </c>
      <c r="D4" s="28" t="s">
        <v>103</v>
      </c>
      <c r="E4" s="64"/>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25"/>
      <c r="DR4" s="25"/>
      <c r="DS4" s="25"/>
      <c r="DT4" s="25"/>
      <c r="DU4" s="25"/>
      <c r="DV4" s="25"/>
      <c r="DW4" s="25"/>
      <c r="DX4" s="25"/>
      <c r="DY4" s="25"/>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EZ4" s="25"/>
      <c r="FA4" s="25"/>
      <c r="FB4" s="25"/>
      <c r="FC4" s="25"/>
      <c r="FD4" s="25"/>
      <c r="FE4" s="25"/>
      <c r="FF4" s="25"/>
      <c r="FG4" s="25"/>
      <c r="FH4" s="25"/>
      <c r="FI4" s="25"/>
      <c r="FJ4" s="25"/>
      <c r="FK4" s="25"/>
      <c r="FL4" s="25"/>
      <c r="FM4" s="25"/>
      <c r="FN4" s="25"/>
      <c r="FO4" s="25"/>
      <c r="FP4" s="25"/>
      <c r="FQ4" s="25"/>
      <c r="FR4" s="25"/>
      <c r="FS4" s="25"/>
      <c r="FT4" s="25"/>
      <c r="FU4" s="25"/>
      <c r="FV4" s="25"/>
      <c r="FW4" s="25"/>
      <c r="FX4" s="25"/>
      <c r="FY4" s="25"/>
      <c r="FZ4" s="25"/>
      <c r="GA4" s="25"/>
      <c r="GB4" s="25"/>
      <c r="GC4" s="25"/>
      <c r="GD4" s="25"/>
      <c r="GE4" s="25"/>
      <c r="GF4" s="25"/>
      <c r="GG4" s="25"/>
      <c r="GH4" s="25"/>
      <c r="GI4" s="25"/>
      <c r="GJ4" s="25"/>
      <c r="GK4" s="25"/>
      <c r="GL4" s="25"/>
      <c r="GM4" s="25"/>
      <c r="GN4" s="25"/>
      <c r="GO4" s="25"/>
      <c r="GP4" s="25"/>
      <c r="GQ4" s="25"/>
      <c r="GR4" s="25"/>
      <c r="GS4" s="25"/>
      <c r="GT4" s="25"/>
      <c r="GU4" s="25"/>
      <c r="GV4" s="25"/>
      <c r="GW4" s="25"/>
      <c r="GX4" s="25"/>
      <c r="GY4" s="25"/>
      <c r="GZ4" s="25"/>
      <c r="HA4" s="25"/>
      <c r="HB4" s="25"/>
      <c r="HC4" s="25"/>
      <c r="HD4" s="25"/>
      <c r="HE4" s="25"/>
      <c r="HF4" s="25"/>
      <c r="HG4" s="25"/>
      <c r="HH4" s="25"/>
      <c r="HI4" s="25"/>
      <c r="HJ4" s="25"/>
      <c r="HK4" s="25"/>
      <c r="HL4" s="25"/>
      <c r="HM4" s="25"/>
      <c r="HN4" s="25"/>
      <c r="HO4" s="25"/>
      <c r="HP4" s="25"/>
      <c r="HQ4" s="25"/>
      <c r="HR4" s="25"/>
      <c r="HS4" s="25"/>
      <c r="HT4" s="25"/>
      <c r="HU4" s="25"/>
      <c r="HV4" s="25"/>
      <c r="HW4" s="25"/>
      <c r="HX4" s="25"/>
      <c r="HY4" s="25"/>
      <c r="HZ4" s="25"/>
      <c r="IA4" s="25"/>
      <c r="IB4" s="25"/>
      <c r="IC4" s="25"/>
      <c r="ID4" s="25"/>
      <c r="IE4" s="25"/>
      <c r="IF4" s="25"/>
      <c r="IG4" s="25"/>
      <c r="IH4" s="25"/>
      <c r="II4" s="25"/>
      <c r="IJ4" s="25"/>
      <c r="IK4" s="25"/>
      <c r="IL4" s="25"/>
      <c r="IM4" s="25"/>
      <c r="IN4" s="25"/>
      <c r="IO4" s="25"/>
      <c r="IP4" s="25"/>
      <c r="IQ4" s="25"/>
      <c r="IR4" s="25"/>
    </row>
    <row r="5" customFormat="false" ht="22.5" hidden="false" customHeight="true" outlineLevel="0" collapsed="false">
      <c r="A5" s="25"/>
      <c r="B5" s="62" t="s">
        <v>104</v>
      </c>
      <c r="C5" s="63" t="s">
        <v>105</v>
      </c>
      <c r="D5" s="28" t="s">
        <v>103</v>
      </c>
      <c r="E5" s="64"/>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c r="DP5" s="25"/>
      <c r="DQ5" s="25"/>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c r="ET5" s="25"/>
      <c r="EU5" s="25"/>
      <c r="EV5" s="25"/>
      <c r="EW5" s="25"/>
      <c r="EX5" s="25"/>
      <c r="EY5" s="25"/>
      <c r="EZ5" s="25"/>
      <c r="FA5" s="25"/>
      <c r="FB5" s="25"/>
      <c r="FC5" s="25"/>
      <c r="FD5" s="25"/>
      <c r="FE5" s="25"/>
      <c r="FF5" s="25"/>
      <c r="FG5" s="25"/>
      <c r="FH5" s="25"/>
      <c r="FI5" s="25"/>
      <c r="FJ5" s="25"/>
      <c r="FK5" s="25"/>
      <c r="FL5" s="25"/>
      <c r="FM5" s="25"/>
      <c r="FN5" s="25"/>
      <c r="FO5" s="25"/>
      <c r="FP5" s="25"/>
      <c r="FQ5" s="25"/>
      <c r="FR5" s="25"/>
      <c r="FS5" s="25"/>
      <c r="FT5" s="25"/>
      <c r="FU5" s="25"/>
      <c r="FV5" s="25"/>
      <c r="FW5" s="25"/>
      <c r="FX5" s="25"/>
      <c r="FY5" s="25"/>
      <c r="FZ5" s="25"/>
      <c r="GA5" s="25"/>
      <c r="GB5" s="25"/>
      <c r="GC5" s="25"/>
      <c r="GD5" s="25"/>
      <c r="GE5" s="25"/>
      <c r="GF5" s="25"/>
      <c r="GG5" s="25"/>
      <c r="GH5" s="25"/>
      <c r="GI5" s="25"/>
      <c r="GJ5" s="25"/>
      <c r="GK5" s="25"/>
      <c r="GL5" s="25"/>
      <c r="GM5" s="25"/>
      <c r="GN5" s="25"/>
      <c r="GO5" s="25"/>
      <c r="GP5" s="25"/>
      <c r="GQ5" s="25"/>
      <c r="GR5" s="25"/>
      <c r="GS5" s="25"/>
      <c r="GT5" s="25"/>
      <c r="GU5" s="25"/>
      <c r="GV5" s="25"/>
      <c r="GW5" s="25"/>
      <c r="GX5" s="25"/>
      <c r="GY5" s="25"/>
      <c r="GZ5" s="25"/>
      <c r="HA5" s="25"/>
      <c r="HB5" s="25"/>
      <c r="HC5" s="25"/>
      <c r="HD5" s="25"/>
      <c r="HE5" s="25"/>
      <c r="HF5" s="25"/>
      <c r="HG5" s="25"/>
      <c r="HH5" s="25"/>
      <c r="HI5" s="25"/>
      <c r="HJ5" s="25"/>
      <c r="HK5" s="25"/>
      <c r="HL5" s="25"/>
      <c r="HM5" s="25"/>
      <c r="HN5" s="25"/>
      <c r="HO5" s="25"/>
      <c r="HP5" s="25"/>
      <c r="HQ5" s="25"/>
      <c r="HR5" s="25"/>
      <c r="HS5" s="25"/>
      <c r="HT5" s="25"/>
      <c r="HU5" s="25"/>
      <c r="HV5" s="25"/>
      <c r="HW5" s="25"/>
      <c r="HX5" s="25"/>
      <c r="HY5" s="25"/>
      <c r="HZ5" s="25"/>
      <c r="IA5" s="25"/>
      <c r="IB5" s="25"/>
      <c r="IC5" s="25"/>
      <c r="ID5" s="25"/>
      <c r="IE5" s="25"/>
      <c r="IF5" s="25"/>
      <c r="IG5" s="25"/>
      <c r="IH5" s="25"/>
      <c r="II5" s="25"/>
      <c r="IJ5" s="25"/>
      <c r="IK5" s="25"/>
      <c r="IL5" s="25"/>
      <c r="IM5" s="25"/>
      <c r="IN5" s="25"/>
      <c r="IO5" s="25"/>
      <c r="IP5" s="25"/>
      <c r="IQ5" s="25"/>
      <c r="IR5" s="25"/>
    </row>
    <row r="6" customFormat="false" ht="22.5" hidden="false" customHeight="true" outlineLevel="0" collapsed="false">
      <c r="A6" s="25"/>
      <c r="B6" s="62" t="s">
        <v>106</v>
      </c>
      <c r="C6" s="63" t="s">
        <v>107</v>
      </c>
      <c r="D6" s="28" t="s">
        <v>103</v>
      </c>
      <c r="E6" s="64"/>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c r="DE6" s="25"/>
      <c r="DF6" s="25"/>
      <c r="DG6" s="25"/>
      <c r="DH6" s="25"/>
      <c r="DI6" s="25"/>
      <c r="DJ6" s="25"/>
      <c r="DK6" s="25"/>
      <c r="DL6" s="25"/>
      <c r="DM6" s="25"/>
      <c r="DN6" s="25"/>
      <c r="DO6" s="25"/>
      <c r="DP6" s="25"/>
      <c r="DQ6" s="25"/>
      <c r="DR6" s="25"/>
      <c r="DS6" s="25"/>
      <c r="DT6" s="25"/>
      <c r="DU6" s="25"/>
      <c r="DV6" s="25"/>
      <c r="DW6" s="25"/>
      <c r="DX6" s="25"/>
      <c r="DY6" s="25"/>
      <c r="DZ6" s="25"/>
      <c r="EA6" s="25"/>
      <c r="EB6" s="25"/>
      <c r="EC6" s="25"/>
      <c r="ED6" s="25"/>
      <c r="EE6" s="25"/>
      <c r="EF6" s="25"/>
      <c r="EG6" s="25"/>
      <c r="EH6" s="25"/>
      <c r="EI6" s="25"/>
      <c r="EJ6" s="25"/>
      <c r="EK6" s="25"/>
      <c r="EL6" s="25"/>
      <c r="EM6" s="25"/>
      <c r="EN6" s="25"/>
      <c r="EO6" s="25"/>
      <c r="EP6" s="25"/>
      <c r="EQ6" s="25"/>
      <c r="ER6" s="25"/>
      <c r="ES6" s="25"/>
      <c r="ET6" s="25"/>
      <c r="EU6" s="25"/>
      <c r="EV6" s="25"/>
      <c r="EW6" s="25"/>
      <c r="EX6" s="25"/>
      <c r="EY6" s="25"/>
      <c r="EZ6" s="25"/>
      <c r="FA6" s="25"/>
      <c r="FB6" s="25"/>
      <c r="FC6" s="25"/>
      <c r="FD6" s="25"/>
      <c r="FE6" s="25"/>
      <c r="FF6" s="25"/>
      <c r="FG6" s="25"/>
      <c r="FH6" s="25"/>
      <c r="FI6" s="25"/>
      <c r="FJ6" s="25"/>
      <c r="FK6" s="25"/>
      <c r="FL6" s="25"/>
      <c r="FM6" s="25"/>
      <c r="FN6" s="25"/>
      <c r="FO6" s="25"/>
      <c r="FP6" s="25"/>
      <c r="FQ6" s="25"/>
      <c r="FR6" s="25"/>
      <c r="FS6" s="25"/>
      <c r="FT6" s="25"/>
      <c r="FU6" s="25"/>
      <c r="FV6" s="25"/>
      <c r="FW6" s="25"/>
      <c r="FX6" s="25"/>
      <c r="FY6" s="25"/>
      <c r="FZ6" s="25"/>
      <c r="GA6" s="25"/>
      <c r="GB6" s="25"/>
      <c r="GC6" s="25"/>
      <c r="GD6" s="25"/>
      <c r="GE6" s="25"/>
      <c r="GF6" s="25"/>
      <c r="GG6" s="25"/>
      <c r="GH6" s="25"/>
      <c r="GI6" s="25"/>
      <c r="GJ6" s="25"/>
      <c r="GK6" s="25"/>
      <c r="GL6" s="25"/>
      <c r="GM6" s="25"/>
      <c r="GN6" s="25"/>
      <c r="GO6" s="25"/>
      <c r="GP6" s="25"/>
      <c r="GQ6" s="25"/>
      <c r="GR6" s="25"/>
      <c r="GS6" s="25"/>
      <c r="GT6" s="25"/>
      <c r="GU6" s="25"/>
      <c r="GV6" s="25"/>
      <c r="GW6" s="25"/>
      <c r="GX6" s="25"/>
      <c r="GY6" s="25"/>
      <c r="GZ6" s="25"/>
      <c r="HA6" s="25"/>
      <c r="HB6" s="25"/>
      <c r="HC6" s="25"/>
      <c r="HD6" s="25"/>
      <c r="HE6" s="25"/>
      <c r="HF6" s="25"/>
      <c r="HG6" s="25"/>
      <c r="HH6" s="25"/>
      <c r="HI6" s="25"/>
      <c r="HJ6" s="25"/>
      <c r="HK6" s="25"/>
      <c r="HL6" s="25"/>
      <c r="HM6" s="25"/>
      <c r="HN6" s="25"/>
      <c r="HO6" s="25"/>
      <c r="HP6" s="25"/>
      <c r="HQ6" s="25"/>
      <c r="HR6" s="25"/>
      <c r="HS6" s="25"/>
      <c r="HT6" s="25"/>
      <c r="HU6" s="25"/>
      <c r="HV6" s="25"/>
      <c r="HW6" s="25"/>
      <c r="HX6" s="25"/>
      <c r="HY6" s="25"/>
      <c r="HZ6" s="25"/>
      <c r="IA6" s="25"/>
      <c r="IB6" s="25"/>
      <c r="IC6" s="25"/>
      <c r="ID6" s="25"/>
      <c r="IE6" s="25"/>
      <c r="IF6" s="25"/>
      <c r="IG6" s="25"/>
      <c r="IH6" s="25"/>
      <c r="II6" s="25"/>
      <c r="IJ6" s="25"/>
      <c r="IK6" s="25"/>
      <c r="IL6" s="25"/>
      <c r="IM6" s="25"/>
      <c r="IN6" s="25"/>
      <c r="IO6" s="25"/>
      <c r="IP6" s="25"/>
      <c r="IQ6" s="25"/>
      <c r="IR6" s="25"/>
    </row>
    <row r="7" customFormat="false" ht="22.5" hidden="false" customHeight="true" outlineLevel="0" collapsed="false">
      <c r="A7" s="25"/>
      <c r="B7" s="62" t="s">
        <v>108</v>
      </c>
      <c r="C7" s="63" t="s">
        <v>109</v>
      </c>
      <c r="D7" s="28" t="s">
        <v>103</v>
      </c>
      <c r="E7" s="64"/>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c r="DM7" s="25"/>
      <c r="DN7" s="25"/>
      <c r="DO7" s="25"/>
      <c r="DP7" s="25"/>
      <c r="DQ7" s="25"/>
      <c r="DR7" s="25"/>
      <c r="DS7" s="25"/>
      <c r="DT7" s="25"/>
      <c r="DU7" s="25"/>
      <c r="DV7" s="25"/>
      <c r="DW7" s="25"/>
      <c r="DX7" s="25"/>
      <c r="DY7" s="25"/>
      <c r="DZ7" s="25"/>
      <c r="EA7" s="25"/>
      <c r="EB7" s="25"/>
      <c r="EC7" s="25"/>
      <c r="ED7" s="25"/>
      <c r="EE7" s="25"/>
      <c r="EF7" s="25"/>
      <c r="EG7" s="25"/>
      <c r="EH7" s="25"/>
      <c r="EI7" s="25"/>
      <c r="EJ7" s="25"/>
      <c r="EK7" s="25"/>
      <c r="EL7" s="25"/>
      <c r="EM7" s="25"/>
      <c r="EN7" s="25"/>
      <c r="EO7" s="25"/>
      <c r="EP7" s="25"/>
      <c r="EQ7" s="25"/>
      <c r="ER7" s="25"/>
      <c r="ES7" s="25"/>
      <c r="ET7" s="25"/>
      <c r="EU7" s="25"/>
      <c r="EV7" s="25"/>
      <c r="EW7" s="25"/>
      <c r="EX7" s="25"/>
      <c r="EY7" s="25"/>
      <c r="EZ7" s="25"/>
      <c r="FA7" s="25"/>
      <c r="FB7" s="25"/>
      <c r="FC7" s="25"/>
      <c r="FD7" s="25"/>
      <c r="FE7" s="25"/>
      <c r="FF7" s="25"/>
      <c r="FG7" s="25"/>
      <c r="FH7" s="25"/>
      <c r="FI7" s="25"/>
      <c r="FJ7" s="25"/>
      <c r="FK7" s="25"/>
      <c r="FL7" s="25"/>
      <c r="FM7" s="25"/>
      <c r="FN7" s="25"/>
      <c r="FO7" s="25"/>
      <c r="FP7" s="25"/>
      <c r="FQ7" s="25"/>
      <c r="FR7" s="25"/>
      <c r="FS7" s="25"/>
      <c r="FT7" s="25"/>
      <c r="FU7" s="25"/>
      <c r="FV7" s="25"/>
      <c r="FW7" s="25"/>
      <c r="FX7" s="25"/>
      <c r="FY7" s="25"/>
      <c r="FZ7" s="25"/>
      <c r="GA7" s="25"/>
      <c r="GB7" s="25"/>
      <c r="GC7" s="25"/>
      <c r="GD7" s="25"/>
      <c r="GE7" s="25"/>
      <c r="GF7" s="25"/>
      <c r="GG7" s="25"/>
      <c r="GH7" s="25"/>
      <c r="GI7" s="25"/>
      <c r="GJ7" s="25"/>
      <c r="GK7" s="25"/>
      <c r="GL7" s="25"/>
      <c r="GM7" s="25"/>
      <c r="GN7" s="25"/>
      <c r="GO7" s="25"/>
      <c r="GP7" s="25"/>
      <c r="GQ7" s="25"/>
      <c r="GR7" s="25"/>
      <c r="GS7" s="25"/>
      <c r="GT7" s="25"/>
      <c r="GU7" s="25"/>
      <c r="GV7" s="25"/>
      <c r="GW7" s="25"/>
      <c r="GX7" s="25"/>
      <c r="GY7" s="25"/>
      <c r="GZ7" s="25"/>
      <c r="HA7" s="25"/>
      <c r="HB7" s="25"/>
      <c r="HC7" s="25"/>
      <c r="HD7" s="25"/>
      <c r="HE7" s="25"/>
      <c r="HF7" s="25"/>
      <c r="HG7" s="25"/>
      <c r="HH7" s="25"/>
      <c r="HI7" s="25"/>
      <c r="HJ7" s="25"/>
      <c r="HK7" s="25"/>
      <c r="HL7" s="25"/>
      <c r="HM7" s="25"/>
      <c r="HN7" s="25"/>
      <c r="HO7" s="25"/>
      <c r="HP7" s="25"/>
      <c r="HQ7" s="25"/>
      <c r="HR7" s="25"/>
      <c r="HS7" s="25"/>
      <c r="HT7" s="25"/>
      <c r="HU7" s="25"/>
      <c r="HV7" s="25"/>
      <c r="HW7" s="25"/>
      <c r="HX7" s="25"/>
      <c r="HY7" s="25"/>
      <c r="HZ7" s="25"/>
      <c r="IA7" s="25"/>
      <c r="IB7" s="25"/>
      <c r="IC7" s="25"/>
      <c r="ID7" s="25"/>
      <c r="IE7" s="25"/>
      <c r="IF7" s="25"/>
      <c r="IG7" s="25"/>
      <c r="IH7" s="25"/>
      <c r="II7" s="25"/>
      <c r="IJ7" s="25"/>
      <c r="IK7" s="25"/>
      <c r="IL7" s="25"/>
      <c r="IM7" s="25"/>
      <c r="IN7" s="25"/>
      <c r="IO7" s="25"/>
      <c r="IP7" s="25"/>
      <c r="IQ7" s="25"/>
      <c r="IR7" s="25"/>
    </row>
    <row r="8" customFormat="false" ht="22.5" hidden="false" customHeight="true" outlineLevel="0" collapsed="false">
      <c r="A8" s="25"/>
      <c r="B8" s="62" t="s">
        <v>110</v>
      </c>
      <c r="C8" s="63" t="s">
        <v>111</v>
      </c>
      <c r="D8" s="28" t="s">
        <v>103</v>
      </c>
      <c r="E8" s="64"/>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row>
    <row r="9" customFormat="false" ht="22.5" hidden="false" customHeight="true" outlineLevel="0" collapsed="false">
      <c r="A9" s="25"/>
      <c r="B9" s="62" t="s">
        <v>112</v>
      </c>
      <c r="C9" s="63" t="s">
        <v>113</v>
      </c>
      <c r="D9" s="28" t="s">
        <v>103</v>
      </c>
      <c r="E9" s="64"/>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row>
    <row r="10" customFormat="false" ht="22.5" hidden="false" customHeight="true" outlineLevel="0" collapsed="false">
      <c r="A10" s="25"/>
      <c r="B10" s="62" t="s">
        <v>114</v>
      </c>
      <c r="C10" s="63" t="s">
        <v>115</v>
      </c>
      <c r="D10" s="28" t="s">
        <v>103</v>
      </c>
      <c r="E10" s="64"/>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row>
    <row r="11" customFormat="false" ht="22.5" hidden="false" customHeight="true" outlineLevel="0" collapsed="false">
      <c r="A11" s="25"/>
      <c r="B11" s="62" t="s">
        <v>116</v>
      </c>
      <c r="C11" s="63" t="s">
        <v>117</v>
      </c>
      <c r="D11" s="28" t="s">
        <v>103</v>
      </c>
      <c r="E11" s="64"/>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row>
    <row r="12" customFormat="false" ht="22.5" hidden="false" customHeight="true" outlineLevel="0" collapsed="false">
      <c r="A12" s="25"/>
      <c r="B12" s="62" t="s">
        <v>118</v>
      </c>
      <c r="C12" s="63" t="s">
        <v>119</v>
      </c>
      <c r="D12" s="28" t="s">
        <v>103</v>
      </c>
      <c r="E12" s="64"/>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row>
    <row r="13" customFormat="false" ht="22.5" hidden="false" customHeight="true" outlineLevel="0" collapsed="false">
      <c r="A13" s="25"/>
      <c r="B13" s="62" t="s">
        <v>120</v>
      </c>
      <c r="C13" s="63" t="s">
        <v>121</v>
      </c>
      <c r="D13" s="28" t="s">
        <v>103</v>
      </c>
      <c r="E13" s="64"/>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row>
    <row r="14" customFormat="false" ht="22.5" hidden="false" customHeight="true" outlineLevel="0" collapsed="false">
      <c r="A14" s="25"/>
      <c r="B14" s="62" t="s">
        <v>122</v>
      </c>
      <c r="C14" s="63" t="s">
        <v>123</v>
      </c>
      <c r="D14" s="28" t="s">
        <v>103</v>
      </c>
      <c r="E14" s="64"/>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row>
    <row r="15" customFormat="false" ht="22.5" hidden="false" customHeight="true" outlineLevel="0" collapsed="false">
      <c r="A15" s="25"/>
      <c r="B15" s="62" t="s">
        <v>124</v>
      </c>
      <c r="C15" s="63" t="s">
        <v>125</v>
      </c>
      <c r="D15" s="28" t="s">
        <v>103</v>
      </c>
      <c r="E15" s="64"/>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row>
    <row r="16" customFormat="false" ht="22.5" hidden="false" customHeight="true" outlineLevel="0" collapsed="false">
      <c r="A16" s="25"/>
      <c r="B16" s="62" t="s">
        <v>126</v>
      </c>
      <c r="C16" s="63" t="s">
        <v>127</v>
      </c>
      <c r="D16" s="28" t="s">
        <v>103</v>
      </c>
      <c r="E16" s="64"/>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row>
    <row r="17" customFormat="false" ht="22.5" hidden="false" customHeight="true" outlineLevel="0" collapsed="false">
      <c r="A17" s="25"/>
      <c r="B17" s="62" t="s">
        <v>128</v>
      </c>
      <c r="C17" s="63" t="s">
        <v>129</v>
      </c>
      <c r="D17" s="28" t="s">
        <v>103</v>
      </c>
      <c r="E17" s="64"/>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row>
    <row r="18" customFormat="false" ht="22.5" hidden="false" customHeight="true" outlineLevel="0" collapsed="false">
      <c r="A18" s="25"/>
      <c r="B18" s="62" t="s">
        <v>130</v>
      </c>
      <c r="C18" s="63" t="s">
        <v>131</v>
      </c>
      <c r="D18" s="28" t="s">
        <v>103</v>
      </c>
      <c r="E18" s="64"/>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row>
    <row r="19" customFormat="false" ht="22.5" hidden="false" customHeight="true" outlineLevel="0" collapsed="false">
      <c r="A19" s="25"/>
      <c r="B19" s="62" t="s">
        <v>132</v>
      </c>
      <c r="C19" s="63" t="s">
        <v>133</v>
      </c>
      <c r="D19" s="28" t="s">
        <v>103</v>
      </c>
      <c r="E19" s="64"/>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row>
    <row r="20" customFormat="false" ht="22.5" hidden="false" customHeight="true" outlineLevel="0" collapsed="false">
      <c r="A20" s="25"/>
      <c r="B20" s="62" t="s">
        <v>134</v>
      </c>
      <c r="C20" s="63" t="s">
        <v>135</v>
      </c>
      <c r="D20" s="28" t="s">
        <v>103</v>
      </c>
      <c r="E20" s="64"/>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row>
    <row r="21" customFormat="false" ht="22.5" hidden="false" customHeight="true" outlineLevel="0" collapsed="false">
      <c r="A21" s="25"/>
      <c r="B21" s="62" t="s">
        <v>136</v>
      </c>
      <c r="C21" s="63" t="s">
        <v>137</v>
      </c>
      <c r="D21" s="28" t="s">
        <v>103</v>
      </c>
      <c r="E21" s="64"/>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row>
    <row r="22" customFormat="false" ht="22.5" hidden="false" customHeight="true" outlineLevel="0" collapsed="false">
      <c r="A22" s="25"/>
      <c r="B22" s="62" t="s">
        <v>138</v>
      </c>
      <c r="C22" s="63" t="s">
        <v>139</v>
      </c>
      <c r="D22" s="28" t="s">
        <v>103</v>
      </c>
      <c r="E22" s="64"/>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row>
    <row r="23" customFormat="false" ht="22.5" hidden="false" customHeight="true" outlineLevel="0" collapsed="false">
      <c r="A23" s="25"/>
      <c r="B23" s="62" t="s">
        <v>140</v>
      </c>
      <c r="C23" s="63" t="s">
        <v>141</v>
      </c>
      <c r="D23" s="28" t="s">
        <v>103</v>
      </c>
      <c r="E23" s="64"/>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row>
    <row r="24" customFormat="false" ht="34.3" hidden="false" customHeight="false" outlineLevel="0" collapsed="false">
      <c r="A24" s="25"/>
      <c r="B24" s="62" t="s">
        <v>142</v>
      </c>
      <c r="C24" s="65" t="s">
        <v>143</v>
      </c>
      <c r="D24" s="28" t="s">
        <v>103</v>
      </c>
      <c r="E24" s="64"/>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row>
    <row r="25" customFormat="false" ht="22.5" hidden="false" customHeight="true" outlineLevel="0" collapsed="false">
      <c r="A25" s="25"/>
      <c r="B25" s="62" t="s">
        <v>144</v>
      </c>
      <c r="C25" s="63" t="s">
        <v>145</v>
      </c>
      <c r="D25" s="28" t="s">
        <v>103</v>
      </c>
      <c r="E25" s="64"/>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row>
    <row r="26" customFormat="false" ht="22.5" hidden="false" customHeight="true" outlineLevel="0" collapsed="false">
      <c r="A26" s="25"/>
      <c r="B26" s="62" t="s">
        <v>146</v>
      </c>
      <c r="C26" s="63" t="s">
        <v>147</v>
      </c>
      <c r="D26" s="28" t="s">
        <v>103</v>
      </c>
      <c r="E26" s="64"/>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row>
    <row r="27" customFormat="false" ht="22.5" hidden="false" customHeight="true" outlineLevel="0" collapsed="false">
      <c r="A27" s="25"/>
      <c r="B27" s="62" t="s">
        <v>148</v>
      </c>
      <c r="C27" s="63" t="s">
        <v>149</v>
      </c>
      <c r="D27" s="28" t="s">
        <v>103</v>
      </c>
      <c r="E27" s="64"/>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row>
    <row r="28" customFormat="false" ht="22.5" hidden="false" customHeight="true" outlineLevel="0" collapsed="false">
      <c r="A28" s="25"/>
      <c r="B28" s="62" t="s">
        <v>150</v>
      </c>
      <c r="C28" s="63" t="s">
        <v>151</v>
      </c>
      <c r="D28" s="28" t="s">
        <v>103</v>
      </c>
      <c r="E28" s="64"/>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row>
    <row r="29" customFormat="false" ht="22.5" hidden="false" customHeight="true" outlineLevel="0" collapsed="false">
      <c r="A29" s="25"/>
      <c r="B29" s="62" t="s">
        <v>152</v>
      </c>
      <c r="C29" s="63" t="s">
        <v>153</v>
      </c>
      <c r="D29" s="28" t="s">
        <v>103</v>
      </c>
      <c r="E29" s="64"/>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row>
    <row r="30" customFormat="false" ht="22.5" hidden="false" customHeight="true" outlineLevel="0" collapsed="false">
      <c r="A30" s="25"/>
      <c r="B30" s="62" t="s">
        <v>154</v>
      </c>
      <c r="C30" s="63" t="s">
        <v>155</v>
      </c>
      <c r="D30" s="28" t="s">
        <v>103</v>
      </c>
      <c r="E30" s="64"/>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row>
    <row r="31" customFormat="false" ht="22.5" hidden="false" customHeight="true" outlineLevel="0" collapsed="false">
      <c r="A31" s="25"/>
      <c r="B31" s="62" t="s">
        <v>156</v>
      </c>
      <c r="C31" s="63" t="s">
        <v>157</v>
      </c>
      <c r="D31" s="28" t="s">
        <v>103</v>
      </c>
      <c r="E31" s="64"/>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row>
    <row r="32" customFormat="false" ht="22.5" hidden="false" customHeight="true" outlineLevel="0" collapsed="false">
      <c r="A32" s="25"/>
      <c r="B32" s="62" t="s">
        <v>158</v>
      </c>
      <c r="C32" s="63" t="s">
        <v>159</v>
      </c>
      <c r="D32" s="28" t="s">
        <v>103</v>
      </c>
      <c r="E32" s="64"/>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c r="FY32" s="25"/>
      <c r="FZ32" s="25"/>
      <c r="GA32" s="25"/>
      <c r="GB32" s="25"/>
      <c r="GC32" s="25"/>
      <c r="GD32" s="25"/>
      <c r="GE32" s="25"/>
      <c r="GF32" s="25"/>
      <c r="GG32" s="25"/>
      <c r="GH32" s="25"/>
      <c r="GI32" s="25"/>
      <c r="GJ32" s="25"/>
      <c r="GK32" s="25"/>
      <c r="GL32" s="25"/>
      <c r="GM32" s="25"/>
      <c r="GN32" s="25"/>
      <c r="GO32" s="25"/>
      <c r="GP32" s="25"/>
      <c r="GQ32" s="25"/>
      <c r="GR32" s="25"/>
      <c r="GS32" s="25"/>
      <c r="GT32" s="25"/>
      <c r="GU32" s="25"/>
      <c r="GV32" s="25"/>
      <c r="GW32" s="25"/>
      <c r="GX32" s="25"/>
      <c r="GY32" s="25"/>
      <c r="GZ32" s="25"/>
      <c r="HA32" s="25"/>
      <c r="HB32" s="25"/>
      <c r="HC32" s="25"/>
      <c r="HD32" s="25"/>
      <c r="HE32" s="25"/>
      <c r="HF32" s="25"/>
      <c r="HG32" s="25"/>
      <c r="HH32" s="25"/>
      <c r="HI32" s="25"/>
      <c r="HJ32" s="25"/>
      <c r="HK32" s="25"/>
      <c r="HL32" s="25"/>
      <c r="HM32" s="25"/>
      <c r="HN32" s="25"/>
      <c r="HO32" s="25"/>
      <c r="HP32" s="25"/>
      <c r="HQ32" s="25"/>
      <c r="HR32" s="25"/>
      <c r="HS32" s="25"/>
      <c r="HT32" s="25"/>
      <c r="HU32" s="25"/>
      <c r="HV32" s="25"/>
      <c r="HW32" s="25"/>
      <c r="HX32" s="25"/>
      <c r="HY32" s="25"/>
      <c r="HZ32" s="25"/>
      <c r="IA32" s="25"/>
      <c r="IB32" s="25"/>
      <c r="IC32" s="25"/>
      <c r="ID32" s="25"/>
      <c r="IE32" s="25"/>
      <c r="IF32" s="25"/>
      <c r="IG32" s="25"/>
      <c r="IH32" s="25"/>
      <c r="II32" s="25"/>
      <c r="IJ32" s="25"/>
      <c r="IK32" s="25"/>
      <c r="IL32" s="25"/>
      <c r="IM32" s="25"/>
      <c r="IN32" s="25"/>
      <c r="IO32" s="25"/>
      <c r="IP32" s="25"/>
      <c r="IQ32" s="25"/>
      <c r="IR32" s="25"/>
    </row>
    <row r="33" customFormat="false" ht="22.5" hidden="false" customHeight="true" outlineLevel="0" collapsed="false">
      <c r="A33" s="25"/>
      <c r="B33" s="62" t="s">
        <v>160</v>
      </c>
      <c r="C33" s="63" t="s">
        <v>161</v>
      </c>
      <c r="D33" s="28" t="s">
        <v>103</v>
      </c>
      <c r="E33" s="64"/>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c r="FY33" s="25"/>
      <c r="FZ33" s="25"/>
      <c r="GA33" s="25"/>
      <c r="GB33" s="25"/>
      <c r="GC33" s="25"/>
      <c r="GD33" s="25"/>
      <c r="GE33" s="25"/>
      <c r="GF33" s="25"/>
      <c r="GG33" s="25"/>
      <c r="GH33" s="25"/>
      <c r="GI33" s="25"/>
      <c r="GJ33" s="25"/>
      <c r="GK33" s="25"/>
      <c r="GL33" s="25"/>
      <c r="GM33" s="25"/>
      <c r="GN33" s="25"/>
      <c r="GO33" s="25"/>
      <c r="GP33" s="25"/>
      <c r="GQ33" s="25"/>
      <c r="GR33" s="25"/>
      <c r="GS33" s="25"/>
      <c r="GT33" s="25"/>
      <c r="GU33" s="25"/>
      <c r="GV33" s="25"/>
      <c r="GW33" s="25"/>
      <c r="GX33" s="25"/>
      <c r="GY33" s="25"/>
      <c r="GZ33" s="25"/>
      <c r="HA33" s="25"/>
      <c r="HB33" s="25"/>
      <c r="HC33" s="25"/>
      <c r="HD33" s="25"/>
      <c r="HE33" s="25"/>
      <c r="HF33" s="25"/>
      <c r="HG33" s="25"/>
      <c r="HH33" s="25"/>
      <c r="HI33" s="25"/>
      <c r="HJ33" s="25"/>
      <c r="HK33" s="25"/>
      <c r="HL33" s="25"/>
      <c r="HM33" s="25"/>
      <c r="HN33" s="25"/>
      <c r="HO33" s="25"/>
      <c r="HP33" s="25"/>
      <c r="HQ33" s="25"/>
      <c r="HR33" s="25"/>
      <c r="HS33" s="25"/>
      <c r="HT33" s="25"/>
      <c r="HU33" s="25"/>
      <c r="HV33" s="25"/>
      <c r="HW33" s="25"/>
      <c r="HX33" s="25"/>
      <c r="HY33" s="25"/>
      <c r="HZ33" s="25"/>
      <c r="IA33" s="25"/>
      <c r="IB33" s="25"/>
      <c r="IC33" s="25"/>
      <c r="ID33" s="25"/>
      <c r="IE33" s="25"/>
      <c r="IF33" s="25"/>
      <c r="IG33" s="25"/>
      <c r="IH33" s="25"/>
      <c r="II33" s="25"/>
      <c r="IJ33" s="25"/>
      <c r="IK33" s="25"/>
      <c r="IL33" s="25"/>
      <c r="IM33" s="25"/>
      <c r="IN33" s="25"/>
      <c r="IO33" s="25"/>
      <c r="IP33" s="25"/>
      <c r="IQ33" s="25"/>
      <c r="IR33" s="25"/>
    </row>
    <row r="34" customFormat="false" ht="22.5" hidden="false" customHeight="true" outlineLevel="0" collapsed="false">
      <c r="A34" s="25"/>
      <c r="B34" s="62" t="s">
        <v>162</v>
      </c>
      <c r="C34" s="63" t="s">
        <v>163</v>
      </c>
      <c r="D34" s="28" t="s">
        <v>103</v>
      </c>
      <c r="E34" s="64"/>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c r="FY34" s="25"/>
      <c r="FZ34" s="25"/>
      <c r="GA34" s="25"/>
      <c r="GB34" s="25"/>
      <c r="GC34" s="25"/>
      <c r="GD34" s="25"/>
      <c r="GE34" s="25"/>
      <c r="GF34" s="25"/>
      <c r="GG34" s="25"/>
      <c r="GH34" s="25"/>
      <c r="GI34" s="25"/>
      <c r="GJ34" s="25"/>
      <c r="GK34" s="25"/>
      <c r="GL34" s="25"/>
      <c r="GM34" s="25"/>
      <c r="GN34" s="25"/>
      <c r="GO34" s="25"/>
      <c r="GP34" s="25"/>
      <c r="GQ34" s="25"/>
      <c r="GR34" s="25"/>
      <c r="GS34" s="25"/>
      <c r="GT34" s="25"/>
      <c r="GU34" s="25"/>
      <c r="GV34" s="25"/>
      <c r="GW34" s="25"/>
      <c r="GX34" s="25"/>
      <c r="GY34" s="25"/>
      <c r="GZ34" s="25"/>
      <c r="HA34" s="25"/>
      <c r="HB34" s="25"/>
      <c r="HC34" s="25"/>
      <c r="HD34" s="25"/>
      <c r="HE34" s="25"/>
      <c r="HF34" s="25"/>
      <c r="HG34" s="25"/>
      <c r="HH34" s="25"/>
      <c r="HI34" s="25"/>
      <c r="HJ34" s="25"/>
      <c r="HK34" s="25"/>
      <c r="HL34" s="25"/>
      <c r="HM34" s="25"/>
      <c r="HN34" s="25"/>
      <c r="HO34" s="25"/>
      <c r="HP34" s="25"/>
      <c r="HQ34" s="25"/>
      <c r="HR34" s="25"/>
      <c r="HS34" s="25"/>
      <c r="HT34" s="25"/>
      <c r="HU34" s="25"/>
      <c r="HV34" s="25"/>
      <c r="HW34" s="25"/>
      <c r="HX34" s="25"/>
      <c r="HY34" s="25"/>
      <c r="HZ34" s="25"/>
      <c r="IA34" s="25"/>
      <c r="IB34" s="25"/>
      <c r="IC34" s="25"/>
      <c r="ID34" s="25"/>
      <c r="IE34" s="25"/>
      <c r="IF34" s="25"/>
      <c r="IG34" s="25"/>
      <c r="IH34" s="25"/>
      <c r="II34" s="25"/>
      <c r="IJ34" s="25"/>
      <c r="IK34" s="25"/>
      <c r="IL34" s="25"/>
      <c r="IM34" s="25"/>
      <c r="IN34" s="25"/>
      <c r="IO34" s="25"/>
      <c r="IP34" s="25"/>
      <c r="IQ34" s="25"/>
      <c r="IR34" s="25"/>
    </row>
    <row r="35" customFormat="false" ht="22.5" hidden="false" customHeight="true" outlineLevel="0" collapsed="false">
      <c r="A35" s="25"/>
      <c r="B35" s="62" t="s">
        <v>164</v>
      </c>
      <c r="C35" s="63" t="s">
        <v>165</v>
      </c>
      <c r="D35" s="28" t="s">
        <v>103</v>
      </c>
      <c r="E35" s="64"/>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5"/>
      <c r="EN35" s="25"/>
      <c r="EO35" s="25"/>
      <c r="EP35" s="25"/>
      <c r="EQ35" s="25"/>
      <c r="ER35" s="25"/>
      <c r="ES35" s="25"/>
      <c r="ET35" s="25"/>
      <c r="EU35" s="25"/>
      <c r="EV35" s="25"/>
      <c r="EW35" s="25"/>
      <c r="EX35" s="25"/>
      <c r="EY35" s="25"/>
      <c r="EZ35" s="25"/>
      <c r="FA35" s="25"/>
      <c r="FB35" s="25"/>
      <c r="FC35" s="25"/>
      <c r="FD35" s="25"/>
      <c r="FE35" s="25"/>
      <c r="FF35" s="25"/>
      <c r="FG35" s="25"/>
      <c r="FH35" s="25"/>
      <c r="FI35" s="25"/>
      <c r="FJ35" s="25"/>
      <c r="FK35" s="25"/>
      <c r="FL35" s="25"/>
      <c r="FM35" s="25"/>
      <c r="FN35" s="25"/>
      <c r="FO35" s="25"/>
      <c r="FP35" s="25"/>
      <c r="FQ35" s="25"/>
      <c r="FR35" s="25"/>
      <c r="FS35" s="25"/>
      <c r="FT35" s="25"/>
      <c r="FU35" s="25"/>
      <c r="FV35" s="25"/>
      <c r="FW35" s="25"/>
      <c r="FX35" s="25"/>
      <c r="FY35" s="25"/>
      <c r="FZ35" s="25"/>
      <c r="GA35" s="25"/>
      <c r="GB35" s="25"/>
      <c r="GC35" s="25"/>
      <c r="GD35" s="25"/>
      <c r="GE35" s="25"/>
      <c r="GF35" s="25"/>
      <c r="GG35" s="25"/>
      <c r="GH35" s="25"/>
      <c r="GI35" s="25"/>
      <c r="GJ35" s="25"/>
      <c r="GK35" s="25"/>
      <c r="GL35" s="25"/>
      <c r="GM35" s="25"/>
      <c r="GN35" s="25"/>
      <c r="GO35" s="25"/>
      <c r="GP35" s="25"/>
      <c r="GQ35" s="25"/>
      <c r="GR35" s="25"/>
      <c r="GS35" s="25"/>
      <c r="GT35" s="25"/>
      <c r="GU35" s="25"/>
      <c r="GV35" s="25"/>
      <c r="GW35" s="25"/>
      <c r="GX35" s="25"/>
      <c r="GY35" s="25"/>
      <c r="GZ35" s="25"/>
      <c r="HA35" s="25"/>
      <c r="HB35" s="25"/>
      <c r="HC35" s="25"/>
      <c r="HD35" s="25"/>
      <c r="HE35" s="25"/>
      <c r="HF35" s="25"/>
      <c r="HG35" s="25"/>
      <c r="HH35" s="25"/>
      <c r="HI35" s="25"/>
      <c r="HJ35" s="25"/>
      <c r="HK35" s="25"/>
      <c r="HL35" s="25"/>
      <c r="HM35" s="25"/>
      <c r="HN35" s="25"/>
      <c r="HO35" s="25"/>
      <c r="HP35" s="25"/>
      <c r="HQ35" s="25"/>
      <c r="HR35" s="25"/>
      <c r="HS35" s="25"/>
      <c r="HT35" s="25"/>
      <c r="HU35" s="25"/>
      <c r="HV35" s="25"/>
      <c r="HW35" s="25"/>
      <c r="HX35" s="25"/>
      <c r="HY35" s="25"/>
      <c r="HZ35" s="25"/>
      <c r="IA35" s="25"/>
      <c r="IB35" s="25"/>
      <c r="IC35" s="25"/>
      <c r="ID35" s="25"/>
      <c r="IE35" s="25"/>
      <c r="IF35" s="25"/>
      <c r="IG35" s="25"/>
      <c r="IH35" s="25"/>
      <c r="II35" s="25"/>
      <c r="IJ35" s="25"/>
      <c r="IK35" s="25"/>
      <c r="IL35" s="25"/>
      <c r="IM35" s="25"/>
      <c r="IN35" s="25"/>
      <c r="IO35" s="25"/>
      <c r="IP35" s="25"/>
      <c r="IQ35" s="25"/>
      <c r="IR35" s="25"/>
    </row>
    <row r="36" customFormat="false" ht="22.5" hidden="false" customHeight="true" outlineLevel="0" collapsed="false">
      <c r="A36" s="25"/>
      <c r="B36" s="62" t="s">
        <v>166</v>
      </c>
      <c r="C36" s="63" t="s">
        <v>167</v>
      </c>
      <c r="D36" s="28" t="s">
        <v>103</v>
      </c>
      <c r="E36" s="64"/>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5"/>
      <c r="EN36" s="25"/>
      <c r="EO36" s="25"/>
      <c r="EP36" s="25"/>
      <c r="EQ36" s="25"/>
      <c r="ER36" s="25"/>
      <c r="ES36" s="25"/>
      <c r="ET36" s="25"/>
      <c r="EU36" s="25"/>
      <c r="EV36" s="25"/>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c r="FY36" s="25"/>
      <c r="FZ36" s="25"/>
      <c r="GA36" s="25"/>
      <c r="GB36" s="25"/>
      <c r="GC36" s="25"/>
      <c r="GD36" s="25"/>
      <c r="GE36" s="25"/>
      <c r="GF36" s="25"/>
      <c r="GG36" s="25"/>
      <c r="GH36" s="25"/>
      <c r="GI36" s="25"/>
      <c r="GJ36" s="25"/>
      <c r="GK36" s="25"/>
      <c r="GL36" s="25"/>
      <c r="GM36" s="25"/>
      <c r="GN36" s="25"/>
      <c r="GO36" s="25"/>
      <c r="GP36" s="25"/>
      <c r="GQ36" s="25"/>
      <c r="GR36" s="25"/>
      <c r="GS36" s="25"/>
      <c r="GT36" s="25"/>
      <c r="GU36" s="25"/>
      <c r="GV36" s="25"/>
      <c r="GW36" s="25"/>
      <c r="GX36" s="25"/>
      <c r="GY36" s="25"/>
      <c r="GZ36" s="25"/>
      <c r="HA36" s="25"/>
      <c r="HB36" s="25"/>
      <c r="HC36" s="25"/>
      <c r="HD36" s="25"/>
      <c r="HE36" s="25"/>
      <c r="HF36" s="25"/>
      <c r="HG36" s="25"/>
      <c r="HH36" s="25"/>
      <c r="HI36" s="25"/>
      <c r="HJ36" s="25"/>
      <c r="HK36" s="25"/>
      <c r="HL36" s="25"/>
      <c r="HM36" s="25"/>
      <c r="HN36" s="25"/>
      <c r="HO36" s="25"/>
      <c r="HP36" s="25"/>
      <c r="HQ36" s="25"/>
      <c r="HR36" s="25"/>
      <c r="HS36" s="25"/>
      <c r="HT36" s="25"/>
      <c r="HU36" s="25"/>
      <c r="HV36" s="25"/>
      <c r="HW36" s="25"/>
      <c r="HX36" s="25"/>
      <c r="HY36" s="25"/>
      <c r="HZ36" s="25"/>
      <c r="IA36" s="25"/>
      <c r="IB36" s="25"/>
      <c r="IC36" s="25"/>
      <c r="ID36" s="25"/>
      <c r="IE36" s="25"/>
      <c r="IF36" s="25"/>
      <c r="IG36" s="25"/>
      <c r="IH36" s="25"/>
      <c r="II36" s="25"/>
      <c r="IJ36" s="25"/>
      <c r="IK36" s="25"/>
      <c r="IL36" s="25"/>
      <c r="IM36" s="25"/>
      <c r="IN36" s="25"/>
      <c r="IO36" s="25"/>
      <c r="IP36" s="25"/>
      <c r="IQ36" s="25"/>
      <c r="IR36" s="25"/>
    </row>
    <row r="37" customFormat="false" ht="22.5" hidden="false" customHeight="true" outlineLevel="0" collapsed="false">
      <c r="A37" s="25"/>
      <c r="B37" s="62" t="s">
        <v>168</v>
      </c>
      <c r="C37" s="63" t="s">
        <v>169</v>
      </c>
      <c r="D37" s="28" t="s">
        <v>103</v>
      </c>
      <c r="E37" s="64"/>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c r="FI37" s="25"/>
      <c r="FJ37" s="25"/>
      <c r="FK37" s="25"/>
      <c r="FL37" s="25"/>
      <c r="FM37" s="25"/>
      <c r="FN37" s="25"/>
      <c r="FO37" s="25"/>
      <c r="FP37" s="25"/>
      <c r="FQ37" s="25"/>
      <c r="FR37" s="25"/>
      <c r="FS37" s="25"/>
      <c r="FT37" s="25"/>
      <c r="FU37" s="25"/>
      <c r="FV37" s="25"/>
      <c r="FW37" s="25"/>
      <c r="FX37" s="25"/>
      <c r="FY37" s="25"/>
      <c r="FZ37" s="25"/>
      <c r="GA37" s="25"/>
      <c r="GB37" s="25"/>
      <c r="GC37" s="25"/>
      <c r="GD37" s="25"/>
      <c r="GE37" s="25"/>
      <c r="GF37" s="25"/>
      <c r="GG37" s="25"/>
      <c r="GH37" s="25"/>
      <c r="GI37" s="25"/>
      <c r="GJ37" s="25"/>
      <c r="GK37" s="25"/>
      <c r="GL37" s="25"/>
      <c r="GM37" s="25"/>
      <c r="GN37" s="25"/>
      <c r="GO37" s="25"/>
      <c r="GP37" s="25"/>
      <c r="GQ37" s="25"/>
      <c r="GR37" s="25"/>
      <c r="GS37" s="25"/>
      <c r="GT37" s="25"/>
      <c r="GU37" s="25"/>
      <c r="GV37" s="25"/>
      <c r="GW37" s="25"/>
      <c r="GX37" s="25"/>
      <c r="GY37" s="25"/>
      <c r="GZ37" s="25"/>
      <c r="HA37" s="25"/>
      <c r="HB37" s="25"/>
      <c r="HC37" s="25"/>
      <c r="HD37" s="25"/>
      <c r="HE37" s="25"/>
      <c r="HF37" s="25"/>
      <c r="HG37" s="25"/>
      <c r="HH37" s="25"/>
      <c r="HI37" s="25"/>
      <c r="HJ37" s="25"/>
      <c r="HK37" s="25"/>
      <c r="HL37" s="25"/>
      <c r="HM37" s="25"/>
      <c r="HN37" s="25"/>
      <c r="HO37" s="25"/>
      <c r="HP37" s="25"/>
      <c r="HQ37" s="25"/>
      <c r="HR37" s="25"/>
      <c r="HS37" s="25"/>
      <c r="HT37" s="25"/>
      <c r="HU37" s="25"/>
      <c r="HV37" s="25"/>
      <c r="HW37" s="25"/>
      <c r="HX37" s="25"/>
      <c r="HY37" s="25"/>
      <c r="HZ37" s="25"/>
      <c r="IA37" s="25"/>
      <c r="IB37" s="25"/>
      <c r="IC37" s="25"/>
      <c r="ID37" s="25"/>
      <c r="IE37" s="25"/>
      <c r="IF37" s="25"/>
      <c r="IG37" s="25"/>
      <c r="IH37" s="25"/>
      <c r="II37" s="25"/>
      <c r="IJ37" s="25"/>
      <c r="IK37" s="25"/>
      <c r="IL37" s="25"/>
      <c r="IM37" s="25"/>
      <c r="IN37" s="25"/>
      <c r="IO37" s="25"/>
      <c r="IP37" s="25"/>
      <c r="IQ37" s="25"/>
      <c r="IR37" s="25"/>
    </row>
    <row r="38" customFormat="false" ht="22.5" hidden="false" customHeight="true" outlineLevel="0" collapsed="false">
      <c r="A38" s="25"/>
      <c r="B38" s="62" t="s">
        <v>170</v>
      </c>
      <c r="C38" s="63" t="s">
        <v>171</v>
      </c>
      <c r="D38" s="28" t="s">
        <v>103</v>
      </c>
      <c r="E38" s="64"/>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5"/>
      <c r="HA38" s="25"/>
      <c r="HB38" s="25"/>
      <c r="HC38" s="25"/>
      <c r="HD38" s="25"/>
      <c r="HE38" s="25"/>
      <c r="HF38" s="25"/>
      <c r="HG38" s="25"/>
      <c r="HH38" s="25"/>
      <c r="HI38" s="25"/>
      <c r="HJ38" s="25"/>
      <c r="HK38" s="25"/>
      <c r="HL38" s="25"/>
      <c r="HM38" s="25"/>
      <c r="HN38" s="25"/>
      <c r="HO38" s="25"/>
      <c r="HP38" s="25"/>
      <c r="HQ38" s="25"/>
      <c r="HR38" s="25"/>
      <c r="HS38" s="25"/>
      <c r="HT38" s="25"/>
      <c r="HU38" s="25"/>
      <c r="HV38" s="25"/>
      <c r="HW38" s="25"/>
      <c r="HX38" s="25"/>
      <c r="HY38" s="25"/>
      <c r="HZ38" s="25"/>
      <c r="IA38" s="25"/>
      <c r="IB38" s="25"/>
      <c r="IC38" s="25"/>
      <c r="ID38" s="25"/>
      <c r="IE38" s="25"/>
      <c r="IF38" s="25"/>
      <c r="IG38" s="25"/>
      <c r="IH38" s="25"/>
      <c r="II38" s="25"/>
      <c r="IJ38" s="25"/>
      <c r="IK38" s="25"/>
      <c r="IL38" s="25"/>
      <c r="IM38" s="25"/>
      <c r="IN38" s="25"/>
      <c r="IO38" s="25"/>
      <c r="IP38" s="25"/>
      <c r="IQ38" s="25"/>
      <c r="IR38" s="25"/>
    </row>
    <row r="39" customFormat="false" ht="22.5" hidden="false" customHeight="true" outlineLevel="0" collapsed="false">
      <c r="A39" s="25"/>
      <c r="B39" s="62" t="s">
        <v>172</v>
      </c>
      <c r="C39" s="63" t="s">
        <v>173</v>
      </c>
      <c r="D39" s="28" t="s">
        <v>103</v>
      </c>
      <c r="E39" s="64"/>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c r="FY39" s="25"/>
      <c r="FZ39" s="25"/>
      <c r="GA39" s="25"/>
      <c r="GB39" s="25"/>
      <c r="GC39" s="25"/>
      <c r="GD39" s="25"/>
      <c r="GE39" s="25"/>
      <c r="GF39" s="25"/>
      <c r="GG39" s="25"/>
      <c r="GH39" s="25"/>
      <c r="GI39" s="25"/>
      <c r="GJ39" s="25"/>
      <c r="GK39" s="25"/>
      <c r="GL39" s="25"/>
      <c r="GM39" s="25"/>
      <c r="GN39" s="25"/>
      <c r="GO39" s="25"/>
      <c r="GP39" s="25"/>
      <c r="GQ39" s="25"/>
      <c r="GR39" s="25"/>
      <c r="GS39" s="25"/>
      <c r="GT39" s="25"/>
      <c r="GU39" s="25"/>
      <c r="GV39" s="25"/>
      <c r="GW39" s="25"/>
      <c r="GX39" s="25"/>
      <c r="GY39" s="25"/>
      <c r="GZ39" s="25"/>
      <c r="HA39" s="25"/>
      <c r="HB39" s="25"/>
      <c r="HC39" s="25"/>
      <c r="HD39" s="25"/>
      <c r="HE39" s="25"/>
      <c r="HF39" s="25"/>
      <c r="HG39" s="25"/>
      <c r="HH39" s="25"/>
      <c r="HI39" s="25"/>
      <c r="HJ39" s="25"/>
      <c r="HK39" s="25"/>
      <c r="HL39" s="25"/>
      <c r="HM39" s="25"/>
      <c r="HN39" s="25"/>
      <c r="HO39" s="25"/>
      <c r="HP39" s="25"/>
      <c r="HQ39" s="25"/>
      <c r="HR39" s="25"/>
      <c r="HS39" s="25"/>
      <c r="HT39" s="25"/>
      <c r="HU39" s="25"/>
      <c r="HV39" s="25"/>
      <c r="HW39" s="25"/>
      <c r="HX39" s="25"/>
      <c r="HY39" s="25"/>
      <c r="HZ39" s="25"/>
      <c r="IA39" s="25"/>
      <c r="IB39" s="25"/>
      <c r="IC39" s="25"/>
      <c r="ID39" s="25"/>
      <c r="IE39" s="25"/>
      <c r="IF39" s="25"/>
      <c r="IG39" s="25"/>
      <c r="IH39" s="25"/>
      <c r="II39" s="25"/>
      <c r="IJ39" s="25"/>
      <c r="IK39" s="25"/>
      <c r="IL39" s="25"/>
      <c r="IM39" s="25"/>
      <c r="IN39" s="25"/>
      <c r="IO39" s="25"/>
      <c r="IP39" s="25"/>
      <c r="IQ39" s="25"/>
      <c r="IR39" s="25"/>
    </row>
    <row r="40" customFormat="false" ht="22.5" hidden="false" customHeight="true" outlineLevel="0" collapsed="false">
      <c r="A40" s="25"/>
      <c r="B40" s="62" t="s">
        <v>174</v>
      </c>
      <c r="C40" s="63" t="s">
        <v>175</v>
      </c>
      <c r="D40" s="28" t="s">
        <v>103</v>
      </c>
      <c r="E40" s="64"/>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25"/>
      <c r="EJ40" s="25"/>
      <c r="EK40" s="25"/>
      <c r="EL40" s="25"/>
      <c r="EM40" s="25"/>
      <c r="EN40" s="25"/>
      <c r="EO40" s="25"/>
      <c r="EP40" s="25"/>
      <c r="EQ40" s="25"/>
      <c r="ER40" s="25"/>
      <c r="ES40" s="25"/>
      <c r="ET40" s="25"/>
      <c r="EU40" s="25"/>
      <c r="EV40" s="25"/>
      <c r="EW40" s="25"/>
      <c r="EX40" s="25"/>
      <c r="EY40" s="25"/>
      <c r="EZ40" s="25"/>
      <c r="FA40" s="25"/>
      <c r="FB40" s="25"/>
      <c r="FC40" s="25"/>
      <c r="FD40" s="25"/>
      <c r="FE40" s="25"/>
      <c r="FF40" s="25"/>
      <c r="FG40" s="25"/>
      <c r="FH40" s="25"/>
      <c r="FI40" s="25"/>
      <c r="FJ40" s="25"/>
      <c r="FK40" s="25"/>
      <c r="FL40" s="25"/>
      <c r="FM40" s="25"/>
      <c r="FN40" s="25"/>
      <c r="FO40" s="25"/>
      <c r="FP40" s="25"/>
      <c r="FQ40" s="25"/>
      <c r="FR40" s="25"/>
      <c r="FS40" s="25"/>
      <c r="FT40" s="25"/>
      <c r="FU40" s="25"/>
      <c r="FV40" s="25"/>
      <c r="FW40" s="25"/>
      <c r="FX40" s="25"/>
      <c r="FY40" s="25"/>
      <c r="FZ40" s="25"/>
      <c r="GA40" s="25"/>
      <c r="GB40" s="25"/>
      <c r="GC40" s="25"/>
      <c r="GD40" s="25"/>
      <c r="GE40" s="25"/>
      <c r="GF40" s="25"/>
      <c r="GG40" s="25"/>
      <c r="GH40" s="25"/>
      <c r="GI40" s="25"/>
      <c r="GJ40" s="25"/>
      <c r="GK40" s="25"/>
      <c r="GL40" s="25"/>
      <c r="GM40" s="25"/>
      <c r="GN40" s="25"/>
      <c r="GO40" s="25"/>
      <c r="GP40" s="25"/>
      <c r="GQ40" s="25"/>
      <c r="GR40" s="25"/>
      <c r="GS40" s="25"/>
      <c r="GT40" s="25"/>
      <c r="GU40" s="25"/>
      <c r="GV40" s="25"/>
      <c r="GW40" s="25"/>
      <c r="GX40" s="25"/>
      <c r="GY40" s="25"/>
      <c r="GZ40" s="25"/>
      <c r="HA40" s="25"/>
      <c r="HB40" s="25"/>
      <c r="HC40" s="25"/>
      <c r="HD40" s="25"/>
      <c r="HE40" s="25"/>
      <c r="HF40" s="25"/>
      <c r="HG40" s="25"/>
      <c r="HH40" s="25"/>
      <c r="HI40" s="25"/>
      <c r="HJ40" s="25"/>
      <c r="HK40" s="25"/>
      <c r="HL40" s="25"/>
      <c r="HM40" s="25"/>
      <c r="HN40" s="25"/>
      <c r="HO40" s="25"/>
      <c r="HP40" s="25"/>
      <c r="HQ40" s="25"/>
      <c r="HR40" s="25"/>
      <c r="HS40" s="25"/>
      <c r="HT40" s="25"/>
      <c r="HU40" s="25"/>
      <c r="HV40" s="25"/>
      <c r="HW40" s="25"/>
      <c r="HX40" s="25"/>
      <c r="HY40" s="25"/>
      <c r="HZ40" s="25"/>
      <c r="IA40" s="25"/>
      <c r="IB40" s="25"/>
      <c r="IC40" s="25"/>
      <c r="ID40" s="25"/>
      <c r="IE40" s="25"/>
      <c r="IF40" s="25"/>
      <c r="IG40" s="25"/>
      <c r="IH40" s="25"/>
      <c r="II40" s="25"/>
      <c r="IJ40" s="25"/>
      <c r="IK40" s="25"/>
      <c r="IL40" s="25"/>
      <c r="IM40" s="25"/>
      <c r="IN40" s="25"/>
      <c r="IO40" s="25"/>
      <c r="IP40" s="25"/>
      <c r="IQ40" s="25"/>
      <c r="IR40" s="25"/>
    </row>
    <row r="41" customFormat="false" ht="39" hidden="false" customHeight="true" outlineLevel="0" collapsed="false">
      <c r="A41" s="15"/>
      <c r="B41" s="16" t="s">
        <v>176</v>
      </c>
      <c r="C41" s="61" t="s">
        <v>177</v>
      </c>
      <c r="D41" s="61"/>
      <c r="E41" s="61"/>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c r="EU41" s="15"/>
      <c r="EV41" s="15"/>
      <c r="EW41" s="15"/>
      <c r="EX41" s="15"/>
      <c r="EY41" s="15"/>
      <c r="EZ41" s="15"/>
      <c r="FA41" s="15"/>
      <c r="FB41" s="15"/>
      <c r="FC41" s="15"/>
      <c r="FD41" s="15"/>
      <c r="FE41" s="15"/>
      <c r="FF41" s="15"/>
      <c r="FG41" s="15"/>
      <c r="FH41" s="15"/>
      <c r="FI41" s="15"/>
      <c r="FJ41" s="15"/>
      <c r="FK41" s="15"/>
      <c r="FL41" s="15"/>
      <c r="FM41" s="15"/>
      <c r="FN41" s="15"/>
      <c r="FO41" s="15"/>
      <c r="FP41" s="15"/>
      <c r="FQ41" s="15"/>
      <c r="FR41" s="15"/>
      <c r="FS41" s="15"/>
      <c r="FT41" s="15"/>
      <c r="FU41" s="15"/>
      <c r="FV41" s="15"/>
      <c r="FW41" s="15"/>
      <c r="FX41" s="15"/>
      <c r="FY41" s="15"/>
      <c r="FZ41" s="15"/>
      <c r="GA41" s="15"/>
      <c r="GB41" s="15"/>
      <c r="GC41" s="15"/>
      <c r="GD41" s="15"/>
      <c r="GE41" s="15"/>
      <c r="GF41" s="15"/>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c r="IG41" s="15"/>
      <c r="IH41" s="15"/>
      <c r="II41" s="15"/>
      <c r="IJ41" s="15"/>
      <c r="IK41" s="15"/>
      <c r="IL41" s="15"/>
      <c r="IM41" s="15"/>
      <c r="IN41" s="15"/>
      <c r="IO41" s="15"/>
      <c r="IP41" s="15"/>
      <c r="IQ41" s="15"/>
      <c r="IR41" s="15"/>
    </row>
    <row r="42" customFormat="false" ht="22.5" hidden="false" customHeight="true" outlineLevel="0" collapsed="false">
      <c r="A42" s="66"/>
      <c r="B42" s="62" t="s">
        <v>178</v>
      </c>
      <c r="C42" s="63" t="s">
        <v>179</v>
      </c>
      <c r="D42" s="28" t="s">
        <v>103</v>
      </c>
      <c r="E42" s="64"/>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c r="CD42" s="66"/>
      <c r="CE42" s="66"/>
      <c r="CF42" s="66"/>
      <c r="CG42" s="66"/>
      <c r="CH42" s="66"/>
      <c r="CI42" s="66"/>
      <c r="CJ42" s="66"/>
      <c r="CK42" s="66"/>
      <c r="CL42" s="66"/>
      <c r="CM42" s="66"/>
      <c r="CN42" s="66"/>
      <c r="CO42" s="66"/>
      <c r="CP42" s="66"/>
      <c r="CQ42" s="66"/>
      <c r="CR42" s="66"/>
      <c r="CS42" s="66"/>
      <c r="CT42" s="66"/>
      <c r="CU42" s="66"/>
      <c r="CV42" s="66"/>
      <c r="CW42" s="66"/>
      <c r="CX42" s="66"/>
      <c r="CY42" s="66"/>
      <c r="CZ42" s="66"/>
      <c r="DA42" s="66"/>
      <c r="DB42" s="66"/>
      <c r="DC42" s="66"/>
      <c r="DD42" s="66"/>
      <c r="DE42" s="66"/>
      <c r="DF42" s="66"/>
      <c r="DG42" s="66"/>
      <c r="DH42" s="66"/>
      <c r="DI42" s="66"/>
      <c r="DJ42" s="66"/>
      <c r="DK42" s="66"/>
      <c r="DL42" s="66"/>
      <c r="DM42" s="66"/>
      <c r="DN42" s="66"/>
      <c r="DO42" s="66"/>
      <c r="DP42" s="66"/>
      <c r="DQ42" s="66"/>
      <c r="DR42" s="66"/>
      <c r="DS42" s="66"/>
      <c r="DT42" s="66"/>
      <c r="DU42" s="66"/>
      <c r="DV42" s="66"/>
      <c r="DW42" s="66"/>
      <c r="DX42" s="66"/>
      <c r="DY42" s="66"/>
      <c r="DZ42" s="66"/>
      <c r="EA42" s="66"/>
      <c r="EB42" s="66"/>
      <c r="EC42" s="66"/>
      <c r="ED42" s="66"/>
      <c r="EE42" s="66"/>
      <c r="EF42" s="66"/>
      <c r="EG42" s="66"/>
      <c r="EH42" s="66"/>
      <c r="EI42" s="66"/>
      <c r="EJ42" s="66"/>
      <c r="EK42" s="66"/>
      <c r="EL42" s="66"/>
      <c r="EM42" s="66"/>
      <c r="EN42" s="66"/>
      <c r="EO42" s="66"/>
      <c r="EP42" s="66"/>
      <c r="EQ42" s="66"/>
      <c r="ER42" s="66"/>
      <c r="ES42" s="66"/>
      <c r="ET42" s="66"/>
      <c r="EU42" s="66"/>
      <c r="EV42" s="66"/>
      <c r="EW42" s="66"/>
      <c r="EX42" s="66"/>
      <c r="EY42" s="66"/>
      <c r="EZ42" s="66"/>
      <c r="FA42" s="66"/>
      <c r="FB42" s="66"/>
      <c r="FC42" s="66"/>
      <c r="FD42" s="66"/>
      <c r="FE42" s="66"/>
      <c r="FF42" s="66"/>
      <c r="FG42" s="66"/>
      <c r="FH42" s="66"/>
      <c r="FI42" s="66"/>
      <c r="FJ42" s="66"/>
      <c r="FK42" s="66"/>
      <c r="FL42" s="66"/>
      <c r="FM42" s="66"/>
      <c r="FN42" s="66"/>
      <c r="FO42" s="66"/>
      <c r="FP42" s="66"/>
      <c r="FQ42" s="66"/>
      <c r="FR42" s="66"/>
      <c r="FS42" s="66"/>
      <c r="FT42" s="66"/>
      <c r="FU42" s="66"/>
      <c r="FV42" s="66"/>
      <c r="FW42" s="66"/>
      <c r="FX42" s="66"/>
      <c r="FY42" s="66"/>
      <c r="FZ42" s="66"/>
      <c r="GA42" s="66"/>
      <c r="GB42" s="66"/>
      <c r="GC42" s="66"/>
      <c r="GD42" s="66"/>
      <c r="GE42" s="66"/>
      <c r="GF42" s="66"/>
      <c r="GG42" s="66"/>
      <c r="GH42" s="66"/>
      <c r="GI42" s="66"/>
      <c r="GJ42" s="66"/>
      <c r="GK42" s="66"/>
      <c r="GL42" s="66"/>
      <c r="GM42" s="66"/>
      <c r="GN42" s="66"/>
      <c r="GO42" s="66"/>
      <c r="GP42" s="66"/>
      <c r="GQ42" s="66"/>
      <c r="GR42" s="66"/>
      <c r="GS42" s="66"/>
      <c r="GT42" s="66"/>
      <c r="GU42" s="66"/>
      <c r="GV42" s="66"/>
      <c r="GW42" s="66"/>
      <c r="GX42" s="66"/>
      <c r="GY42" s="66"/>
      <c r="GZ42" s="66"/>
      <c r="HA42" s="66"/>
      <c r="HB42" s="66"/>
      <c r="HC42" s="66"/>
      <c r="HD42" s="66"/>
      <c r="HE42" s="66"/>
      <c r="HF42" s="66"/>
      <c r="HG42" s="66"/>
      <c r="HH42" s="66"/>
      <c r="HI42" s="66"/>
      <c r="HJ42" s="66"/>
      <c r="HK42" s="66"/>
      <c r="HL42" s="66"/>
      <c r="HM42" s="66"/>
      <c r="HN42" s="66"/>
      <c r="HO42" s="66"/>
      <c r="HP42" s="66"/>
      <c r="HQ42" s="66"/>
      <c r="HR42" s="66"/>
      <c r="HS42" s="66"/>
      <c r="HT42" s="66"/>
      <c r="HU42" s="66"/>
      <c r="HV42" s="66"/>
      <c r="HW42" s="66"/>
      <c r="HX42" s="66"/>
      <c r="HY42" s="66"/>
      <c r="HZ42" s="66"/>
      <c r="IA42" s="66"/>
      <c r="IB42" s="66"/>
      <c r="IC42" s="66"/>
      <c r="ID42" s="66"/>
      <c r="IE42" s="66"/>
      <c r="IF42" s="66"/>
      <c r="IG42" s="66"/>
      <c r="IH42" s="66"/>
      <c r="II42" s="66"/>
      <c r="IJ42" s="66"/>
      <c r="IK42" s="66"/>
      <c r="IL42" s="66"/>
      <c r="IM42" s="66"/>
      <c r="IN42" s="66"/>
      <c r="IO42" s="66"/>
      <c r="IP42" s="66"/>
      <c r="IQ42" s="66"/>
      <c r="IR42" s="66"/>
    </row>
    <row r="43" customFormat="false" ht="22.5" hidden="false" customHeight="true" outlineLevel="0" collapsed="false">
      <c r="A43" s="66"/>
      <c r="B43" s="62" t="s">
        <v>180</v>
      </c>
      <c r="C43" s="63" t="s">
        <v>181</v>
      </c>
      <c r="D43" s="28" t="s">
        <v>38</v>
      </c>
      <c r="E43" s="64"/>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66"/>
      <c r="CG43" s="66"/>
      <c r="CH43" s="66"/>
      <c r="CI43" s="66"/>
      <c r="CJ43" s="66"/>
      <c r="CK43" s="66"/>
      <c r="CL43" s="66"/>
      <c r="CM43" s="66"/>
      <c r="CN43" s="66"/>
      <c r="CO43" s="66"/>
      <c r="CP43" s="66"/>
      <c r="CQ43" s="66"/>
      <c r="CR43" s="66"/>
      <c r="CS43" s="66"/>
      <c r="CT43" s="66"/>
      <c r="CU43" s="66"/>
      <c r="CV43" s="66"/>
      <c r="CW43" s="66"/>
      <c r="CX43" s="66"/>
      <c r="CY43" s="66"/>
      <c r="CZ43" s="66"/>
      <c r="DA43" s="66"/>
      <c r="DB43" s="66"/>
      <c r="DC43" s="66"/>
      <c r="DD43" s="66"/>
      <c r="DE43" s="66"/>
      <c r="DF43" s="66"/>
      <c r="DG43" s="66"/>
      <c r="DH43" s="66"/>
      <c r="DI43" s="66"/>
      <c r="DJ43" s="66"/>
      <c r="DK43" s="66"/>
      <c r="DL43" s="66"/>
      <c r="DM43" s="66"/>
      <c r="DN43" s="66"/>
      <c r="DO43" s="66"/>
      <c r="DP43" s="66"/>
      <c r="DQ43" s="66"/>
      <c r="DR43" s="66"/>
      <c r="DS43" s="66"/>
      <c r="DT43" s="66"/>
      <c r="DU43" s="66"/>
      <c r="DV43" s="66"/>
      <c r="DW43" s="66"/>
      <c r="DX43" s="66"/>
      <c r="DY43" s="66"/>
      <c r="DZ43" s="66"/>
      <c r="EA43" s="66"/>
      <c r="EB43" s="66"/>
      <c r="EC43" s="66"/>
      <c r="ED43" s="66"/>
      <c r="EE43" s="66"/>
      <c r="EF43" s="66"/>
      <c r="EG43" s="66"/>
      <c r="EH43" s="66"/>
      <c r="EI43" s="66"/>
      <c r="EJ43" s="66"/>
      <c r="EK43" s="66"/>
      <c r="EL43" s="66"/>
      <c r="EM43" s="66"/>
      <c r="EN43" s="66"/>
      <c r="EO43" s="66"/>
      <c r="EP43" s="66"/>
      <c r="EQ43" s="66"/>
      <c r="ER43" s="66"/>
      <c r="ES43" s="66"/>
      <c r="ET43" s="66"/>
      <c r="EU43" s="66"/>
      <c r="EV43" s="66"/>
      <c r="EW43" s="66"/>
      <c r="EX43" s="66"/>
      <c r="EY43" s="66"/>
      <c r="EZ43" s="66"/>
      <c r="FA43" s="66"/>
      <c r="FB43" s="66"/>
      <c r="FC43" s="66"/>
      <c r="FD43" s="66"/>
      <c r="FE43" s="66"/>
      <c r="FF43" s="66"/>
      <c r="FG43" s="66"/>
      <c r="FH43" s="66"/>
      <c r="FI43" s="66"/>
      <c r="FJ43" s="66"/>
      <c r="FK43" s="66"/>
      <c r="FL43" s="66"/>
      <c r="FM43" s="66"/>
      <c r="FN43" s="66"/>
      <c r="FO43" s="66"/>
      <c r="FP43" s="66"/>
      <c r="FQ43" s="66"/>
      <c r="FR43" s="66"/>
      <c r="FS43" s="66"/>
      <c r="FT43" s="66"/>
      <c r="FU43" s="66"/>
      <c r="FV43" s="66"/>
      <c r="FW43" s="66"/>
      <c r="FX43" s="66"/>
      <c r="FY43" s="66"/>
      <c r="FZ43" s="66"/>
      <c r="GA43" s="66"/>
      <c r="GB43" s="66"/>
      <c r="GC43" s="66"/>
      <c r="GD43" s="66"/>
      <c r="GE43" s="66"/>
      <c r="GF43" s="66"/>
      <c r="GG43" s="66"/>
      <c r="GH43" s="66"/>
      <c r="GI43" s="66"/>
      <c r="GJ43" s="66"/>
      <c r="GK43" s="66"/>
      <c r="GL43" s="66"/>
      <c r="GM43" s="66"/>
      <c r="GN43" s="66"/>
      <c r="GO43" s="66"/>
      <c r="GP43" s="66"/>
      <c r="GQ43" s="66"/>
      <c r="GR43" s="66"/>
      <c r="GS43" s="66"/>
      <c r="GT43" s="66"/>
      <c r="GU43" s="66"/>
      <c r="GV43" s="66"/>
      <c r="GW43" s="66"/>
      <c r="GX43" s="66"/>
      <c r="GY43" s="66"/>
      <c r="GZ43" s="66"/>
      <c r="HA43" s="66"/>
      <c r="HB43" s="66"/>
      <c r="HC43" s="66"/>
      <c r="HD43" s="66"/>
      <c r="HE43" s="66"/>
      <c r="HF43" s="66"/>
      <c r="HG43" s="66"/>
      <c r="HH43" s="66"/>
      <c r="HI43" s="66"/>
      <c r="HJ43" s="66"/>
      <c r="HK43" s="66"/>
      <c r="HL43" s="66"/>
      <c r="HM43" s="66"/>
      <c r="HN43" s="66"/>
      <c r="HO43" s="66"/>
      <c r="HP43" s="66"/>
      <c r="HQ43" s="66"/>
      <c r="HR43" s="66"/>
      <c r="HS43" s="66"/>
      <c r="HT43" s="66"/>
      <c r="HU43" s="66"/>
      <c r="HV43" s="66"/>
      <c r="HW43" s="66"/>
      <c r="HX43" s="66"/>
      <c r="HY43" s="66"/>
      <c r="HZ43" s="66"/>
      <c r="IA43" s="66"/>
      <c r="IB43" s="66"/>
      <c r="IC43" s="66"/>
      <c r="ID43" s="66"/>
      <c r="IE43" s="66"/>
      <c r="IF43" s="66"/>
      <c r="IG43" s="66"/>
      <c r="IH43" s="66"/>
      <c r="II43" s="66"/>
      <c r="IJ43" s="66"/>
      <c r="IK43" s="66"/>
      <c r="IL43" s="66"/>
      <c r="IM43" s="66"/>
      <c r="IN43" s="66"/>
      <c r="IO43" s="66"/>
      <c r="IP43" s="66"/>
      <c r="IQ43" s="66"/>
      <c r="IR43" s="66"/>
    </row>
    <row r="44" customFormat="false" ht="22.5" hidden="false" customHeight="true" outlineLevel="0" collapsed="false">
      <c r="A44" s="66"/>
      <c r="B44" s="62" t="s">
        <v>182</v>
      </c>
      <c r="C44" s="63" t="s">
        <v>183</v>
      </c>
      <c r="D44" s="28" t="s">
        <v>27</v>
      </c>
      <c r="E44" s="64"/>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6"/>
      <c r="BX44" s="66"/>
      <c r="BY44" s="66"/>
      <c r="BZ44" s="66"/>
      <c r="CA44" s="66"/>
      <c r="CB44" s="66"/>
      <c r="CC44" s="66"/>
      <c r="CD44" s="66"/>
      <c r="CE44" s="66"/>
      <c r="CF44" s="66"/>
      <c r="CG44" s="66"/>
      <c r="CH44" s="66"/>
      <c r="CI44" s="66"/>
      <c r="CJ44" s="66"/>
      <c r="CK44" s="66"/>
      <c r="CL44" s="66"/>
      <c r="CM44" s="66"/>
      <c r="CN44" s="66"/>
      <c r="CO44" s="66"/>
      <c r="CP44" s="66"/>
      <c r="CQ44" s="66"/>
      <c r="CR44" s="66"/>
      <c r="CS44" s="66"/>
      <c r="CT44" s="66"/>
      <c r="CU44" s="66"/>
      <c r="CV44" s="66"/>
      <c r="CW44" s="66"/>
      <c r="CX44" s="66"/>
      <c r="CY44" s="66"/>
      <c r="CZ44" s="66"/>
      <c r="DA44" s="66"/>
      <c r="DB44" s="66"/>
      <c r="DC44" s="66"/>
      <c r="DD44" s="66"/>
      <c r="DE44" s="66"/>
      <c r="DF44" s="66"/>
      <c r="DG44" s="66"/>
      <c r="DH44" s="66"/>
      <c r="DI44" s="66"/>
      <c r="DJ44" s="66"/>
      <c r="DK44" s="66"/>
      <c r="DL44" s="66"/>
      <c r="DM44" s="66"/>
      <c r="DN44" s="66"/>
      <c r="DO44" s="66"/>
      <c r="DP44" s="66"/>
      <c r="DQ44" s="66"/>
      <c r="DR44" s="66"/>
      <c r="DS44" s="66"/>
      <c r="DT44" s="66"/>
      <c r="DU44" s="66"/>
      <c r="DV44" s="66"/>
      <c r="DW44" s="66"/>
      <c r="DX44" s="66"/>
      <c r="DY44" s="66"/>
      <c r="DZ44" s="66"/>
      <c r="EA44" s="66"/>
      <c r="EB44" s="66"/>
      <c r="EC44" s="66"/>
      <c r="ED44" s="66"/>
      <c r="EE44" s="66"/>
      <c r="EF44" s="66"/>
      <c r="EG44" s="66"/>
      <c r="EH44" s="66"/>
      <c r="EI44" s="66"/>
      <c r="EJ44" s="66"/>
      <c r="EK44" s="66"/>
      <c r="EL44" s="66"/>
      <c r="EM44" s="66"/>
      <c r="EN44" s="66"/>
      <c r="EO44" s="66"/>
      <c r="EP44" s="66"/>
      <c r="EQ44" s="66"/>
      <c r="ER44" s="66"/>
      <c r="ES44" s="66"/>
      <c r="ET44" s="66"/>
      <c r="EU44" s="66"/>
      <c r="EV44" s="66"/>
      <c r="EW44" s="66"/>
      <c r="EX44" s="66"/>
      <c r="EY44" s="66"/>
      <c r="EZ44" s="66"/>
      <c r="FA44" s="66"/>
      <c r="FB44" s="66"/>
      <c r="FC44" s="66"/>
      <c r="FD44" s="66"/>
      <c r="FE44" s="66"/>
      <c r="FF44" s="66"/>
      <c r="FG44" s="66"/>
      <c r="FH44" s="66"/>
      <c r="FI44" s="66"/>
      <c r="FJ44" s="66"/>
      <c r="FK44" s="66"/>
      <c r="FL44" s="66"/>
      <c r="FM44" s="66"/>
      <c r="FN44" s="66"/>
      <c r="FO44" s="66"/>
      <c r="FP44" s="66"/>
      <c r="FQ44" s="66"/>
      <c r="FR44" s="66"/>
      <c r="FS44" s="66"/>
      <c r="FT44" s="66"/>
      <c r="FU44" s="66"/>
      <c r="FV44" s="66"/>
      <c r="FW44" s="66"/>
      <c r="FX44" s="66"/>
      <c r="FY44" s="66"/>
      <c r="FZ44" s="66"/>
      <c r="GA44" s="66"/>
      <c r="GB44" s="66"/>
      <c r="GC44" s="66"/>
      <c r="GD44" s="66"/>
      <c r="GE44" s="66"/>
      <c r="GF44" s="66"/>
      <c r="GG44" s="66"/>
      <c r="GH44" s="66"/>
      <c r="GI44" s="66"/>
      <c r="GJ44" s="66"/>
      <c r="GK44" s="66"/>
      <c r="GL44" s="66"/>
      <c r="GM44" s="66"/>
      <c r="GN44" s="66"/>
      <c r="GO44" s="66"/>
      <c r="GP44" s="66"/>
      <c r="GQ44" s="66"/>
      <c r="GR44" s="66"/>
      <c r="GS44" s="66"/>
      <c r="GT44" s="66"/>
      <c r="GU44" s="66"/>
      <c r="GV44" s="66"/>
      <c r="GW44" s="66"/>
      <c r="GX44" s="66"/>
      <c r="GY44" s="66"/>
      <c r="GZ44" s="66"/>
      <c r="HA44" s="66"/>
      <c r="HB44" s="66"/>
      <c r="HC44" s="66"/>
      <c r="HD44" s="66"/>
      <c r="HE44" s="66"/>
      <c r="HF44" s="66"/>
      <c r="HG44" s="66"/>
      <c r="HH44" s="66"/>
      <c r="HI44" s="66"/>
      <c r="HJ44" s="66"/>
      <c r="HK44" s="66"/>
      <c r="HL44" s="66"/>
      <c r="HM44" s="66"/>
      <c r="HN44" s="66"/>
      <c r="HO44" s="66"/>
      <c r="HP44" s="66"/>
      <c r="HQ44" s="66"/>
      <c r="HR44" s="66"/>
      <c r="HS44" s="66"/>
      <c r="HT44" s="66"/>
      <c r="HU44" s="66"/>
      <c r="HV44" s="66"/>
      <c r="HW44" s="66"/>
      <c r="HX44" s="66"/>
      <c r="HY44" s="66"/>
      <c r="HZ44" s="66"/>
      <c r="IA44" s="66"/>
      <c r="IB44" s="66"/>
      <c r="IC44" s="66"/>
      <c r="ID44" s="66"/>
      <c r="IE44" s="66"/>
      <c r="IF44" s="66"/>
      <c r="IG44" s="66"/>
      <c r="IH44" s="66"/>
      <c r="II44" s="66"/>
      <c r="IJ44" s="66"/>
      <c r="IK44" s="66"/>
      <c r="IL44" s="66"/>
      <c r="IM44" s="66"/>
      <c r="IN44" s="66"/>
      <c r="IO44" s="66"/>
      <c r="IP44" s="66"/>
      <c r="IQ44" s="66"/>
      <c r="IR44" s="66"/>
    </row>
    <row r="45" customFormat="false" ht="22.5" hidden="false" customHeight="true" outlineLevel="0" collapsed="false">
      <c r="A45" s="66"/>
      <c r="B45" s="62" t="s">
        <v>184</v>
      </c>
      <c r="C45" s="63" t="s">
        <v>185</v>
      </c>
      <c r="D45" s="28" t="s">
        <v>31</v>
      </c>
      <c r="E45" s="64"/>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66"/>
      <c r="CO45" s="66"/>
      <c r="CP45" s="66"/>
      <c r="CQ45" s="66"/>
      <c r="CR45" s="66"/>
      <c r="CS45" s="66"/>
      <c r="CT45" s="66"/>
      <c r="CU45" s="66"/>
      <c r="CV45" s="66"/>
      <c r="CW45" s="66"/>
      <c r="CX45" s="66"/>
      <c r="CY45" s="66"/>
      <c r="CZ45" s="66"/>
      <c r="DA45" s="66"/>
      <c r="DB45" s="66"/>
      <c r="DC45" s="66"/>
      <c r="DD45" s="66"/>
      <c r="DE45" s="66"/>
      <c r="DF45" s="66"/>
      <c r="DG45" s="66"/>
      <c r="DH45" s="66"/>
      <c r="DI45" s="66"/>
      <c r="DJ45" s="66"/>
      <c r="DK45" s="66"/>
      <c r="DL45" s="66"/>
      <c r="DM45" s="66"/>
      <c r="DN45" s="66"/>
      <c r="DO45" s="66"/>
      <c r="DP45" s="66"/>
      <c r="DQ45" s="66"/>
      <c r="DR45" s="66"/>
      <c r="DS45" s="66"/>
      <c r="DT45" s="66"/>
      <c r="DU45" s="66"/>
      <c r="DV45" s="66"/>
      <c r="DW45" s="66"/>
      <c r="DX45" s="66"/>
      <c r="DY45" s="66"/>
      <c r="DZ45" s="66"/>
      <c r="EA45" s="66"/>
      <c r="EB45" s="66"/>
      <c r="EC45" s="66"/>
      <c r="ED45" s="66"/>
      <c r="EE45" s="66"/>
      <c r="EF45" s="66"/>
      <c r="EG45" s="66"/>
      <c r="EH45" s="66"/>
      <c r="EI45" s="66"/>
      <c r="EJ45" s="66"/>
      <c r="EK45" s="66"/>
      <c r="EL45" s="66"/>
      <c r="EM45" s="66"/>
      <c r="EN45" s="66"/>
      <c r="EO45" s="66"/>
      <c r="EP45" s="66"/>
      <c r="EQ45" s="66"/>
      <c r="ER45" s="66"/>
      <c r="ES45" s="66"/>
      <c r="ET45" s="66"/>
      <c r="EU45" s="66"/>
      <c r="EV45" s="66"/>
      <c r="EW45" s="66"/>
      <c r="EX45" s="66"/>
      <c r="EY45" s="66"/>
      <c r="EZ45" s="66"/>
      <c r="FA45" s="66"/>
      <c r="FB45" s="66"/>
      <c r="FC45" s="66"/>
      <c r="FD45" s="66"/>
      <c r="FE45" s="66"/>
      <c r="FF45" s="66"/>
      <c r="FG45" s="66"/>
      <c r="FH45" s="66"/>
      <c r="FI45" s="66"/>
      <c r="FJ45" s="66"/>
      <c r="FK45" s="66"/>
      <c r="FL45" s="66"/>
      <c r="FM45" s="66"/>
      <c r="FN45" s="66"/>
      <c r="FO45" s="66"/>
      <c r="FP45" s="66"/>
      <c r="FQ45" s="66"/>
      <c r="FR45" s="66"/>
      <c r="FS45" s="66"/>
      <c r="FT45" s="66"/>
      <c r="FU45" s="66"/>
      <c r="FV45" s="66"/>
      <c r="FW45" s="66"/>
      <c r="FX45" s="66"/>
      <c r="FY45" s="66"/>
      <c r="FZ45" s="66"/>
      <c r="GA45" s="66"/>
      <c r="GB45" s="66"/>
      <c r="GC45" s="66"/>
      <c r="GD45" s="66"/>
      <c r="GE45" s="66"/>
      <c r="GF45" s="66"/>
      <c r="GG45" s="66"/>
      <c r="GH45" s="66"/>
      <c r="GI45" s="66"/>
      <c r="GJ45" s="66"/>
      <c r="GK45" s="66"/>
      <c r="GL45" s="66"/>
      <c r="GM45" s="66"/>
      <c r="GN45" s="66"/>
      <c r="GO45" s="66"/>
      <c r="GP45" s="66"/>
      <c r="GQ45" s="66"/>
      <c r="GR45" s="66"/>
      <c r="GS45" s="66"/>
      <c r="GT45" s="66"/>
      <c r="GU45" s="66"/>
      <c r="GV45" s="66"/>
      <c r="GW45" s="66"/>
      <c r="GX45" s="66"/>
      <c r="GY45" s="66"/>
      <c r="GZ45" s="66"/>
      <c r="HA45" s="66"/>
      <c r="HB45" s="66"/>
      <c r="HC45" s="66"/>
      <c r="HD45" s="66"/>
      <c r="HE45" s="66"/>
      <c r="HF45" s="66"/>
      <c r="HG45" s="66"/>
      <c r="HH45" s="66"/>
      <c r="HI45" s="66"/>
      <c r="HJ45" s="66"/>
      <c r="HK45" s="66"/>
      <c r="HL45" s="66"/>
      <c r="HM45" s="66"/>
      <c r="HN45" s="66"/>
      <c r="HO45" s="66"/>
      <c r="HP45" s="66"/>
      <c r="HQ45" s="66"/>
      <c r="HR45" s="66"/>
      <c r="HS45" s="66"/>
      <c r="HT45" s="66"/>
      <c r="HU45" s="66"/>
      <c r="HV45" s="66"/>
      <c r="HW45" s="66"/>
      <c r="HX45" s="66"/>
      <c r="HY45" s="66"/>
      <c r="HZ45" s="66"/>
      <c r="IA45" s="66"/>
      <c r="IB45" s="66"/>
      <c r="IC45" s="66"/>
      <c r="ID45" s="66"/>
      <c r="IE45" s="66"/>
      <c r="IF45" s="66"/>
      <c r="IG45" s="66"/>
      <c r="IH45" s="66"/>
      <c r="II45" s="66"/>
      <c r="IJ45" s="66"/>
      <c r="IK45" s="66"/>
      <c r="IL45" s="66"/>
      <c r="IM45" s="66"/>
      <c r="IN45" s="66"/>
      <c r="IO45" s="66"/>
      <c r="IP45" s="66"/>
      <c r="IQ45" s="66"/>
      <c r="IR45" s="66"/>
    </row>
    <row r="46" customFormat="false" ht="22.5" hidden="false" customHeight="true" outlineLevel="0" collapsed="false">
      <c r="A46" s="66"/>
      <c r="B46" s="62" t="s">
        <v>186</v>
      </c>
      <c r="C46" s="63" t="s">
        <v>187</v>
      </c>
      <c r="D46" s="28" t="s">
        <v>42</v>
      </c>
      <c r="E46" s="64"/>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66"/>
      <c r="CO46" s="66"/>
      <c r="CP46" s="66"/>
      <c r="CQ46" s="66"/>
      <c r="CR46" s="66"/>
      <c r="CS46" s="66"/>
      <c r="CT46" s="66"/>
      <c r="CU46" s="66"/>
      <c r="CV46" s="66"/>
      <c r="CW46" s="66"/>
      <c r="CX46" s="66"/>
      <c r="CY46" s="66"/>
      <c r="CZ46" s="66"/>
      <c r="DA46" s="66"/>
      <c r="DB46" s="66"/>
      <c r="DC46" s="66"/>
      <c r="DD46" s="66"/>
      <c r="DE46" s="66"/>
      <c r="DF46" s="66"/>
      <c r="DG46" s="66"/>
      <c r="DH46" s="66"/>
      <c r="DI46" s="66"/>
      <c r="DJ46" s="66"/>
      <c r="DK46" s="66"/>
      <c r="DL46" s="66"/>
      <c r="DM46" s="66"/>
      <c r="DN46" s="66"/>
      <c r="DO46" s="66"/>
      <c r="DP46" s="66"/>
      <c r="DQ46" s="66"/>
      <c r="DR46" s="66"/>
      <c r="DS46" s="66"/>
      <c r="DT46" s="66"/>
      <c r="DU46" s="66"/>
      <c r="DV46" s="66"/>
      <c r="DW46" s="66"/>
      <c r="DX46" s="66"/>
      <c r="DY46" s="66"/>
      <c r="DZ46" s="66"/>
      <c r="EA46" s="66"/>
      <c r="EB46" s="66"/>
      <c r="EC46" s="66"/>
      <c r="ED46" s="66"/>
      <c r="EE46" s="66"/>
      <c r="EF46" s="66"/>
      <c r="EG46" s="66"/>
      <c r="EH46" s="66"/>
      <c r="EI46" s="66"/>
      <c r="EJ46" s="66"/>
      <c r="EK46" s="66"/>
      <c r="EL46" s="66"/>
      <c r="EM46" s="66"/>
      <c r="EN46" s="66"/>
      <c r="EO46" s="66"/>
      <c r="EP46" s="66"/>
      <c r="EQ46" s="66"/>
      <c r="ER46" s="66"/>
      <c r="ES46" s="66"/>
      <c r="ET46" s="66"/>
      <c r="EU46" s="66"/>
      <c r="EV46" s="66"/>
      <c r="EW46" s="66"/>
      <c r="EX46" s="66"/>
      <c r="EY46" s="66"/>
      <c r="EZ46" s="66"/>
      <c r="FA46" s="66"/>
      <c r="FB46" s="66"/>
      <c r="FC46" s="66"/>
      <c r="FD46" s="66"/>
      <c r="FE46" s="66"/>
      <c r="FF46" s="66"/>
      <c r="FG46" s="66"/>
      <c r="FH46" s="66"/>
      <c r="FI46" s="66"/>
      <c r="FJ46" s="66"/>
      <c r="FK46" s="66"/>
      <c r="FL46" s="66"/>
      <c r="FM46" s="66"/>
      <c r="FN46" s="66"/>
      <c r="FO46" s="66"/>
      <c r="FP46" s="66"/>
      <c r="FQ46" s="66"/>
      <c r="FR46" s="66"/>
      <c r="FS46" s="66"/>
      <c r="FT46" s="66"/>
      <c r="FU46" s="66"/>
      <c r="FV46" s="66"/>
      <c r="FW46" s="66"/>
      <c r="FX46" s="66"/>
      <c r="FY46" s="66"/>
      <c r="FZ46" s="66"/>
      <c r="GA46" s="66"/>
      <c r="GB46" s="66"/>
      <c r="GC46" s="66"/>
      <c r="GD46" s="66"/>
      <c r="GE46" s="66"/>
      <c r="GF46" s="66"/>
      <c r="GG46" s="66"/>
      <c r="GH46" s="66"/>
      <c r="GI46" s="66"/>
      <c r="GJ46" s="66"/>
      <c r="GK46" s="66"/>
      <c r="GL46" s="66"/>
      <c r="GM46" s="66"/>
      <c r="GN46" s="66"/>
      <c r="GO46" s="66"/>
      <c r="GP46" s="66"/>
      <c r="GQ46" s="66"/>
      <c r="GR46" s="66"/>
      <c r="GS46" s="66"/>
      <c r="GT46" s="66"/>
      <c r="GU46" s="66"/>
      <c r="GV46" s="66"/>
      <c r="GW46" s="66"/>
      <c r="GX46" s="66"/>
      <c r="GY46" s="66"/>
      <c r="GZ46" s="66"/>
      <c r="HA46" s="66"/>
      <c r="HB46" s="66"/>
      <c r="HC46" s="66"/>
      <c r="HD46" s="66"/>
      <c r="HE46" s="66"/>
      <c r="HF46" s="66"/>
      <c r="HG46" s="66"/>
      <c r="HH46" s="66"/>
      <c r="HI46" s="66"/>
      <c r="HJ46" s="66"/>
      <c r="HK46" s="66"/>
      <c r="HL46" s="66"/>
      <c r="HM46" s="66"/>
      <c r="HN46" s="66"/>
      <c r="HO46" s="66"/>
      <c r="HP46" s="66"/>
      <c r="HQ46" s="66"/>
      <c r="HR46" s="66"/>
      <c r="HS46" s="66"/>
      <c r="HT46" s="66"/>
      <c r="HU46" s="66"/>
      <c r="HV46" s="66"/>
      <c r="HW46" s="66"/>
      <c r="HX46" s="66"/>
      <c r="HY46" s="66"/>
      <c r="HZ46" s="66"/>
      <c r="IA46" s="66"/>
      <c r="IB46" s="66"/>
      <c r="IC46" s="66"/>
      <c r="ID46" s="66"/>
      <c r="IE46" s="66"/>
      <c r="IF46" s="66"/>
      <c r="IG46" s="66"/>
      <c r="IH46" s="66"/>
      <c r="II46" s="66"/>
      <c r="IJ46" s="66"/>
      <c r="IK46" s="66"/>
      <c r="IL46" s="66"/>
      <c r="IM46" s="66"/>
      <c r="IN46" s="66"/>
      <c r="IO46" s="66"/>
      <c r="IP46" s="66"/>
      <c r="IQ46" s="66"/>
      <c r="IR46" s="66"/>
    </row>
    <row r="47" customFormat="false" ht="22.5" hidden="false" customHeight="true" outlineLevel="0" collapsed="false">
      <c r="A47" s="66"/>
      <c r="B47" s="62" t="s">
        <v>188</v>
      </c>
      <c r="C47" s="63" t="s">
        <v>189</v>
      </c>
      <c r="D47" s="28" t="s">
        <v>190</v>
      </c>
      <c r="E47" s="64"/>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c r="CD47" s="66"/>
      <c r="CE47" s="66"/>
      <c r="CF47" s="66"/>
      <c r="CG47" s="66"/>
      <c r="CH47" s="66"/>
      <c r="CI47" s="66"/>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c r="DM47" s="66"/>
      <c r="DN47" s="66"/>
      <c r="DO47" s="66"/>
      <c r="DP47" s="66"/>
      <c r="DQ47" s="66"/>
      <c r="DR47" s="66"/>
      <c r="DS47" s="66"/>
      <c r="DT47" s="66"/>
      <c r="DU47" s="66"/>
      <c r="DV47" s="66"/>
      <c r="DW47" s="66"/>
      <c r="DX47" s="66"/>
      <c r="DY47" s="66"/>
      <c r="DZ47" s="66"/>
      <c r="EA47" s="66"/>
      <c r="EB47" s="66"/>
      <c r="EC47" s="66"/>
      <c r="ED47" s="66"/>
      <c r="EE47" s="66"/>
      <c r="EF47" s="66"/>
      <c r="EG47" s="66"/>
      <c r="EH47" s="66"/>
      <c r="EI47" s="66"/>
      <c r="EJ47" s="66"/>
      <c r="EK47" s="66"/>
      <c r="EL47" s="66"/>
      <c r="EM47" s="66"/>
      <c r="EN47" s="66"/>
      <c r="EO47" s="66"/>
      <c r="EP47" s="66"/>
      <c r="EQ47" s="66"/>
      <c r="ER47" s="66"/>
      <c r="ES47" s="66"/>
      <c r="ET47" s="66"/>
      <c r="EU47" s="66"/>
      <c r="EV47" s="66"/>
      <c r="EW47" s="66"/>
      <c r="EX47" s="66"/>
      <c r="EY47" s="66"/>
      <c r="EZ47" s="66"/>
      <c r="FA47" s="66"/>
      <c r="FB47" s="66"/>
      <c r="FC47" s="66"/>
      <c r="FD47" s="66"/>
      <c r="FE47" s="66"/>
      <c r="FF47" s="66"/>
      <c r="FG47" s="66"/>
      <c r="FH47" s="66"/>
      <c r="FI47" s="66"/>
      <c r="FJ47" s="66"/>
      <c r="FK47" s="66"/>
      <c r="FL47" s="66"/>
      <c r="FM47" s="66"/>
      <c r="FN47" s="66"/>
      <c r="FO47" s="66"/>
      <c r="FP47" s="66"/>
      <c r="FQ47" s="66"/>
      <c r="FR47" s="66"/>
      <c r="FS47" s="66"/>
      <c r="FT47" s="66"/>
      <c r="FU47" s="66"/>
      <c r="FV47" s="66"/>
      <c r="FW47" s="66"/>
      <c r="FX47" s="66"/>
      <c r="FY47" s="66"/>
      <c r="FZ47" s="66"/>
      <c r="GA47" s="66"/>
      <c r="GB47" s="66"/>
      <c r="GC47" s="66"/>
      <c r="GD47" s="66"/>
      <c r="GE47" s="66"/>
      <c r="GF47" s="66"/>
      <c r="GG47" s="66"/>
      <c r="GH47" s="66"/>
      <c r="GI47" s="66"/>
      <c r="GJ47" s="66"/>
      <c r="GK47" s="66"/>
      <c r="GL47" s="66"/>
      <c r="GM47" s="66"/>
      <c r="GN47" s="66"/>
      <c r="GO47" s="66"/>
      <c r="GP47" s="66"/>
      <c r="GQ47" s="66"/>
      <c r="GR47" s="66"/>
      <c r="GS47" s="66"/>
      <c r="GT47" s="66"/>
      <c r="GU47" s="66"/>
      <c r="GV47" s="66"/>
      <c r="GW47" s="66"/>
      <c r="GX47" s="66"/>
      <c r="GY47" s="66"/>
      <c r="GZ47" s="66"/>
      <c r="HA47" s="66"/>
      <c r="HB47" s="66"/>
      <c r="HC47" s="66"/>
      <c r="HD47" s="66"/>
      <c r="HE47" s="66"/>
      <c r="HF47" s="66"/>
      <c r="HG47" s="66"/>
      <c r="HH47" s="66"/>
      <c r="HI47" s="66"/>
      <c r="HJ47" s="66"/>
      <c r="HK47" s="66"/>
      <c r="HL47" s="66"/>
      <c r="HM47" s="66"/>
      <c r="HN47" s="66"/>
      <c r="HO47" s="66"/>
      <c r="HP47" s="66"/>
      <c r="HQ47" s="66"/>
      <c r="HR47" s="66"/>
      <c r="HS47" s="66"/>
      <c r="HT47" s="66"/>
      <c r="HU47" s="66"/>
      <c r="HV47" s="66"/>
      <c r="HW47" s="66"/>
      <c r="HX47" s="66"/>
      <c r="HY47" s="66"/>
      <c r="HZ47" s="66"/>
      <c r="IA47" s="66"/>
      <c r="IB47" s="66"/>
      <c r="IC47" s="66"/>
      <c r="ID47" s="66"/>
      <c r="IE47" s="66"/>
      <c r="IF47" s="66"/>
      <c r="IG47" s="66"/>
      <c r="IH47" s="66"/>
      <c r="II47" s="66"/>
      <c r="IJ47" s="66"/>
      <c r="IK47" s="66"/>
      <c r="IL47" s="66"/>
      <c r="IM47" s="66"/>
      <c r="IN47" s="66"/>
      <c r="IO47" s="66"/>
      <c r="IP47" s="66"/>
      <c r="IQ47" s="66"/>
      <c r="IR47" s="66"/>
    </row>
    <row r="48" customFormat="false" ht="22.5" hidden="false" customHeight="true" outlineLevel="0" collapsed="false">
      <c r="A48" s="66"/>
      <c r="B48" s="62" t="s">
        <v>191</v>
      </c>
      <c r="C48" s="63" t="s">
        <v>192</v>
      </c>
      <c r="D48" s="28" t="s">
        <v>193</v>
      </c>
      <c r="E48" s="64"/>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66"/>
      <c r="CO48" s="66"/>
      <c r="CP48" s="66"/>
      <c r="CQ48" s="66"/>
      <c r="CR48" s="66"/>
      <c r="CS48" s="66"/>
      <c r="CT48" s="66"/>
      <c r="CU48" s="66"/>
      <c r="CV48" s="66"/>
      <c r="CW48" s="66"/>
      <c r="CX48" s="66"/>
      <c r="CY48" s="66"/>
      <c r="CZ48" s="66"/>
      <c r="DA48" s="66"/>
      <c r="DB48" s="66"/>
      <c r="DC48" s="66"/>
      <c r="DD48" s="66"/>
      <c r="DE48" s="66"/>
      <c r="DF48" s="66"/>
      <c r="DG48" s="66"/>
      <c r="DH48" s="66"/>
      <c r="DI48" s="66"/>
      <c r="DJ48" s="66"/>
      <c r="DK48" s="66"/>
      <c r="DL48" s="66"/>
      <c r="DM48" s="66"/>
      <c r="DN48" s="66"/>
      <c r="DO48" s="66"/>
      <c r="DP48" s="66"/>
      <c r="DQ48" s="66"/>
      <c r="DR48" s="66"/>
      <c r="DS48" s="66"/>
      <c r="DT48" s="66"/>
      <c r="DU48" s="66"/>
      <c r="DV48" s="66"/>
      <c r="DW48" s="66"/>
      <c r="DX48" s="66"/>
      <c r="DY48" s="66"/>
      <c r="DZ48" s="66"/>
      <c r="EA48" s="66"/>
      <c r="EB48" s="66"/>
      <c r="EC48" s="66"/>
      <c r="ED48" s="66"/>
      <c r="EE48" s="66"/>
      <c r="EF48" s="66"/>
      <c r="EG48" s="66"/>
      <c r="EH48" s="66"/>
      <c r="EI48" s="66"/>
      <c r="EJ48" s="66"/>
      <c r="EK48" s="66"/>
      <c r="EL48" s="66"/>
      <c r="EM48" s="66"/>
      <c r="EN48" s="66"/>
      <c r="EO48" s="66"/>
      <c r="EP48" s="66"/>
      <c r="EQ48" s="66"/>
      <c r="ER48" s="66"/>
      <c r="ES48" s="66"/>
      <c r="ET48" s="66"/>
      <c r="EU48" s="66"/>
      <c r="EV48" s="66"/>
      <c r="EW48" s="66"/>
      <c r="EX48" s="66"/>
      <c r="EY48" s="66"/>
      <c r="EZ48" s="66"/>
      <c r="FA48" s="66"/>
      <c r="FB48" s="66"/>
      <c r="FC48" s="66"/>
      <c r="FD48" s="66"/>
      <c r="FE48" s="66"/>
      <c r="FF48" s="66"/>
      <c r="FG48" s="66"/>
      <c r="FH48" s="66"/>
      <c r="FI48" s="66"/>
      <c r="FJ48" s="66"/>
      <c r="FK48" s="66"/>
      <c r="FL48" s="66"/>
      <c r="FM48" s="66"/>
      <c r="FN48" s="66"/>
      <c r="FO48" s="66"/>
      <c r="FP48" s="66"/>
      <c r="FQ48" s="66"/>
      <c r="FR48" s="66"/>
      <c r="FS48" s="66"/>
      <c r="FT48" s="66"/>
      <c r="FU48" s="66"/>
      <c r="FV48" s="66"/>
      <c r="FW48" s="66"/>
      <c r="FX48" s="66"/>
      <c r="FY48" s="66"/>
      <c r="FZ48" s="66"/>
      <c r="GA48" s="66"/>
      <c r="GB48" s="66"/>
      <c r="GC48" s="66"/>
      <c r="GD48" s="66"/>
      <c r="GE48" s="66"/>
      <c r="GF48" s="66"/>
      <c r="GG48" s="66"/>
      <c r="GH48" s="66"/>
      <c r="GI48" s="66"/>
      <c r="GJ48" s="66"/>
      <c r="GK48" s="66"/>
      <c r="GL48" s="66"/>
      <c r="GM48" s="66"/>
      <c r="GN48" s="66"/>
      <c r="GO48" s="66"/>
      <c r="GP48" s="66"/>
      <c r="GQ48" s="66"/>
      <c r="GR48" s="66"/>
      <c r="GS48" s="66"/>
      <c r="GT48" s="66"/>
      <c r="GU48" s="66"/>
      <c r="GV48" s="66"/>
      <c r="GW48" s="66"/>
      <c r="GX48" s="66"/>
      <c r="GY48" s="66"/>
      <c r="GZ48" s="66"/>
      <c r="HA48" s="66"/>
      <c r="HB48" s="66"/>
      <c r="HC48" s="66"/>
      <c r="HD48" s="66"/>
      <c r="HE48" s="66"/>
      <c r="HF48" s="66"/>
      <c r="HG48" s="66"/>
      <c r="HH48" s="66"/>
      <c r="HI48" s="66"/>
      <c r="HJ48" s="66"/>
      <c r="HK48" s="66"/>
      <c r="HL48" s="66"/>
      <c r="HM48" s="66"/>
      <c r="HN48" s="66"/>
      <c r="HO48" s="66"/>
      <c r="HP48" s="66"/>
      <c r="HQ48" s="66"/>
      <c r="HR48" s="66"/>
      <c r="HS48" s="66"/>
      <c r="HT48" s="66"/>
      <c r="HU48" s="66"/>
      <c r="HV48" s="66"/>
      <c r="HW48" s="66"/>
      <c r="HX48" s="66"/>
      <c r="HY48" s="66"/>
      <c r="HZ48" s="66"/>
      <c r="IA48" s="66"/>
      <c r="IB48" s="66"/>
      <c r="IC48" s="66"/>
      <c r="ID48" s="66"/>
      <c r="IE48" s="66"/>
      <c r="IF48" s="66"/>
      <c r="IG48" s="66"/>
      <c r="IH48" s="66"/>
      <c r="II48" s="66"/>
      <c r="IJ48" s="66"/>
      <c r="IK48" s="66"/>
      <c r="IL48" s="66"/>
      <c r="IM48" s="66"/>
      <c r="IN48" s="66"/>
      <c r="IO48" s="66"/>
      <c r="IP48" s="66"/>
      <c r="IQ48" s="66"/>
      <c r="IR48" s="66"/>
    </row>
    <row r="49" customFormat="false" ht="22.5" hidden="false" customHeight="true" outlineLevel="0" collapsed="false">
      <c r="A49" s="66"/>
      <c r="B49" s="62" t="s">
        <v>194</v>
      </c>
      <c r="C49" s="63" t="s">
        <v>195</v>
      </c>
      <c r="D49" s="28" t="s">
        <v>47</v>
      </c>
      <c r="E49" s="64"/>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66"/>
      <c r="CO49" s="66"/>
      <c r="CP49" s="66"/>
      <c r="CQ49" s="66"/>
      <c r="CR49" s="66"/>
      <c r="CS49" s="66"/>
      <c r="CT49" s="66"/>
      <c r="CU49" s="66"/>
      <c r="CV49" s="66"/>
      <c r="CW49" s="66"/>
      <c r="CX49" s="66"/>
      <c r="CY49" s="66"/>
      <c r="CZ49" s="66"/>
      <c r="DA49" s="66"/>
      <c r="DB49" s="66"/>
      <c r="DC49" s="66"/>
      <c r="DD49" s="66"/>
      <c r="DE49" s="66"/>
      <c r="DF49" s="66"/>
      <c r="DG49" s="66"/>
      <c r="DH49" s="66"/>
      <c r="DI49" s="66"/>
      <c r="DJ49" s="66"/>
      <c r="DK49" s="66"/>
      <c r="DL49" s="66"/>
      <c r="DM49" s="66"/>
      <c r="DN49" s="66"/>
      <c r="DO49" s="66"/>
      <c r="DP49" s="66"/>
      <c r="DQ49" s="66"/>
      <c r="DR49" s="66"/>
      <c r="DS49" s="66"/>
      <c r="DT49" s="66"/>
      <c r="DU49" s="66"/>
      <c r="DV49" s="66"/>
      <c r="DW49" s="66"/>
      <c r="DX49" s="66"/>
      <c r="DY49" s="66"/>
      <c r="DZ49" s="66"/>
      <c r="EA49" s="66"/>
      <c r="EB49" s="66"/>
      <c r="EC49" s="66"/>
      <c r="ED49" s="66"/>
      <c r="EE49" s="66"/>
      <c r="EF49" s="66"/>
      <c r="EG49" s="66"/>
      <c r="EH49" s="66"/>
      <c r="EI49" s="66"/>
      <c r="EJ49" s="66"/>
      <c r="EK49" s="66"/>
      <c r="EL49" s="66"/>
      <c r="EM49" s="66"/>
      <c r="EN49" s="66"/>
      <c r="EO49" s="66"/>
      <c r="EP49" s="66"/>
      <c r="EQ49" s="66"/>
      <c r="ER49" s="66"/>
      <c r="ES49" s="66"/>
      <c r="ET49" s="66"/>
      <c r="EU49" s="66"/>
      <c r="EV49" s="66"/>
      <c r="EW49" s="66"/>
      <c r="EX49" s="66"/>
      <c r="EY49" s="66"/>
      <c r="EZ49" s="66"/>
      <c r="FA49" s="66"/>
      <c r="FB49" s="66"/>
      <c r="FC49" s="66"/>
      <c r="FD49" s="66"/>
      <c r="FE49" s="66"/>
      <c r="FF49" s="66"/>
      <c r="FG49" s="66"/>
      <c r="FH49" s="66"/>
      <c r="FI49" s="66"/>
      <c r="FJ49" s="66"/>
      <c r="FK49" s="66"/>
      <c r="FL49" s="66"/>
      <c r="FM49" s="66"/>
      <c r="FN49" s="66"/>
      <c r="FO49" s="66"/>
      <c r="FP49" s="66"/>
      <c r="FQ49" s="66"/>
      <c r="FR49" s="66"/>
      <c r="FS49" s="66"/>
      <c r="FT49" s="66"/>
      <c r="FU49" s="66"/>
      <c r="FV49" s="66"/>
      <c r="FW49" s="66"/>
      <c r="FX49" s="66"/>
      <c r="FY49" s="66"/>
      <c r="FZ49" s="66"/>
      <c r="GA49" s="66"/>
      <c r="GB49" s="66"/>
      <c r="GC49" s="66"/>
      <c r="GD49" s="66"/>
      <c r="GE49" s="66"/>
      <c r="GF49" s="66"/>
      <c r="GG49" s="66"/>
      <c r="GH49" s="66"/>
      <c r="GI49" s="66"/>
      <c r="GJ49" s="66"/>
      <c r="GK49" s="66"/>
      <c r="GL49" s="66"/>
      <c r="GM49" s="66"/>
      <c r="GN49" s="66"/>
      <c r="GO49" s="66"/>
      <c r="GP49" s="66"/>
      <c r="GQ49" s="66"/>
      <c r="GR49" s="66"/>
      <c r="GS49" s="66"/>
      <c r="GT49" s="66"/>
      <c r="GU49" s="66"/>
      <c r="GV49" s="66"/>
      <c r="GW49" s="66"/>
      <c r="GX49" s="66"/>
      <c r="GY49" s="66"/>
      <c r="GZ49" s="66"/>
      <c r="HA49" s="66"/>
      <c r="HB49" s="66"/>
      <c r="HC49" s="66"/>
      <c r="HD49" s="66"/>
      <c r="HE49" s="66"/>
      <c r="HF49" s="66"/>
      <c r="HG49" s="66"/>
      <c r="HH49" s="66"/>
      <c r="HI49" s="66"/>
      <c r="HJ49" s="66"/>
      <c r="HK49" s="66"/>
      <c r="HL49" s="66"/>
      <c r="HM49" s="66"/>
      <c r="HN49" s="66"/>
      <c r="HO49" s="66"/>
      <c r="HP49" s="66"/>
      <c r="HQ49" s="66"/>
      <c r="HR49" s="66"/>
      <c r="HS49" s="66"/>
      <c r="HT49" s="66"/>
      <c r="HU49" s="66"/>
      <c r="HV49" s="66"/>
      <c r="HW49" s="66"/>
      <c r="HX49" s="66"/>
      <c r="HY49" s="66"/>
      <c r="HZ49" s="66"/>
      <c r="IA49" s="66"/>
      <c r="IB49" s="66"/>
      <c r="IC49" s="66"/>
      <c r="ID49" s="66"/>
      <c r="IE49" s="66"/>
      <c r="IF49" s="66"/>
      <c r="IG49" s="66"/>
      <c r="IH49" s="66"/>
      <c r="II49" s="66"/>
      <c r="IJ49" s="66"/>
      <c r="IK49" s="66"/>
      <c r="IL49" s="66"/>
      <c r="IM49" s="66"/>
      <c r="IN49" s="66"/>
      <c r="IO49" s="66"/>
      <c r="IP49" s="66"/>
      <c r="IQ49" s="66"/>
      <c r="IR49" s="66"/>
    </row>
    <row r="50" customFormat="false" ht="39" hidden="false" customHeight="true" outlineLevel="0" collapsed="false">
      <c r="A50" s="15"/>
      <c r="B50" s="16" t="s">
        <v>196</v>
      </c>
      <c r="C50" s="61" t="s">
        <v>197</v>
      </c>
      <c r="D50" s="61"/>
      <c r="E50" s="61"/>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s="15"/>
      <c r="ET50" s="15"/>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c r="FW50" s="15"/>
      <c r="FX50" s="15"/>
      <c r="FY50" s="15"/>
      <c r="FZ50" s="15"/>
      <c r="GA50" s="15"/>
      <c r="GB50" s="15"/>
      <c r="GC50" s="15"/>
      <c r="GD50" s="15"/>
      <c r="GE50" s="15"/>
      <c r="GF50" s="15"/>
      <c r="GG50" s="15"/>
      <c r="GH50" s="15"/>
      <c r="GI50" s="15"/>
      <c r="GJ50" s="15"/>
      <c r="GK50" s="15"/>
      <c r="GL50" s="15"/>
      <c r="GM50" s="15"/>
      <c r="GN50" s="15"/>
      <c r="GO50" s="15"/>
      <c r="GP50" s="15"/>
      <c r="GQ50" s="15"/>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15"/>
      <c r="HQ50" s="15"/>
      <c r="HR50" s="15"/>
      <c r="HS50" s="15"/>
      <c r="HT50" s="15"/>
      <c r="HU50" s="15"/>
      <c r="HV50" s="15"/>
      <c r="HW50" s="15"/>
      <c r="HX50" s="15"/>
      <c r="HY50" s="15"/>
      <c r="HZ50" s="15"/>
      <c r="IA50" s="15"/>
      <c r="IB50" s="15"/>
      <c r="IC50" s="15"/>
      <c r="ID50" s="15"/>
      <c r="IE50" s="15"/>
      <c r="IF50" s="15"/>
      <c r="IG50" s="15"/>
      <c r="IH50" s="15"/>
      <c r="II50" s="15"/>
      <c r="IJ50" s="15"/>
      <c r="IK50" s="15"/>
      <c r="IL50" s="15"/>
      <c r="IM50" s="15"/>
      <c r="IN50" s="15"/>
      <c r="IO50" s="15"/>
      <c r="IP50" s="15"/>
      <c r="IQ50" s="15"/>
      <c r="IR50" s="15"/>
    </row>
    <row r="51" customFormat="false" ht="22.5" hidden="false" customHeight="true" outlineLevel="0" collapsed="false">
      <c r="A51" s="66"/>
      <c r="B51" s="62" t="s">
        <v>198</v>
      </c>
      <c r="C51" s="63" t="s">
        <v>199</v>
      </c>
      <c r="D51" s="28" t="s">
        <v>103</v>
      </c>
      <c r="E51" s="64"/>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6"/>
      <c r="BX51" s="66"/>
      <c r="BY51" s="66"/>
      <c r="BZ51" s="66"/>
      <c r="CA51" s="66"/>
      <c r="CB51" s="66"/>
      <c r="CC51" s="66"/>
      <c r="CD51" s="66"/>
      <c r="CE51" s="66"/>
      <c r="CF51" s="66"/>
      <c r="CG51" s="66"/>
      <c r="CH51" s="66"/>
      <c r="CI51" s="66"/>
      <c r="CJ51" s="66"/>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c r="DP51" s="66"/>
      <c r="DQ51" s="66"/>
      <c r="DR51" s="66"/>
      <c r="DS51" s="66"/>
      <c r="DT51" s="66"/>
      <c r="DU51" s="66"/>
      <c r="DV51" s="66"/>
      <c r="DW51" s="66"/>
      <c r="DX51" s="66"/>
      <c r="DY51" s="66"/>
      <c r="DZ51" s="66"/>
      <c r="EA51" s="66"/>
      <c r="EB51" s="66"/>
      <c r="EC51" s="66"/>
      <c r="ED51" s="66"/>
      <c r="EE51" s="66"/>
      <c r="EF51" s="66"/>
      <c r="EG51" s="66"/>
      <c r="EH51" s="66"/>
      <c r="EI51" s="66"/>
      <c r="EJ51" s="66"/>
      <c r="EK51" s="66"/>
      <c r="EL51" s="66"/>
      <c r="EM51" s="66"/>
      <c r="EN51" s="66"/>
      <c r="EO51" s="66"/>
      <c r="EP51" s="66"/>
      <c r="EQ51" s="66"/>
      <c r="ER51" s="66"/>
      <c r="ES51" s="66"/>
      <c r="ET51" s="66"/>
      <c r="EU51" s="66"/>
      <c r="EV51" s="66"/>
      <c r="EW51" s="66"/>
      <c r="EX51" s="66"/>
      <c r="EY51" s="66"/>
      <c r="EZ51" s="66"/>
      <c r="FA51" s="66"/>
      <c r="FB51" s="66"/>
      <c r="FC51" s="66"/>
      <c r="FD51" s="66"/>
      <c r="FE51" s="66"/>
      <c r="FF51" s="66"/>
      <c r="FG51" s="66"/>
      <c r="FH51" s="66"/>
      <c r="FI51" s="66"/>
      <c r="FJ51" s="66"/>
      <c r="FK51" s="66"/>
      <c r="FL51" s="66"/>
      <c r="FM51" s="66"/>
      <c r="FN51" s="66"/>
      <c r="FO51" s="66"/>
      <c r="FP51" s="66"/>
      <c r="FQ51" s="66"/>
      <c r="FR51" s="66"/>
      <c r="FS51" s="66"/>
      <c r="FT51" s="66"/>
      <c r="FU51" s="66"/>
      <c r="FV51" s="66"/>
      <c r="FW51" s="66"/>
      <c r="FX51" s="66"/>
      <c r="FY51" s="66"/>
      <c r="FZ51" s="66"/>
      <c r="GA51" s="66"/>
      <c r="GB51" s="66"/>
      <c r="GC51" s="66"/>
      <c r="GD51" s="66"/>
      <c r="GE51" s="66"/>
      <c r="GF51" s="66"/>
      <c r="GG51" s="66"/>
      <c r="GH51" s="66"/>
      <c r="GI51" s="66"/>
      <c r="GJ51" s="66"/>
      <c r="GK51" s="66"/>
      <c r="GL51" s="66"/>
      <c r="GM51" s="66"/>
      <c r="GN51" s="66"/>
      <c r="GO51" s="66"/>
      <c r="GP51" s="66"/>
      <c r="GQ51" s="66"/>
      <c r="GR51" s="66"/>
      <c r="GS51" s="66"/>
      <c r="GT51" s="66"/>
      <c r="GU51" s="66"/>
      <c r="GV51" s="66"/>
      <c r="GW51" s="66"/>
      <c r="GX51" s="66"/>
      <c r="GY51" s="66"/>
      <c r="GZ51" s="66"/>
      <c r="HA51" s="66"/>
      <c r="HB51" s="66"/>
      <c r="HC51" s="66"/>
      <c r="HD51" s="66"/>
      <c r="HE51" s="66"/>
      <c r="HF51" s="66"/>
      <c r="HG51" s="66"/>
      <c r="HH51" s="66"/>
      <c r="HI51" s="66"/>
      <c r="HJ51" s="66"/>
      <c r="HK51" s="66"/>
      <c r="HL51" s="66"/>
      <c r="HM51" s="66"/>
      <c r="HN51" s="66"/>
      <c r="HO51" s="66"/>
      <c r="HP51" s="66"/>
      <c r="HQ51" s="66"/>
      <c r="HR51" s="66"/>
      <c r="HS51" s="66"/>
      <c r="HT51" s="66"/>
      <c r="HU51" s="66"/>
      <c r="HV51" s="66"/>
      <c r="HW51" s="66"/>
      <c r="HX51" s="66"/>
      <c r="HY51" s="66"/>
      <c r="HZ51" s="66"/>
      <c r="IA51" s="66"/>
      <c r="IB51" s="66"/>
      <c r="IC51" s="66"/>
      <c r="ID51" s="66"/>
      <c r="IE51" s="66"/>
      <c r="IF51" s="66"/>
      <c r="IG51" s="66"/>
      <c r="IH51" s="66"/>
      <c r="II51" s="66"/>
      <c r="IJ51" s="66"/>
      <c r="IK51" s="66"/>
      <c r="IL51" s="66"/>
      <c r="IM51" s="66"/>
      <c r="IN51" s="66"/>
      <c r="IO51" s="66"/>
      <c r="IP51" s="66"/>
      <c r="IQ51" s="66"/>
      <c r="IR51" s="66"/>
    </row>
    <row r="52" customFormat="false" ht="22.5" hidden="false" customHeight="true" outlineLevel="0" collapsed="false">
      <c r="A52" s="66"/>
      <c r="B52" s="62" t="s">
        <v>200</v>
      </c>
      <c r="C52" s="63" t="s">
        <v>201</v>
      </c>
      <c r="D52" s="28" t="s">
        <v>103</v>
      </c>
      <c r="E52" s="64"/>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6"/>
      <c r="BX52" s="66"/>
      <c r="BY52" s="66"/>
      <c r="BZ52" s="66"/>
      <c r="CA52" s="66"/>
      <c r="CB52" s="66"/>
      <c r="CC52" s="66"/>
      <c r="CD52" s="66"/>
      <c r="CE52" s="66"/>
      <c r="CF52" s="66"/>
      <c r="CG52" s="66"/>
      <c r="CH52" s="66"/>
      <c r="CI52" s="66"/>
      <c r="CJ52" s="66"/>
      <c r="CK52" s="66"/>
      <c r="CL52" s="66"/>
      <c r="CM52" s="66"/>
      <c r="CN52" s="66"/>
      <c r="CO52" s="66"/>
      <c r="CP52" s="66"/>
      <c r="CQ52" s="66"/>
      <c r="CR52" s="66"/>
      <c r="CS52" s="66"/>
      <c r="CT52" s="66"/>
      <c r="CU52" s="66"/>
      <c r="CV52" s="66"/>
      <c r="CW52" s="66"/>
      <c r="CX52" s="66"/>
      <c r="CY52" s="66"/>
      <c r="CZ52" s="66"/>
      <c r="DA52" s="66"/>
      <c r="DB52" s="66"/>
      <c r="DC52" s="66"/>
      <c r="DD52" s="66"/>
      <c r="DE52" s="66"/>
      <c r="DF52" s="66"/>
      <c r="DG52" s="66"/>
      <c r="DH52" s="66"/>
      <c r="DI52" s="66"/>
      <c r="DJ52" s="66"/>
      <c r="DK52" s="66"/>
      <c r="DL52" s="66"/>
      <c r="DM52" s="66"/>
      <c r="DN52" s="66"/>
      <c r="DO52" s="66"/>
      <c r="DP52" s="66"/>
      <c r="DQ52" s="66"/>
      <c r="DR52" s="66"/>
      <c r="DS52" s="66"/>
      <c r="DT52" s="66"/>
      <c r="DU52" s="66"/>
      <c r="DV52" s="66"/>
      <c r="DW52" s="66"/>
      <c r="DX52" s="66"/>
      <c r="DY52" s="66"/>
      <c r="DZ52" s="66"/>
      <c r="EA52" s="66"/>
      <c r="EB52" s="66"/>
      <c r="EC52" s="66"/>
      <c r="ED52" s="66"/>
      <c r="EE52" s="66"/>
      <c r="EF52" s="66"/>
      <c r="EG52" s="66"/>
      <c r="EH52" s="66"/>
      <c r="EI52" s="66"/>
      <c r="EJ52" s="66"/>
      <c r="EK52" s="66"/>
      <c r="EL52" s="66"/>
      <c r="EM52" s="66"/>
      <c r="EN52" s="66"/>
      <c r="EO52" s="66"/>
      <c r="EP52" s="66"/>
      <c r="EQ52" s="66"/>
      <c r="ER52" s="66"/>
      <c r="ES52" s="66"/>
      <c r="ET52" s="66"/>
      <c r="EU52" s="66"/>
      <c r="EV52" s="66"/>
      <c r="EW52" s="66"/>
      <c r="EX52" s="66"/>
      <c r="EY52" s="66"/>
      <c r="EZ52" s="66"/>
      <c r="FA52" s="66"/>
      <c r="FB52" s="66"/>
      <c r="FC52" s="66"/>
      <c r="FD52" s="66"/>
      <c r="FE52" s="66"/>
      <c r="FF52" s="66"/>
      <c r="FG52" s="66"/>
      <c r="FH52" s="66"/>
      <c r="FI52" s="66"/>
      <c r="FJ52" s="66"/>
      <c r="FK52" s="66"/>
      <c r="FL52" s="66"/>
      <c r="FM52" s="66"/>
      <c r="FN52" s="66"/>
      <c r="FO52" s="66"/>
      <c r="FP52" s="66"/>
      <c r="FQ52" s="66"/>
      <c r="FR52" s="66"/>
      <c r="FS52" s="66"/>
      <c r="FT52" s="66"/>
      <c r="FU52" s="66"/>
      <c r="FV52" s="66"/>
      <c r="FW52" s="66"/>
      <c r="FX52" s="66"/>
      <c r="FY52" s="66"/>
      <c r="FZ52" s="66"/>
      <c r="GA52" s="66"/>
      <c r="GB52" s="66"/>
      <c r="GC52" s="66"/>
      <c r="GD52" s="66"/>
      <c r="GE52" s="66"/>
      <c r="GF52" s="66"/>
      <c r="GG52" s="66"/>
      <c r="GH52" s="66"/>
      <c r="GI52" s="66"/>
      <c r="GJ52" s="66"/>
      <c r="GK52" s="66"/>
      <c r="GL52" s="66"/>
      <c r="GM52" s="66"/>
      <c r="GN52" s="66"/>
      <c r="GO52" s="66"/>
      <c r="GP52" s="66"/>
      <c r="GQ52" s="66"/>
      <c r="GR52" s="66"/>
      <c r="GS52" s="66"/>
      <c r="GT52" s="66"/>
      <c r="GU52" s="66"/>
      <c r="GV52" s="66"/>
      <c r="GW52" s="66"/>
      <c r="GX52" s="66"/>
      <c r="GY52" s="66"/>
      <c r="GZ52" s="66"/>
      <c r="HA52" s="66"/>
      <c r="HB52" s="66"/>
      <c r="HC52" s="66"/>
      <c r="HD52" s="66"/>
      <c r="HE52" s="66"/>
      <c r="HF52" s="66"/>
      <c r="HG52" s="66"/>
      <c r="HH52" s="66"/>
      <c r="HI52" s="66"/>
      <c r="HJ52" s="66"/>
      <c r="HK52" s="66"/>
      <c r="HL52" s="66"/>
      <c r="HM52" s="66"/>
      <c r="HN52" s="66"/>
      <c r="HO52" s="66"/>
      <c r="HP52" s="66"/>
      <c r="HQ52" s="66"/>
      <c r="HR52" s="66"/>
      <c r="HS52" s="66"/>
      <c r="HT52" s="66"/>
      <c r="HU52" s="66"/>
      <c r="HV52" s="66"/>
      <c r="HW52" s="66"/>
      <c r="HX52" s="66"/>
      <c r="HY52" s="66"/>
      <c r="HZ52" s="66"/>
      <c r="IA52" s="66"/>
      <c r="IB52" s="66"/>
      <c r="IC52" s="66"/>
      <c r="ID52" s="66"/>
      <c r="IE52" s="66"/>
      <c r="IF52" s="66"/>
      <c r="IG52" s="66"/>
      <c r="IH52" s="66"/>
      <c r="II52" s="66"/>
      <c r="IJ52" s="66"/>
      <c r="IK52" s="66"/>
      <c r="IL52" s="66"/>
      <c r="IM52" s="66"/>
      <c r="IN52" s="66"/>
      <c r="IO52" s="66"/>
      <c r="IP52" s="66"/>
      <c r="IQ52" s="66"/>
      <c r="IR52" s="66"/>
    </row>
    <row r="53" customFormat="false" ht="22.5" hidden="false" customHeight="true" outlineLevel="0" collapsed="false">
      <c r="A53" s="66"/>
      <c r="B53" s="62" t="s">
        <v>202</v>
      </c>
      <c r="C53" s="63" t="s">
        <v>203</v>
      </c>
      <c r="D53" s="28" t="s">
        <v>103</v>
      </c>
      <c r="E53" s="64"/>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66"/>
      <c r="CO53" s="66"/>
      <c r="CP53" s="66"/>
      <c r="CQ53" s="66"/>
      <c r="CR53" s="66"/>
      <c r="CS53" s="66"/>
      <c r="CT53" s="66"/>
      <c r="CU53" s="66"/>
      <c r="CV53" s="66"/>
      <c r="CW53" s="66"/>
      <c r="CX53" s="66"/>
      <c r="CY53" s="66"/>
      <c r="CZ53" s="66"/>
      <c r="DA53" s="66"/>
      <c r="DB53" s="66"/>
      <c r="DC53" s="66"/>
      <c r="DD53" s="66"/>
      <c r="DE53" s="66"/>
      <c r="DF53" s="66"/>
      <c r="DG53" s="66"/>
      <c r="DH53" s="66"/>
      <c r="DI53" s="66"/>
      <c r="DJ53" s="66"/>
      <c r="DK53" s="66"/>
      <c r="DL53" s="66"/>
      <c r="DM53" s="66"/>
      <c r="DN53" s="66"/>
      <c r="DO53" s="66"/>
      <c r="DP53" s="66"/>
      <c r="DQ53" s="66"/>
      <c r="DR53" s="66"/>
      <c r="DS53" s="66"/>
      <c r="DT53" s="66"/>
      <c r="DU53" s="66"/>
      <c r="DV53" s="66"/>
      <c r="DW53" s="66"/>
      <c r="DX53" s="66"/>
      <c r="DY53" s="66"/>
      <c r="DZ53" s="66"/>
      <c r="EA53" s="66"/>
      <c r="EB53" s="66"/>
      <c r="EC53" s="66"/>
      <c r="ED53" s="66"/>
      <c r="EE53" s="66"/>
      <c r="EF53" s="66"/>
      <c r="EG53" s="66"/>
      <c r="EH53" s="66"/>
      <c r="EI53" s="66"/>
      <c r="EJ53" s="66"/>
      <c r="EK53" s="66"/>
      <c r="EL53" s="66"/>
      <c r="EM53" s="66"/>
      <c r="EN53" s="66"/>
      <c r="EO53" s="66"/>
      <c r="EP53" s="66"/>
      <c r="EQ53" s="66"/>
      <c r="ER53" s="66"/>
      <c r="ES53" s="66"/>
      <c r="ET53" s="66"/>
      <c r="EU53" s="66"/>
      <c r="EV53" s="66"/>
      <c r="EW53" s="66"/>
      <c r="EX53" s="66"/>
      <c r="EY53" s="66"/>
      <c r="EZ53" s="66"/>
      <c r="FA53" s="66"/>
      <c r="FB53" s="66"/>
      <c r="FC53" s="66"/>
      <c r="FD53" s="66"/>
      <c r="FE53" s="66"/>
      <c r="FF53" s="66"/>
      <c r="FG53" s="66"/>
      <c r="FH53" s="66"/>
      <c r="FI53" s="66"/>
      <c r="FJ53" s="66"/>
      <c r="FK53" s="66"/>
      <c r="FL53" s="66"/>
      <c r="FM53" s="66"/>
      <c r="FN53" s="66"/>
      <c r="FO53" s="66"/>
      <c r="FP53" s="66"/>
      <c r="FQ53" s="66"/>
      <c r="FR53" s="66"/>
      <c r="FS53" s="66"/>
      <c r="FT53" s="66"/>
      <c r="FU53" s="66"/>
      <c r="FV53" s="66"/>
      <c r="FW53" s="66"/>
      <c r="FX53" s="66"/>
      <c r="FY53" s="66"/>
      <c r="FZ53" s="66"/>
      <c r="GA53" s="66"/>
      <c r="GB53" s="66"/>
      <c r="GC53" s="66"/>
      <c r="GD53" s="66"/>
      <c r="GE53" s="66"/>
      <c r="GF53" s="66"/>
      <c r="GG53" s="66"/>
      <c r="GH53" s="66"/>
      <c r="GI53" s="66"/>
      <c r="GJ53" s="66"/>
      <c r="GK53" s="66"/>
      <c r="GL53" s="66"/>
      <c r="GM53" s="66"/>
      <c r="GN53" s="66"/>
      <c r="GO53" s="66"/>
      <c r="GP53" s="66"/>
      <c r="GQ53" s="66"/>
      <c r="GR53" s="66"/>
      <c r="GS53" s="66"/>
      <c r="GT53" s="66"/>
      <c r="GU53" s="66"/>
      <c r="GV53" s="66"/>
      <c r="GW53" s="66"/>
      <c r="GX53" s="66"/>
      <c r="GY53" s="66"/>
      <c r="GZ53" s="66"/>
      <c r="HA53" s="66"/>
      <c r="HB53" s="66"/>
      <c r="HC53" s="66"/>
      <c r="HD53" s="66"/>
      <c r="HE53" s="66"/>
      <c r="HF53" s="66"/>
      <c r="HG53" s="66"/>
      <c r="HH53" s="66"/>
      <c r="HI53" s="66"/>
      <c r="HJ53" s="66"/>
      <c r="HK53" s="66"/>
      <c r="HL53" s="66"/>
      <c r="HM53" s="66"/>
      <c r="HN53" s="66"/>
      <c r="HO53" s="66"/>
      <c r="HP53" s="66"/>
      <c r="HQ53" s="66"/>
      <c r="HR53" s="66"/>
      <c r="HS53" s="66"/>
      <c r="HT53" s="66"/>
      <c r="HU53" s="66"/>
      <c r="HV53" s="66"/>
      <c r="HW53" s="66"/>
      <c r="HX53" s="66"/>
      <c r="HY53" s="66"/>
      <c r="HZ53" s="66"/>
      <c r="IA53" s="66"/>
      <c r="IB53" s="66"/>
      <c r="IC53" s="66"/>
      <c r="ID53" s="66"/>
      <c r="IE53" s="66"/>
      <c r="IF53" s="66"/>
      <c r="IG53" s="66"/>
      <c r="IH53" s="66"/>
      <c r="II53" s="66"/>
      <c r="IJ53" s="66"/>
      <c r="IK53" s="66"/>
      <c r="IL53" s="66"/>
      <c r="IM53" s="66"/>
      <c r="IN53" s="66"/>
      <c r="IO53" s="66"/>
      <c r="IP53" s="66"/>
      <c r="IQ53" s="66"/>
      <c r="IR53" s="66"/>
    </row>
    <row r="54" customFormat="false" ht="22.5" hidden="false" customHeight="true" outlineLevel="0" collapsed="false">
      <c r="A54" s="66"/>
      <c r="B54" s="62" t="s">
        <v>204</v>
      </c>
      <c r="C54" s="63" t="s">
        <v>205</v>
      </c>
      <c r="D54" s="28" t="s">
        <v>103</v>
      </c>
      <c r="E54" s="64"/>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6"/>
      <c r="BX54" s="66"/>
      <c r="BY54" s="66"/>
      <c r="BZ54" s="66"/>
      <c r="CA54" s="66"/>
      <c r="CB54" s="66"/>
      <c r="CC54" s="66"/>
      <c r="CD54" s="66"/>
      <c r="CE54" s="66"/>
      <c r="CF54" s="66"/>
      <c r="CG54" s="66"/>
      <c r="CH54" s="66"/>
      <c r="CI54" s="66"/>
      <c r="CJ54" s="66"/>
      <c r="CK54" s="66"/>
      <c r="CL54" s="66"/>
      <c r="CM54" s="66"/>
      <c r="CN54" s="66"/>
      <c r="CO54" s="66"/>
      <c r="CP54" s="66"/>
      <c r="CQ54" s="66"/>
      <c r="CR54" s="66"/>
      <c r="CS54" s="66"/>
      <c r="CT54" s="66"/>
      <c r="CU54" s="66"/>
      <c r="CV54" s="66"/>
      <c r="CW54" s="66"/>
      <c r="CX54" s="66"/>
      <c r="CY54" s="66"/>
      <c r="CZ54" s="66"/>
      <c r="DA54" s="66"/>
      <c r="DB54" s="66"/>
      <c r="DC54" s="66"/>
      <c r="DD54" s="66"/>
      <c r="DE54" s="66"/>
      <c r="DF54" s="66"/>
      <c r="DG54" s="66"/>
      <c r="DH54" s="66"/>
      <c r="DI54" s="66"/>
      <c r="DJ54" s="66"/>
      <c r="DK54" s="66"/>
      <c r="DL54" s="66"/>
      <c r="DM54" s="66"/>
      <c r="DN54" s="66"/>
      <c r="DO54" s="66"/>
      <c r="DP54" s="66"/>
      <c r="DQ54" s="66"/>
      <c r="DR54" s="66"/>
      <c r="DS54" s="66"/>
      <c r="DT54" s="66"/>
      <c r="DU54" s="66"/>
      <c r="DV54" s="66"/>
      <c r="DW54" s="66"/>
      <c r="DX54" s="66"/>
      <c r="DY54" s="66"/>
      <c r="DZ54" s="66"/>
      <c r="EA54" s="66"/>
      <c r="EB54" s="66"/>
      <c r="EC54" s="66"/>
      <c r="ED54" s="66"/>
      <c r="EE54" s="66"/>
      <c r="EF54" s="66"/>
      <c r="EG54" s="66"/>
      <c r="EH54" s="66"/>
      <c r="EI54" s="66"/>
      <c r="EJ54" s="66"/>
      <c r="EK54" s="66"/>
      <c r="EL54" s="66"/>
      <c r="EM54" s="66"/>
      <c r="EN54" s="66"/>
      <c r="EO54" s="66"/>
      <c r="EP54" s="66"/>
      <c r="EQ54" s="66"/>
      <c r="ER54" s="66"/>
      <c r="ES54" s="66"/>
      <c r="ET54" s="66"/>
      <c r="EU54" s="66"/>
      <c r="EV54" s="66"/>
      <c r="EW54" s="66"/>
      <c r="EX54" s="66"/>
      <c r="EY54" s="66"/>
      <c r="EZ54" s="66"/>
      <c r="FA54" s="66"/>
      <c r="FB54" s="66"/>
      <c r="FC54" s="66"/>
      <c r="FD54" s="66"/>
      <c r="FE54" s="66"/>
      <c r="FF54" s="66"/>
      <c r="FG54" s="66"/>
      <c r="FH54" s="66"/>
      <c r="FI54" s="66"/>
      <c r="FJ54" s="66"/>
      <c r="FK54" s="66"/>
      <c r="FL54" s="66"/>
      <c r="FM54" s="66"/>
      <c r="FN54" s="66"/>
      <c r="FO54" s="66"/>
      <c r="FP54" s="66"/>
      <c r="FQ54" s="66"/>
      <c r="FR54" s="66"/>
      <c r="FS54" s="66"/>
      <c r="FT54" s="66"/>
      <c r="FU54" s="66"/>
      <c r="FV54" s="66"/>
      <c r="FW54" s="66"/>
      <c r="FX54" s="66"/>
      <c r="FY54" s="66"/>
      <c r="FZ54" s="66"/>
      <c r="GA54" s="66"/>
      <c r="GB54" s="66"/>
      <c r="GC54" s="66"/>
      <c r="GD54" s="66"/>
      <c r="GE54" s="66"/>
      <c r="GF54" s="66"/>
      <c r="GG54" s="66"/>
      <c r="GH54" s="66"/>
      <c r="GI54" s="66"/>
      <c r="GJ54" s="66"/>
      <c r="GK54" s="66"/>
      <c r="GL54" s="66"/>
      <c r="GM54" s="66"/>
      <c r="GN54" s="66"/>
      <c r="GO54" s="66"/>
      <c r="GP54" s="66"/>
      <c r="GQ54" s="66"/>
      <c r="GR54" s="66"/>
      <c r="GS54" s="66"/>
      <c r="GT54" s="66"/>
      <c r="GU54" s="66"/>
      <c r="GV54" s="66"/>
      <c r="GW54" s="66"/>
      <c r="GX54" s="66"/>
      <c r="GY54" s="66"/>
      <c r="GZ54" s="66"/>
      <c r="HA54" s="66"/>
      <c r="HB54" s="66"/>
      <c r="HC54" s="66"/>
      <c r="HD54" s="66"/>
      <c r="HE54" s="66"/>
      <c r="HF54" s="66"/>
      <c r="HG54" s="66"/>
      <c r="HH54" s="66"/>
      <c r="HI54" s="66"/>
      <c r="HJ54" s="66"/>
      <c r="HK54" s="66"/>
      <c r="HL54" s="66"/>
      <c r="HM54" s="66"/>
      <c r="HN54" s="66"/>
      <c r="HO54" s="66"/>
      <c r="HP54" s="66"/>
      <c r="HQ54" s="66"/>
      <c r="HR54" s="66"/>
      <c r="HS54" s="66"/>
      <c r="HT54" s="66"/>
      <c r="HU54" s="66"/>
      <c r="HV54" s="66"/>
      <c r="HW54" s="66"/>
      <c r="HX54" s="66"/>
      <c r="HY54" s="66"/>
      <c r="HZ54" s="66"/>
      <c r="IA54" s="66"/>
      <c r="IB54" s="66"/>
      <c r="IC54" s="66"/>
      <c r="ID54" s="66"/>
      <c r="IE54" s="66"/>
      <c r="IF54" s="66"/>
      <c r="IG54" s="66"/>
      <c r="IH54" s="66"/>
      <c r="II54" s="66"/>
      <c r="IJ54" s="66"/>
      <c r="IK54" s="66"/>
      <c r="IL54" s="66"/>
      <c r="IM54" s="66"/>
      <c r="IN54" s="66"/>
      <c r="IO54" s="66"/>
      <c r="IP54" s="66"/>
      <c r="IQ54" s="66"/>
      <c r="IR54" s="66"/>
    </row>
    <row r="55" customFormat="false" ht="22.5" hidden="false" customHeight="true" outlineLevel="0" collapsed="false">
      <c r="A55" s="66"/>
      <c r="B55" s="62" t="s">
        <v>206</v>
      </c>
      <c r="C55" s="63" t="s">
        <v>207</v>
      </c>
      <c r="D55" s="28" t="s">
        <v>103</v>
      </c>
      <c r="E55" s="64"/>
      <c r="F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6"/>
      <c r="BW55" s="66"/>
      <c r="BX55" s="66"/>
      <c r="BY55" s="66"/>
      <c r="BZ55" s="66"/>
      <c r="CA55" s="66"/>
      <c r="CB55" s="66"/>
      <c r="CC55" s="66"/>
      <c r="CD55" s="66"/>
      <c r="CE55" s="66"/>
      <c r="CF55" s="66"/>
      <c r="CG55" s="66"/>
      <c r="CH55" s="66"/>
      <c r="CI55" s="66"/>
      <c r="CJ55" s="66"/>
      <c r="CK55" s="66"/>
      <c r="CL55" s="66"/>
      <c r="CM55" s="66"/>
      <c r="CN55" s="66"/>
      <c r="CO55" s="66"/>
      <c r="CP55" s="66"/>
      <c r="CQ55" s="66"/>
      <c r="CR55" s="66"/>
      <c r="CS55" s="66"/>
      <c r="CT55" s="66"/>
      <c r="CU55" s="66"/>
      <c r="CV55" s="66"/>
      <c r="CW55" s="66"/>
      <c r="CX55" s="66"/>
      <c r="CY55" s="66"/>
      <c r="CZ55" s="66"/>
      <c r="DA55" s="66"/>
      <c r="DB55" s="66"/>
      <c r="DC55" s="66"/>
      <c r="DD55" s="66"/>
      <c r="DE55" s="66"/>
      <c r="DF55" s="66"/>
      <c r="DG55" s="66"/>
      <c r="DH55" s="66"/>
      <c r="DI55" s="66"/>
      <c r="DJ55" s="66"/>
      <c r="DK55" s="66"/>
      <c r="DL55" s="66"/>
      <c r="DM55" s="66"/>
      <c r="DN55" s="66"/>
      <c r="DO55" s="66"/>
      <c r="DP55" s="66"/>
      <c r="DQ55" s="66"/>
      <c r="DR55" s="66"/>
      <c r="DS55" s="66"/>
      <c r="DT55" s="66"/>
      <c r="DU55" s="66"/>
      <c r="DV55" s="66"/>
      <c r="DW55" s="66"/>
      <c r="DX55" s="66"/>
      <c r="DY55" s="66"/>
      <c r="DZ55" s="66"/>
      <c r="EA55" s="66"/>
      <c r="EB55" s="66"/>
      <c r="EC55" s="66"/>
      <c r="ED55" s="66"/>
      <c r="EE55" s="66"/>
      <c r="EF55" s="66"/>
      <c r="EG55" s="66"/>
      <c r="EH55" s="66"/>
      <c r="EI55" s="66"/>
      <c r="EJ55" s="66"/>
      <c r="EK55" s="66"/>
      <c r="EL55" s="66"/>
      <c r="EM55" s="66"/>
      <c r="EN55" s="66"/>
      <c r="EO55" s="66"/>
      <c r="EP55" s="66"/>
      <c r="EQ55" s="66"/>
      <c r="ER55" s="66"/>
      <c r="ES55" s="66"/>
      <c r="ET55" s="66"/>
      <c r="EU55" s="66"/>
      <c r="EV55" s="66"/>
      <c r="EW55" s="66"/>
      <c r="EX55" s="66"/>
      <c r="EY55" s="66"/>
      <c r="EZ55" s="66"/>
      <c r="FA55" s="66"/>
      <c r="FB55" s="66"/>
      <c r="FC55" s="66"/>
      <c r="FD55" s="66"/>
      <c r="FE55" s="66"/>
      <c r="FF55" s="66"/>
      <c r="FG55" s="66"/>
      <c r="FH55" s="66"/>
      <c r="FI55" s="66"/>
      <c r="FJ55" s="66"/>
      <c r="FK55" s="66"/>
      <c r="FL55" s="66"/>
      <c r="FM55" s="66"/>
      <c r="FN55" s="66"/>
      <c r="FO55" s="66"/>
      <c r="FP55" s="66"/>
      <c r="FQ55" s="66"/>
      <c r="FR55" s="66"/>
      <c r="FS55" s="66"/>
      <c r="FT55" s="66"/>
      <c r="FU55" s="66"/>
      <c r="FV55" s="66"/>
      <c r="FW55" s="66"/>
      <c r="FX55" s="66"/>
      <c r="FY55" s="66"/>
      <c r="FZ55" s="66"/>
      <c r="GA55" s="66"/>
      <c r="GB55" s="66"/>
      <c r="GC55" s="66"/>
      <c r="GD55" s="66"/>
      <c r="GE55" s="66"/>
      <c r="GF55" s="66"/>
      <c r="GG55" s="66"/>
      <c r="GH55" s="66"/>
      <c r="GI55" s="66"/>
      <c r="GJ55" s="66"/>
      <c r="GK55" s="66"/>
      <c r="GL55" s="66"/>
      <c r="GM55" s="66"/>
      <c r="GN55" s="66"/>
      <c r="GO55" s="66"/>
      <c r="GP55" s="66"/>
      <c r="GQ55" s="66"/>
      <c r="GR55" s="66"/>
      <c r="GS55" s="66"/>
      <c r="GT55" s="66"/>
      <c r="GU55" s="66"/>
      <c r="GV55" s="66"/>
      <c r="GW55" s="66"/>
      <c r="GX55" s="66"/>
      <c r="GY55" s="66"/>
      <c r="GZ55" s="66"/>
      <c r="HA55" s="66"/>
      <c r="HB55" s="66"/>
      <c r="HC55" s="66"/>
      <c r="HD55" s="66"/>
      <c r="HE55" s="66"/>
      <c r="HF55" s="66"/>
      <c r="HG55" s="66"/>
      <c r="HH55" s="66"/>
      <c r="HI55" s="66"/>
      <c r="HJ55" s="66"/>
      <c r="HK55" s="66"/>
      <c r="HL55" s="66"/>
      <c r="HM55" s="66"/>
      <c r="HN55" s="66"/>
      <c r="HO55" s="66"/>
      <c r="HP55" s="66"/>
      <c r="HQ55" s="66"/>
      <c r="HR55" s="66"/>
      <c r="HS55" s="66"/>
      <c r="HT55" s="66"/>
      <c r="HU55" s="66"/>
      <c r="HV55" s="66"/>
      <c r="HW55" s="66"/>
      <c r="HX55" s="66"/>
      <c r="HY55" s="66"/>
      <c r="HZ55" s="66"/>
      <c r="IA55" s="66"/>
      <c r="IB55" s="66"/>
      <c r="IC55" s="66"/>
      <c r="ID55" s="66"/>
      <c r="IE55" s="66"/>
      <c r="IF55" s="66"/>
      <c r="IG55" s="66"/>
      <c r="IH55" s="66"/>
      <c r="II55" s="66"/>
      <c r="IJ55" s="66"/>
      <c r="IK55" s="66"/>
      <c r="IL55" s="66"/>
      <c r="IM55" s="66"/>
      <c r="IN55" s="66"/>
      <c r="IO55" s="66"/>
      <c r="IP55" s="66"/>
      <c r="IQ55" s="66"/>
      <c r="IR55" s="66"/>
    </row>
    <row r="56" customFormat="false" ht="22.5" hidden="false" customHeight="true" outlineLevel="0" collapsed="false">
      <c r="A56" s="66"/>
      <c r="B56" s="62" t="s">
        <v>208</v>
      </c>
      <c r="C56" s="63" t="s">
        <v>209</v>
      </c>
      <c r="D56" s="28" t="s">
        <v>103</v>
      </c>
      <c r="E56" s="64"/>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6"/>
      <c r="CD56" s="66"/>
      <c r="CE56" s="66"/>
      <c r="CF56" s="66"/>
      <c r="CG56" s="66"/>
      <c r="CH56" s="66"/>
      <c r="CI56" s="66"/>
      <c r="CJ56" s="66"/>
      <c r="CK56" s="66"/>
      <c r="CL56" s="66"/>
      <c r="CM56" s="66"/>
      <c r="CN56" s="66"/>
      <c r="CO56" s="66"/>
      <c r="CP56" s="66"/>
      <c r="CQ56" s="66"/>
      <c r="CR56" s="66"/>
      <c r="CS56" s="66"/>
      <c r="CT56" s="66"/>
      <c r="CU56" s="66"/>
      <c r="CV56" s="66"/>
      <c r="CW56" s="66"/>
      <c r="CX56" s="66"/>
      <c r="CY56" s="66"/>
      <c r="CZ56" s="66"/>
      <c r="DA56" s="66"/>
      <c r="DB56" s="66"/>
      <c r="DC56" s="66"/>
      <c r="DD56" s="66"/>
      <c r="DE56" s="66"/>
      <c r="DF56" s="66"/>
      <c r="DG56" s="66"/>
      <c r="DH56" s="66"/>
      <c r="DI56" s="66"/>
      <c r="DJ56" s="66"/>
      <c r="DK56" s="66"/>
      <c r="DL56" s="66"/>
      <c r="DM56" s="66"/>
      <c r="DN56" s="66"/>
      <c r="DO56" s="66"/>
      <c r="DP56" s="66"/>
      <c r="DQ56" s="66"/>
      <c r="DR56" s="66"/>
      <c r="DS56" s="66"/>
      <c r="DT56" s="66"/>
      <c r="DU56" s="66"/>
      <c r="DV56" s="66"/>
      <c r="DW56" s="66"/>
      <c r="DX56" s="66"/>
      <c r="DY56" s="66"/>
      <c r="DZ56" s="66"/>
      <c r="EA56" s="66"/>
      <c r="EB56" s="66"/>
      <c r="EC56" s="66"/>
      <c r="ED56" s="66"/>
      <c r="EE56" s="66"/>
      <c r="EF56" s="66"/>
      <c r="EG56" s="66"/>
      <c r="EH56" s="66"/>
      <c r="EI56" s="66"/>
      <c r="EJ56" s="66"/>
      <c r="EK56" s="66"/>
      <c r="EL56" s="66"/>
      <c r="EM56" s="66"/>
      <c r="EN56" s="66"/>
      <c r="EO56" s="66"/>
      <c r="EP56" s="66"/>
      <c r="EQ56" s="66"/>
      <c r="ER56" s="66"/>
      <c r="ES56" s="66"/>
      <c r="ET56" s="66"/>
      <c r="EU56" s="66"/>
      <c r="EV56" s="66"/>
      <c r="EW56" s="66"/>
      <c r="EX56" s="66"/>
      <c r="EY56" s="66"/>
      <c r="EZ56" s="66"/>
      <c r="FA56" s="66"/>
      <c r="FB56" s="66"/>
      <c r="FC56" s="66"/>
      <c r="FD56" s="66"/>
      <c r="FE56" s="66"/>
      <c r="FF56" s="66"/>
      <c r="FG56" s="66"/>
      <c r="FH56" s="66"/>
      <c r="FI56" s="66"/>
      <c r="FJ56" s="66"/>
      <c r="FK56" s="66"/>
      <c r="FL56" s="66"/>
      <c r="FM56" s="66"/>
      <c r="FN56" s="66"/>
      <c r="FO56" s="66"/>
      <c r="FP56" s="66"/>
      <c r="FQ56" s="66"/>
      <c r="FR56" s="66"/>
      <c r="FS56" s="66"/>
      <c r="FT56" s="66"/>
      <c r="FU56" s="66"/>
      <c r="FV56" s="66"/>
      <c r="FW56" s="66"/>
      <c r="FX56" s="66"/>
      <c r="FY56" s="66"/>
      <c r="FZ56" s="66"/>
      <c r="GA56" s="66"/>
      <c r="GB56" s="66"/>
      <c r="GC56" s="66"/>
      <c r="GD56" s="66"/>
      <c r="GE56" s="66"/>
      <c r="GF56" s="66"/>
      <c r="GG56" s="66"/>
      <c r="GH56" s="66"/>
      <c r="GI56" s="66"/>
      <c r="GJ56" s="66"/>
      <c r="GK56" s="66"/>
      <c r="GL56" s="66"/>
      <c r="GM56" s="66"/>
      <c r="GN56" s="66"/>
      <c r="GO56" s="66"/>
      <c r="GP56" s="66"/>
      <c r="GQ56" s="66"/>
      <c r="GR56" s="66"/>
      <c r="GS56" s="66"/>
      <c r="GT56" s="66"/>
      <c r="GU56" s="66"/>
      <c r="GV56" s="66"/>
      <c r="GW56" s="66"/>
      <c r="GX56" s="66"/>
      <c r="GY56" s="66"/>
      <c r="GZ56" s="66"/>
      <c r="HA56" s="66"/>
      <c r="HB56" s="66"/>
      <c r="HC56" s="66"/>
      <c r="HD56" s="66"/>
      <c r="HE56" s="66"/>
      <c r="HF56" s="66"/>
      <c r="HG56" s="66"/>
      <c r="HH56" s="66"/>
      <c r="HI56" s="66"/>
      <c r="HJ56" s="66"/>
      <c r="HK56" s="66"/>
      <c r="HL56" s="66"/>
      <c r="HM56" s="66"/>
      <c r="HN56" s="66"/>
      <c r="HO56" s="66"/>
      <c r="HP56" s="66"/>
      <c r="HQ56" s="66"/>
      <c r="HR56" s="66"/>
      <c r="HS56" s="66"/>
      <c r="HT56" s="66"/>
      <c r="HU56" s="66"/>
      <c r="HV56" s="66"/>
      <c r="HW56" s="66"/>
      <c r="HX56" s="66"/>
      <c r="HY56" s="66"/>
      <c r="HZ56" s="66"/>
      <c r="IA56" s="66"/>
      <c r="IB56" s="66"/>
      <c r="IC56" s="66"/>
      <c r="ID56" s="66"/>
      <c r="IE56" s="66"/>
      <c r="IF56" s="66"/>
      <c r="IG56" s="66"/>
      <c r="IH56" s="66"/>
      <c r="II56" s="66"/>
      <c r="IJ56" s="66"/>
      <c r="IK56" s="66"/>
      <c r="IL56" s="66"/>
      <c r="IM56" s="66"/>
      <c r="IN56" s="66"/>
      <c r="IO56" s="66"/>
      <c r="IP56" s="66"/>
      <c r="IQ56" s="66"/>
      <c r="IR56" s="66"/>
    </row>
    <row r="57" customFormat="false" ht="22.5" hidden="false" customHeight="true" outlineLevel="0" collapsed="false">
      <c r="A57" s="66"/>
      <c r="B57" s="62" t="s">
        <v>210</v>
      </c>
      <c r="C57" s="63" t="s">
        <v>211</v>
      </c>
      <c r="D57" s="28" t="s">
        <v>103</v>
      </c>
      <c r="E57" s="64"/>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6"/>
      <c r="CD57" s="66"/>
      <c r="CE57" s="66"/>
      <c r="CF57" s="66"/>
      <c r="CG57" s="66"/>
      <c r="CH57" s="66"/>
      <c r="CI57" s="66"/>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6"/>
      <c r="DI57" s="66"/>
      <c r="DJ57" s="66"/>
      <c r="DK57" s="66"/>
      <c r="DL57" s="66"/>
      <c r="DM57" s="66"/>
      <c r="DN57" s="66"/>
      <c r="DO57" s="66"/>
      <c r="DP57" s="66"/>
      <c r="DQ57" s="66"/>
      <c r="DR57" s="66"/>
      <c r="DS57" s="66"/>
      <c r="DT57" s="66"/>
      <c r="DU57" s="66"/>
      <c r="DV57" s="66"/>
      <c r="DW57" s="66"/>
      <c r="DX57" s="66"/>
      <c r="DY57" s="66"/>
      <c r="DZ57" s="66"/>
      <c r="EA57" s="66"/>
      <c r="EB57" s="66"/>
      <c r="EC57" s="66"/>
      <c r="ED57" s="66"/>
      <c r="EE57" s="66"/>
      <c r="EF57" s="66"/>
      <c r="EG57" s="66"/>
      <c r="EH57" s="66"/>
      <c r="EI57" s="66"/>
      <c r="EJ57" s="66"/>
      <c r="EK57" s="66"/>
      <c r="EL57" s="66"/>
      <c r="EM57" s="66"/>
      <c r="EN57" s="66"/>
      <c r="EO57" s="66"/>
      <c r="EP57" s="66"/>
      <c r="EQ57" s="66"/>
      <c r="ER57" s="66"/>
      <c r="ES57" s="66"/>
      <c r="ET57" s="66"/>
      <c r="EU57" s="66"/>
      <c r="EV57" s="66"/>
      <c r="EW57" s="66"/>
      <c r="EX57" s="66"/>
      <c r="EY57" s="66"/>
      <c r="EZ57" s="66"/>
      <c r="FA57" s="66"/>
      <c r="FB57" s="66"/>
      <c r="FC57" s="66"/>
      <c r="FD57" s="66"/>
      <c r="FE57" s="66"/>
      <c r="FF57" s="66"/>
      <c r="FG57" s="66"/>
      <c r="FH57" s="66"/>
      <c r="FI57" s="66"/>
      <c r="FJ57" s="66"/>
      <c r="FK57" s="66"/>
      <c r="FL57" s="66"/>
      <c r="FM57" s="66"/>
      <c r="FN57" s="66"/>
      <c r="FO57" s="66"/>
      <c r="FP57" s="66"/>
      <c r="FQ57" s="66"/>
      <c r="FR57" s="66"/>
      <c r="FS57" s="66"/>
      <c r="FT57" s="66"/>
      <c r="FU57" s="66"/>
      <c r="FV57" s="66"/>
      <c r="FW57" s="66"/>
      <c r="FX57" s="66"/>
      <c r="FY57" s="66"/>
      <c r="FZ57" s="66"/>
      <c r="GA57" s="66"/>
      <c r="GB57" s="66"/>
      <c r="GC57" s="66"/>
      <c r="GD57" s="66"/>
      <c r="GE57" s="66"/>
      <c r="GF57" s="66"/>
      <c r="GG57" s="66"/>
      <c r="GH57" s="66"/>
      <c r="GI57" s="66"/>
      <c r="GJ57" s="66"/>
      <c r="GK57" s="66"/>
      <c r="GL57" s="66"/>
      <c r="GM57" s="66"/>
      <c r="GN57" s="66"/>
      <c r="GO57" s="66"/>
      <c r="GP57" s="66"/>
      <c r="GQ57" s="66"/>
      <c r="GR57" s="66"/>
      <c r="GS57" s="66"/>
      <c r="GT57" s="66"/>
      <c r="GU57" s="66"/>
      <c r="GV57" s="66"/>
      <c r="GW57" s="66"/>
      <c r="GX57" s="66"/>
      <c r="GY57" s="66"/>
      <c r="GZ57" s="66"/>
      <c r="HA57" s="66"/>
      <c r="HB57" s="66"/>
      <c r="HC57" s="66"/>
      <c r="HD57" s="66"/>
      <c r="HE57" s="66"/>
      <c r="HF57" s="66"/>
      <c r="HG57" s="66"/>
      <c r="HH57" s="66"/>
      <c r="HI57" s="66"/>
      <c r="HJ57" s="66"/>
      <c r="HK57" s="66"/>
      <c r="HL57" s="66"/>
      <c r="HM57" s="66"/>
      <c r="HN57" s="66"/>
      <c r="HO57" s="66"/>
      <c r="HP57" s="66"/>
      <c r="HQ57" s="66"/>
      <c r="HR57" s="66"/>
      <c r="HS57" s="66"/>
      <c r="HT57" s="66"/>
      <c r="HU57" s="66"/>
      <c r="HV57" s="66"/>
      <c r="HW57" s="66"/>
      <c r="HX57" s="66"/>
      <c r="HY57" s="66"/>
      <c r="HZ57" s="66"/>
      <c r="IA57" s="66"/>
      <c r="IB57" s="66"/>
      <c r="IC57" s="66"/>
      <c r="ID57" s="66"/>
      <c r="IE57" s="66"/>
      <c r="IF57" s="66"/>
      <c r="IG57" s="66"/>
      <c r="IH57" s="66"/>
      <c r="II57" s="66"/>
      <c r="IJ57" s="66"/>
      <c r="IK57" s="66"/>
      <c r="IL57" s="66"/>
      <c r="IM57" s="66"/>
      <c r="IN57" s="66"/>
      <c r="IO57" s="66"/>
      <c r="IP57" s="66"/>
      <c r="IQ57" s="66"/>
      <c r="IR57" s="66"/>
    </row>
    <row r="58" customFormat="false" ht="22.5" hidden="false" customHeight="true" outlineLevel="0" collapsed="false">
      <c r="A58" s="66"/>
      <c r="B58" s="62" t="s">
        <v>212</v>
      </c>
      <c r="C58" s="63" t="s">
        <v>213</v>
      </c>
      <c r="D58" s="28" t="s">
        <v>103</v>
      </c>
      <c r="E58" s="64"/>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6"/>
      <c r="BY58" s="66"/>
      <c r="BZ58" s="66"/>
      <c r="CA58" s="66"/>
      <c r="CB58" s="66"/>
      <c r="CC58" s="66"/>
      <c r="CD58" s="66"/>
      <c r="CE58" s="66"/>
      <c r="CF58" s="66"/>
      <c r="CG58" s="66"/>
      <c r="CH58" s="66"/>
      <c r="CI58" s="66"/>
      <c r="CJ58" s="66"/>
      <c r="CK58" s="66"/>
      <c r="CL58" s="66"/>
      <c r="CM58" s="66"/>
      <c r="CN58" s="66"/>
      <c r="CO58" s="66"/>
      <c r="CP58" s="66"/>
      <c r="CQ58" s="66"/>
      <c r="CR58" s="66"/>
      <c r="CS58" s="66"/>
      <c r="CT58" s="66"/>
      <c r="CU58" s="66"/>
      <c r="CV58" s="66"/>
      <c r="CW58" s="66"/>
      <c r="CX58" s="66"/>
      <c r="CY58" s="66"/>
      <c r="CZ58" s="66"/>
      <c r="DA58" s="66"/>
      <c r="DB58" s="66"/>
      <c r="DC58" s="66"/>
      <c r="DD58" s="66"/>
      <c r="DE58" s="66"/>
      <c r="DF58" s="66"/>
      <c r="DG58" s="66"/>
      <c r="DH58" s="66"/>
      <c r="DI58" s="66"/>
      <c r="DJ58" s="66"/>
      <c r="DK58" s="66"/>
      <c r="DL58" s="66"/>
      <c r="DM58" s="66"/>
      <c r="DN58" s="66"/>
      <c r="DO58" s="66"/>
      <c r="DP58" s="66"/>
      <c r="DQ58" s="66"/>
      <c r="DR58" s="66"/>
      <c r="DS58" s="66"/>
      <c r="DT58" s="66"/>
      <c r="DU58" s="66"/>
      <c r="DV58" s="66"/>
      <c r="DW58" s="66"/>
      <c r="DX58" s="66"/>
      <c r="DY58" s="66"/>
      <c r="DZ58" s="66"/>
      <c r="EA58" s="66"/>
      <c r="EB58" s="66"/>
      <c r="EC58" s="66"/>
      <c r="ED58" s="66"/>
      <c r="EE58" s="66"/>
      <c r="EF58" s="66"/>
      <c r="EG58" s="66"/>
      <c r="EH58" s="66"/>
      <c r="EI58" s="66"/>
      <c r="EJ58" s="66"/>
      <c r="EK58" s="66"/>
      <c r="EL58" s="66"/>
      <c r="EM58" s="66"/>
      <c r="EN58" s="66"/>
      <c r="EO58" s="66"/>
      <c r="EP58" s="66"/>
      <c r="EQ58" s="66"/>
      <c r="ER58" s="66"/>
      <c r="ES58" s="66"/>
      <c r="ET58" s="66"/>
      <c r="EU58" s="66"/>
      <c r="EV58" s="66"/>
      <c r="EW58" s="66"/>
      <c r="EX58" s="66"/>
      <c r="EY58" s="66"/>
      <c r="EZ58" s="66"/>
      <c r="FA58" s="66"/>
      <c r="FB58" s="66"/>
      <c r="FC58" s="66"/>
      <c r="FD58" s="66"/>
      <c r="FE58" s="66"/>
      <c r="FF58" s="66"/>
      <c r="FG58" s="66"/>
      <c r="FH58" s="66"/>
      <c r="FI58" s="66"/>
      <c r="FJ58" s="66"/>
      <c r="FK58" s="66"/>
      <c r="FL58" s="66"/>
      <c r="FM58" s="66"/>
      <c r="FN58" s="66"/>
      <c r="FO58" s="66"/>
      <c r="FP58" s="66"/>
      <c r="FQ58" s="66"/>
      <c r="FR58" s="66"/>
      <c r="FS58" s="66"/>
      <c r="FT58" s="66"/>
      <c r="FU58" s="66"/>
      <c r="FV58" s="66"/>
      <c r="FW58" s="66"/>
      <c r="FX58" s="66"/>
      <c r="FY58" s="66"/>
      <c r="FZ58" s="66"/>
      <c r="GA58" s="66"/>
      <c r="GB58" s="66"/>
      <c r="GC58" s="66"/>
      <c r="GD58" s="66"/>
      <c r="GE58" s="66"/>
      <c r="GF58" s="66"/>
      <c r="GG58" s="66"/>
      <c r="GH58" s="66"/>
      <c r="GI58" s="66"/>
      <c r="GJ58" s="66"/>
      <c r="GK58" s="66"/>
      <c r="GL58" s="66"/>
      <c r="GM58" s="66"/>
      <c r="GN58" s="66"/>
      <c r="GO58" s="66"/>
      <c r="GP58" s="66"/>
      <c r="GQ58" s="66"/>
      <c r="GR58" s="66"/>
      <c r="GS58" s="66"/>
      <c r="GT58" s="66"/>
      <c r="GU58" s="66"/>
      <c r="GV58" s="66"/>
      <c r="GW58" s="66"/>
      <c r="GX58" s="66"/>
      <c r="GY58" s="66"/>
      <c r="GZ58" s="66"/>
      <c r="HA58" s="66"/>
      <c r="HB58" s="66"/>
      <c r="HC58" s="66"/>
      <c r="HD58" s="66"/>
      <c r="HE58" s="66"/>
      <c r="HF58" s="66"/>
      <c r="HG58" s="66"/>
      <c r="HH58" s="66"/>
      <c r="HI58" s="66"/>
      <c r="HJ58" s="66"/>
      <c r="HK58" s="66"/>
      <c r="HL58" s="66"/>
      <c r="HM58" s="66"/>
      <c r="HN58" s="66"/>
      <c r="HO58" s="66"/>
      <c r="HP58" s="66"/>
      <c r="HQ58" s="66"/>
      <c r="HR58" s="66"/>
      <c r="HS58" s="66"/>
      <c r="HT58" s="66"/>
      <c r="HU58" s="66"/>
      <c r="HV58" s="66"/>
      <c r="HW58" s="66"/>
      <c r="HX58" s="66"/>
      <c r="HY58" s="66"/>
      <c r="HZ58" s="66"/>
      <c r="IA58" s="66"/>
      <c r="IB58" s="66"/>
      <c r="IC58" s="66"/>
      <c r="ID58" s="66"/>
      <c r="IE58" s="66"/>
      <c r="IF58" s="66"/>
      <c r="IG58" s="66"/>
      <c r="IH58" s="66"/>
      <c r="II58" s="66"/>
      <c r="IJ58" s="66"/>
      <c r="IK58" s="66"/>
      <c r="IL58" s="66"/>
      <c r="IM58" s="66"/>
      <c r="IN58" s="66"/>
      <c r="IO58" s="66"/>
      <c r="IP58" s="66"/>
      <c r="IQ58" s="66"/>
      <c r="IR58" s="66"/>
    </row>
    <row r="59" customFormat="false" ht="22.5" hidden="false" customHeight="true" outlineLevel="0" collapsed="false">
      <c r="A59" s="66"/>
      <c r="B59" s="62" t="s">
        <v>214</v>
      </c>
      <c r="C59" s="63" t="s">
        <v>215</v>
      </c>
      <c r="D59" s="28" t="s">
        <v>103</v>
      </c>
      <c r="E59" s="64"/>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6"/>
      <c r="BZ59" s="66"/>
      <c r="CA59" s="66"/>
      <c r="CB59" s="66"/>
      <c r="CC59" s="66"/>
      <c r="CD59" s="66"/>
      <c r="CE59" s="66"/>
      <c r="CF59" s="66"/>
      <c r="CG59" s="66"/>
      <c r="CH59" s="66"/>
      <c r="CI59" s="66"/>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N59" s="66"/>
      <c r="DO59" s="66"/>
      <c r="DP59" s="66"/>
      <c r="DQ59" s="66"/>
      <c r="DR59" s="66"/>
      <c r="DS59" s="66"/>
      <c r="DT59" s="66"/>
      <c r="DU59" s="66"/>
      <c r="DV59" s="66"/>
      <c r="DW59" s="66"/>
      <c r="DX59" s="66"/>
      <c r="DY59" s="66"/>
      <c r="DZ59" s="66"/>
      <c r="EA59" s="66"/>
      <c r="EB59" s="66"/>
      <c r="EC59" s="66"/>
      <c r="ED59" s="66"/>
      <c r="EE59" s="66"/>
      <c r="EF59" s="66"/>
      <c r="EG59" s="66"/>
      <c r="EH59" s="66"/>
      <c r="EI59" s="66"/>
      <c r="EJ59" s="66"/>
      <c r="EK59" s="66"/>
      <c r="EL59" s="66"/>
      <c r="EM59" s="66"/>
      <c r="EN59" s="66"/>
      <c r="EO59" s="66"/>
      <c r="EP59" s="66"/>
      <c r="EQ59" s="66"/>
      <c r="ER59" s="66"/>
      <c r="ES59" s="66"/>
      <c r="ET59" s="66"/>
      <c r="EU59" s="66"/>
      <c r="EV59" s="66"/>
      <c r="EW59" s="66"/>
      <c r="EX59" s="66"/>
      <c r="EY59" s="66"/>
      <c r="EZ59" s="66"/>
      <c r="FA59" s="66"/>
      <c r="FB59" s="66"/>
      <c r="FC59" s="66"/>
      <c r="FD59" s="66"/>
      <c r="FE59" s="66"/>
      <c r="FF59" s="66"/>
      <c r="FG59" s="66"/>
      <c r="FH59" s="66"/>
      <c r="FI59" s="66"/>
      <c r="FJ59" s="66"/>
      <c r="FK59" s="66"/>
      <c r="FL59" s="66"/>
      <c r="FM59" s="66"/>
      <c r="FN59" s="66"/>
      <c r="FO59" s="66"/>
      <c r="FP59" s="66"/>
      <c r="FQ59" s="66"/>
      <c r="FR59" s="66"/>
      <c r="FS59" s="66"/>
      <c r="FT59" s="66"/>
      <c r="FU59" s="66"/>
      <c r="FV59" s="66"/>
      <c r="FW59" s="66"/>
      <c r="FX59" s="66"/>
      <c r="FY59" s="66"/>
      <c r="FZ59" s="66"/>
      <c r="GA59" s="66"/>
      <c r="GB59" s="66"/>
      <c r="GC59" s="66"/>
      <c r="GD59" s="66"/>
      <c r="GE59" s="66"/>
      <c r="GF59" s="66"/>
      <c r="GG59" s="66"/>
      <c r="GH59" s="66"/>
      <c r="GI59" s="66"/>
      <c r="GJ59" s="66"/>
      <c r="GK59" s="66"/>
      <c r="GL59" s="66"/>
      <c r="GM59" s="66"/>
      <c r="GN59" s="66"/>
      <c r="GO59" s="66"/>
      <c r="GP59" s="66"/>
      <c r="GQ59" s="66"/>
      <c r="GR59" s="66"/>
      <c r="GS59" s="66"/>
      <c r="GT59" s="66"/>
      <c r="GU59" s="66"/>
      <c r="GV59" s="66"/>
      <c r="GW59" s="66"/>
      <c r="GX59" s="66"/>
      <c r="GY59" s="66"/>
      <c r="GZ59" s="66"/>
      <c r="HA59" s="66"/>
      <c r="HB59" s="66"/>
      <c r="HC59" s="66"/>
      <c r="HD59" s="66"/>
      <c r="HE59" s="66"/>
      <c r="HF59" s="66"/>
      <c r="HG59" s="66"/>
      <c r="HH59" s="66"/>
      <c r="HI59" s="66"/>
      <c r="HJ59" s="66"/>
      <c r="HK59" s="66"/>
      <c r="HL59" s="66"/>
      <c r="HM59" s="66"/>
      <c r="HN59" s="66"/>
      <c r="HO59" s="66"/>
      <c r="HP59" s="66"/>
      <c r="HQ59" s="66"/>
      <c r="HR59" s="66"/>
      <c r="HS59" s="66"/>
      <c r="HT59" s="66"/>
      <c r="HU59" s="66"/>
      <c r="HV59" s="66"/>
      <c r="HW59" s="66"/>
      <c r="HX59" s="66"/>
      <c r="HY59" s="66"/>
      <c r="HZ59" s="66"/>
      <c r="IA59" s="66"/>
      <c r="IB59" s="66"/>
      <c r="IC59" s="66"/>
      <c r="ID59" s="66"/>
      <c r="IE59" s="66"/>
      <c r="IF59" s="66"/>
      <c r="IG59" s="66"/>
      <c r="IH59" s="66"/>
      <c r="II59" s="66"/>
      <c r="IJ59" s="66"/>
      <c r="IK59" s="66"/>
      <c r="IL59" s="66"/>
      <c r="IM59" s="66"/>
      <c r="IN59" s="66"/>
      <c r="IO59" s="66"/>
      <c r="IP59" s="66"/>
      <c r="IQ59" s="66"/>
      <c r="IR59" s="66"/>
    </row>
    <row r="60" customFormat="false" ht="22.5" hidden="false" customHeight="true" outlineLevel="0" collapsed="false">
      <c r="A60" s="66"/>
      <c r="B60" s="62" t="s">
        <v>216</v>
      </c>
      <c r="C60" s="63" t="s">
        <v>217</v>
      </c>
      <c r="D60" s="28" t="s">
        <v>103</v>
      </c>
      <c r="E60" s="64"/>
      <c r="F60" s="66"/>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6"/>
      <c r="BZ60" s="66"/>
      <c r="CA60" s="66"/>
      <c r="CB60" s="66"/>
      <c r="CC60" s="66"/>
      <c r="CD60" s="66"/>
      <c r="CE60" s="66"/>
      <c r="CF60" s="66"/>
      <c r="CG60" s="66"/>
      <c r="CH60" s="66"/>
      <c r="CI60" s="66"/>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c r="DP60" s="66"/>
      <c r="DQ60" s="66"/>
      <c r="DR60" s="66"/>
      <c r="DS60" s="66"/>
      <c r="DT60" s="66"/>
      <c r="DU60" s="66"/>
      <c r="DV60" s="66"/>
      <c r="DW60" s="66"/>
      <c r="DX60" s="66"/>
      <c r="DY60" s="66"/>
      <c r="DZ60" s="66"/>
      <c r="EA60" s="66"/>
      <c r="EB60" s="66"/>
      <c r="EC60" s="66"/>
      <c r="ED60" s="66"/>
      <c r="EE60" s="66"/>
      <c r="EF60" s="66"/>
      <c r="EG60" s="66"/>
      <c r="EH60" s="66"/>
      <c r="EI60" s="66"/>
      <c r="EJ60" s="66"/>
      <c r="EK60" s="66"/>
      <c r="EL60" s="66"/>
      <c r="EM60" s="66"/>
      <c r="EN60" s="66"/>
      <c r="EO60" s="66"/>
      <c r="EP60" s="66"/>
      <c r="EQ60" s="66"/>
      <c r="ER60" s="66"/>
      <c r="ES60" s="66"/>
      <c r="ET60" s="66"/>
      <c r="EU60" s="66"/>
      <c r="EV60" s="66"/>
      <c r="EW60" s="66"/>
      <c r="EX60" s="66"/>
      <c r="EY60" s="66"/>
      <c r="EZ60" s="66"/>
      <c r="FA60" s="66"/>
      <c r="FB60" s="66"/>
      <c r="FC60" s="66"/>
      <c r="FD60" s="66"/>
      <c r="FE60" s="66"/>
      <c r="FF60" s="66"/>
      <c r="FG60" s="66"/>
      <c r="FH60" s="66"/>
      <c r="FI60" s="66"/>
      <c r="FJ60" s="66"/>
      <c r="FK60" s="66"/>
      <c r="FL60" s="66"/>
      <c r="FM60" s="66"/>
      <c r="FN60" s="66"/>
      <c r="FO60" s="66"/>
      <c r="FP60" s="66"/>
      <c r="FQ60" s="66"/>
      <c r="FR60" s="66"/>
      <c r="FS60" s="66"/>
      <c r="FT60" s="66"/>
      <c r="FU60" s="66"/>
      <c r="FV60" s="66"/>
      <c r="FW60" s="66"/>
      <c r="FX60" s="66"/>
      <c r="FY60" s="66"/>
      <c r="FZ60" s="66"/>
      <c r="GA60" s="66"/>
      <c r="GB60" s="66"/>
      <c r="GC60" s="66"/>
      <c r="GD60" s="66"/>
      <c r="GE60" s="66"/>
      <c r="GF60" s="66"/>
      <c r="GG60" s="66"/>
      <c r="GH60" s="66"/>
      <c r="GI60" s="66"/>
      <c r="GJ60" s="66"/>
      <c r="GK60" s="66"/>
      <c r="GL60" s="66"/>
      <c r="GM60" s="66"/>
      <c r="GN60" s="66"/>
      <c r="GO60" s="66"/>
      <c r="GP60" s="66"/>
      <c r="GQ60" s="66"/>
      <c r="GR60" s="66"/>
      <c r="GS60" s="66"/>
      <c r="GT60" s="66"/>
      <c r="GU60" s="66"/>
      <c r="GV60" s="66"/>
      <c r="GW60" s="66"/>
      <c r="GX60" s="66"/>
      <c r="GY60" s="66"/>
      <c r="GZ60" s="66"/>
      <c r="HA60" s="66"/>
      <c r="HB60" s="66"/>
      <c r="HC60" s="66"/>
      <c r="HD60" s="66"/>
      <c r="HE60" s="66"/>
      <c r="HF60" s="66"/>
      <c r="HG60" s="66"/>
      <c r="HH60" s="66"/>
      <c r="HI60" s="66"/>
      <c r="HJ60" s="66"/>
      <c r="HK60" s="66"/>
      <c r="HL60" s="66"/>
      <c r="HM60" s="66"/>
      <c r="HN60" s="66"/>
      <c r="HO60" s="66"/>
      <c r="HP60" s="66"/>
      <c r="HQ60" s="66"/>
      <c r="HR60" s="66"/>
      <c r="HS60" s="66"/>
      <c r="HT60" s="66"/>
      <c r="HU60" s="66"/>
      <c r="HV60" s="66"/>
      <c r="HW60" s="66"/>
      <c r="HX60" s="66"/>
      <c r="HY60" s="66"/>
      <c r="HZ60" s="66"/>
      <c r="IA60" s="66"/>
      <c r="IB60" s="66"/>
      <c r="IC60" s="66"/>
      <c r="ID60" s="66"/>
      <c r="IE60" s="66"/>
      <c r="IF60" s="66"/>
      <c r="IG60" s="66"/>
      <c r="IH60" s="66"/>
      <c r="II60" s="66"/>
      <c r="IJ60" s="66"/>
      <c r="IK60" s="66"/>
      <c r="IL60" s="66"/>
      <c r="IM60" s="66"/>
      <c r="IN60" s="66"/>
      <c r="IO60" s="66"/>
      <c r="IP60" s="66"/>
      <c r="IQ60" s="66"/>
      <c r="IR60" s="66"/>
    </row>
    <row r="61" customFormat="false" ht="22.5" hidden="false" customHeight="true" outlineLevel="0" collapsed="false">
      <c r="A61" s="66"/>
      <c r="B61" s="62" t="s">
        <v>218</v>
      </c>
      <c r="C61" s="63" t="s">
        <v>219</v>
      </c>
      <c r="D61" s="28" t="s">
        <v>103</v>
      </c>
      <c r="E61" s="64"/>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c r="BZ61" s="66"/>
      <c r="CA61" s="66"/>
      <c r="CB61" s="66"/>
      <c r="CC61" s="66"/>
      <c r="CD61" s="66"/>
      <c r="CE61" s="66"/>
      <c r="CF61" s="66"/>
      <c r="CG61" s="66"/>
      <c r="CH61" s="66"/>
      <c r="CI61" s="66"/>
      <c r="CJ61" s="66"/>
      <c r="CK61" s="66"/>
      <c r="CL61" s="66"/>
      <c r="CM61" s="66"/>
      <c r="CN61" s="66"/>
      <c r="CO61" s="66"/>
      <c r="CP61" s="66"/>
      <c r="CQ61" s="66"/>
      <c r="CR61" s="66"/>
      <c r="CS61" s="66"/>
      <c r="CT61" s="66"/>
      <c r="CU61" s="66"/>
      <c r="CV61" s="66"/>
      <c r="CW61" s="66"/>
      <c r="CX61" s="66"/>
      <c r="CY61" s="66"/>
      <c r="CZ61" s="66"/>
      <c r="DA61" s="66"/>
      <c r="DB61" s="66"/>
      <c r="DC61" s="66"/>
      <c r="DD61" s="66"/>
      <c r="DE61" s="66"/>
      <c r="DF61" s="66"/>
      <c r="DG61" s="66"/>
      <c r="DH61" s="66"/>
      <c r="DI61" s="66"/>
      <c r="DJ61" s="66"/>
      <c r="DK61" s="66"/>
      <c r="DL61" s="66"/>
      <c r="DM61" s="66"/>
      <c r="DN61" s="66"/>
      <c r="DO61" s="66"/>
      <c r="DP61" s="66"/>
      <c r="DQ61" s="66"/>
      <c r="DR61" s="66"/>
      <c r="DS61" s="66"/>
      <c r="DT61" s="66"/>
      <c r="DU61" s="66"/>
      <c r="DV61" s="66"/>
      <c r="DW61" s="66"/>
      <c r="DX61" s="66"/>
      <c r="DY61" s="66"/>
      <c r="DZ61" s="66"/>
      <c r="EA61" s="66"/>
      <c r="EB61" s="66"/>
      <c r="EC61" s="66"/>
      <c r="ED61" s="66"/>
      <c r="EE61" s="66"/>
      <c r="EF61" s="66"/>
      <c r="EG61" s="66"/>
      <c r="EH61" s="66"/>
      <c r="EI61" s="66"/>
      <c r="EJ61" s="66"/>
      <c r="EK61" s="66"/>
      <c r="EL61" s="66"/>
      <c r="EM61" s="66"/>
      <c r="EN61" s="66"/>
      <c r="EO61" s="66"/>
      <c r="EP61" s="66"/>
      <c r="EQ61" s="66"/>
      <c r="ER61" s="66"/>
      <c r="ES61" s="66"/>
      <c r="ET61" s="66"/>
      <c r="EU61" s="66"/>
      <c r="EV61" s="66"/>
      <c r="EW61" s="66"/>
      <c r="EX61" s="66"/>
      <c r="EY61" s="66"/>
      <c r="EZ61" s="66"/>
      <c r="FA61" s="66"/>
      <c r="FB61" s="66"/>
      <c r="FC61" s="66"/>
      <c r="FD61" s="66"/>
      <c r="FE61" s="66"/>
      <c r="FF61" s="66"/>
      <c r="FG61" s="66"/>
      <c r="FH61" s="66"/>
      <c r="FI61" s="66"/>
      <c r="FJ61" s="66"/>
      <c r="FK61" s="66"/>
      <c r="FL61" s="66"/>
      <c r="FM61" s="66"/>
      <c r="FN61" s="66"/>
      <c r="FO61" s="66"/>
      <c r="FP61" s="66"/>
      <c r="FQ61" s="66"/>
      <c r="FR61" s="66"/>
      <c r="FS61" s="66"/>
      <c r="FT61" s="66"/>
      <c r="FU61" s="66"/>
      <c r="FV61" s="66"/>
      <c r="FW61" s="66"/>
      <c r="FX61" s="66"/>
      <c r="FY61" s="66"/>
      <c r="FZ61" s="66"/>
      <c r="GA61" s="66"/>
      <c r="GB61" s="66"/>
      <c r="GC61" s="66"/>
      <c r="GD61" s="66"/>
      <c r="GE61" s="66"/>
      <c r="GF61" s="66"/>
      <c r="GG61" s="66"/>
      <c r="GH61" s="66"/>
      <c r="GI61" s="66"/>
      <c r="GJ61" s="66"/>
      <c r="GK61" s="66"/>
      <c r="GL61" s="66"/>
      <c r="GM61" s="66"/>
      <c r="GN61" s="66"/>
      <c r="GO61" s="66"/>
      <c r="GP61" s="66"/>
      <c r="GQ61" s="66"/>
      <c r="GR61" s="66"/>
      <c r="GS61" s="66"/>
      <c r="GT61" s="66"/>
      <c r="GU61" s="66"/>
      <c r="GV61" s="66"/>
      <c r="GW61" s="66"/>
      <c r="GX61" s="66"/>
      <c r="GY61" s="66"/>
      <c r="GZ61" s="66"/>
      <c r="HA61" s="66"/>
      <c r="HB61" s="66"/>
      <c r="HC61" s="66"/>
      <c r="HD61" s="66"/>
      <c r="HE61" s="66"/>
      <c r="HF61" s="66"/>
      <c r="HG61" s="66"/>
      <c r="HH61" s="66"/>
      <c r="HI61" s="66"/>
      <c r="HJ61" s="66"/>
      <c r="HK61" s="66"/>
      <c r="HL61" s="66"/>
      <c r="HM61" s="66"/>
      <c r="HN61" s="66"/>
      <c r="HO61" s="66"/>
      <c r="HP61" s="66"/>
      <c r="HQ61" s="66"/>
      <c r="HR61" s="66"/>
      <c r="HS61" s="66"/>
      <c r="HT61" s="66"/>
      <c r="HU61" s="66"/>
      <c r="HV61" s="66"/>
      <c r="HW61" s="66"/>
      <c r="HX61" s="66"/>
      <c r="HY61" s="66"/>
      <c r="HZ61" s="66"/>
      <c r="IA61" s="66"/>
      <c r="IB61" s="66"/>
      <c r="IC61" s="66"/>
      <c r="ID61" s="66"/>
      <c r="IE61" s="66"/>
      <c r="IF61" s="66"/>
      <c r="IG61" s="66"/>
      <c r="IH61" s="66"/>
      <c r="II61" s="66"/>
      <c r="IJ61" s="66"/>
      <c r="IK61" s="66"/>
      <c r="IL61" s="66"/>
      <c r="IM61" s="66"/>
      <c r="IN61" s="66"/>
      <c r="IO61" s="66"/>
      <c r="IP61" s="66"/>
      <c r="IQ61" s="66"/>
      <c r="IR61" s="66"/>
    </row>
    <row r="62" customFormat="false" ht="22.5" hidden="false" customHeight="true" outlineLevel="0" collapsed="false">
      <c r="A62" s="66"/>
      <c r="B62" s="62" t="s">
        <v>220</v>
      </c>
      <c r="C62" s="63" t="s">
        <v>221</v>
      </c>
      <c r="D62" s="28" t="s">
        <v>103</v>
      </c>
      <c r="E62" s="64"/>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6"/>
      <c r="BZ62" s="66"/>
      <c r="CA62" s="66"/>
      <c r="CB62" s="66"/>
      <c r="CC62" s="66"/>
      <c r="CD62" s="66"/>
      <c r="CE62" s="66"/>
      <c r="CF62" s="66"/>
      <c r="CG62" s="66"/>
      <c r="CH62" s="66"/>
      <c r="CI62" s="66"/>
      <c r="CJ62" s="66"/>
      <c r="CK62" s="66"/>
      <c r="CL62" s="66"/>
      <c r="CM62" s="66"/>
      <c r="CN62" s="66"/>
      <c r="CO62" s="66"/>
      <c r="CP62" s="66"/>
      <c r="CQ62" s="66"/>
      <c r="CR62" s="66"/>
      <c r="CS62" s="66"/>
      <c r="CT62" s="66"/>
      <c r="CU62" s="66"/>
      <c r="CV62" s="66"/>
      <c r="CW62" s="66"/>
      <c r="CX62" s="66"/>
      <c r="CY62" s="66"/>
      <c r="CZ62" s="66"/>
      <c r="DA62" s="66"/>
      <c r="DB62" s="66"/>
      <c r="DC62" s="66"/>
      <c r="DD62" s="66"/>
      <c r="DE62" s="66"/>
      <c r="DF62" s="66"/>
      <c r="DG62" s="66"/>
      <c r="DH62" s="66"/>
      <c r="DI62" s="66"/>
      <c r="DJ62" s="66"/>
      <c r="DK62" s="66"/>
      <c r="DL62" s="66"/>
      <c r="DM62" s="66"/>
      <c r="DN62" s="66"/>
      <c r="DO62" s="66"/>
      <c r="DP62" s="66"/>
      <c r="DQ62" s="66"/>
      <c r="DR62" s="66"/>
      <c r="DS62" s="66"/>
      <c r="DT62" s="66"/>
      <c r="DU62" s="66"/>
      <c r="DV62" s="66"/>
      <c r="DW62" s="66"/>
      <c r="DX62" s="66"/>
      <c r="DY62" s="66"/>
      <c r="DZ62" s="66"/>
      <c r="EA62" s="66"/>
      <c r="EB62" s="66"/>
      <c r="EC62" s="66"/>
      <c r="ED62" s="66"/>
      <c r="EE62" s="66"/>
      <c r="EF62" s="66"/>
      <c r="EG62" s="66"/>
      <c r="EH62" s="66"/>
      <c r="EI62" s="66"/>
      <c r="EJ62" s="66"/>
      <c r="EK62" s="66"/>
      <c r="EL62" s="66"/>
      <c r="EM62" s="66"/>
      <c r="EN62" s="66"/>
      <c r="EO62" s="66"/>
      <c r="EP62" s="66"/>
      <c r="EQ62" s="66"/>
      <c r="ER62" s="66"/>
      <c r="ES62" s="66"/>
      <c r="ET62" s="66"/>
      <c r="EU62" s="66"/>
      <c r="EV62" s="66"/>
      <c r="EW62" s="66"/>
      <c r="EX62" s="66"/>
      <c r="EY62" s="66"/>
      <c r="EZ62" s="66"/>
      <c r="FA62" s="66"/>
      <c r="FB62" s="66"/>
      <c r="FC62" s="66"/>
      <c r="FD62" s="66"/>
      <c r="FE62" s="66"/>
      <c r="FF62" s="66"/>
      <c r="FG62" s="66"/>
      <c r="FH62" s="66"/>
      <c r="FI62" s="66"/>
      <c r="FJ62" s="66"/>
      <c r="FK62" s="66"/>
      <c r="FL62" s="66"/>
      <c r="FM62" s="66"/>
      <c r="FN62" s="66"/>
      <c r="FO62" s="66"/>
      <c r="FP62" s="66"/>
      <c r="FQ62" s="66"/>
      <c r="FR62" s="66"/>
      <c r="FS62" s="66"/>
      <c r="FT62" s="66"/>
      <c r="FU62" s="66"/>
      <c r="FV62" s="66"/>
      <c r="FW62" s="66"/>
      <c r="FX62" s="66"/>
      <c r="FY62" s="66"/>
      <c r="FZ62" s="66"/>
      <c r="GA62" s="66"/>
      <c r="GB62" s="66"/>
      <c r="GC62" s="66"/>
      <c r="GD62" s="66"/>
      <c r="GE62" s="66"/>
      <c r="GF62" s="66"/>
      <c r="GG62" s="66"/>
      <c r="GH62" s="66"/>
      <c r="GI62" s="66"/>
      <c r="GJ62" s="66"/>
      <c r="GK62" s="66"/>
      <c r="GL62" s="66"/>
      <c r="GM62" s="66"/>
      <c r="GN62" s="66"/>
      <c r="GO62" s="66"/>
      <c r="GP62" s="66"/>
      <c r="GQ62" s="66"/>
      <c r="GR62" s="66"/>
      <c r="GS62" s="66"/>
      <c r="GT62" s="66"/>
      <c r="GU62" s="66"/>
      <c r="GV62" s="66"/>
      <c r="GW62" s="66"/>
      <c r="GX62" s="66"/>
      <c r="GY62" s="66"/>
      <c r="GZ62" s="66"/>
      <c r="HA62" s="66"/>
      <c r="HB62" s="66"/>
      <c r="HC62" s="66"/>
      <c r="HD62" s="66"/>
      <c r="HE62" s="66"/>
      <c r="HF62" s="66"/>
      <c r="HG62" s="66"/>
      <c r="HH62" s="66"/>
      <c r="HI62" s="66"/>
      <c r="HJ62" s="66"/>
      <c r="HK62" s="66"/>
      <c r="HL62" s="66"/>
      <c r="HM62" s="66"/>
      <c r="HN62" s="66"/>
      <c r="HO62" s="66"/>
      <c r="HP62" s="66"/>
      <c r="HQ62" s="66"/>
      <c r="HR62" s="66"/>
      <c r="HS62" s="66"/>
      <c r="HT62" s="66"/>
      <c r="HU62" s="66"/>
      <c r="HV62" s="66"/>
      <c r="HW62" s="66"/>
      <c r="HX62" s="66"/>
      <c r="HY62" s="66"/>
      <c r="HZ62" s="66"/>
      <c r="IA62" s="66"/>
      <c r="IB62" s="66"/>
      <c r="IC62" s="66"/>
      <c r="ID62" s="66"/>
      <c r="IE62" s="66"/>
      <c r="IF62" s="66"/>
      <c r="IG62" s="66"/>
      <c r="IH62" s="66"/>
      <c r="II62" s="66"/>
      <c r="IJ62" s="66"/>
      <c r="IK62" s="66"/>
      <c r="IL62" s="66"/>
      <c r="IM62" s="66"/>
      <c r="IN62" s="66"/>
      <c r="IO62" s="66"/>
      <c r="IP62" s="66"/>
      <c r="IQ62" s="66"/>
      <c r="IR62" s="66"/>
    </row>
    <row r="63" customFormat="false" ht="22.5" hidden="false" customHeight="true" outlineLevel="0" collapsed="false">
      <c r="A63" s="66"/>
      <c r="B63" s="62" t="s">
        <v>222</v>
      </c>
      <c r="C63" s="63" t="s">
        <v>223</v>
      </c>
      <c r="D63" s="28" t="s">
        <v>103</v>
      </c>
      <c r="E63" s="64"/>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c r="DP63" s="66"/>
      <c r="DQ63" s="66"/>
      <c r="DR63" s="66"/>
      <c r="DS63" s="66"/>
      <c r="DT63" s="66"/>
      <c r="DU63" s="66"/>
      <c r="DV63" s="66"/>
      <c r="DW63" s="66"/>
      <c r="DX63" s="66"/>
      <c r="DY63" s="66"/>
      <c r="DZ63" s="66"/>
      <c r="EA63" s="66"/>
      <c r="EB63" s="66"/>
      <c r="EC63" s="66"/>
      <c r="ED63" s="66"/>
      <c r="EE63" s="66"/>
      <c r="EF63" s="66"/>
      <c r="EG63" s="66"/>
      <c r="EH63" s="66"/>
      <c r="EI63" s="66"/>
      <c r="EJ63" s="66"/>
      <c r="EK63" s="66"/>
      <c r="EL63" s="66"/>
      <c r="EM63" s="66"/>
      <c r="EN63" s="66"/>
      <c r="EO63" s="66"/>
      <c r="EP63" s="66"/>
      <c r="EQ63" s="66"/>
      <c r="ER63" s="66"/>
      <c r="ES63" s="66"/>
      <c r="ET63" s="66"/>
      <c r="EU63" s="66"/>
      <c r="EV63" s="66"/>
      <c r="EW63" s="66"/>
      <c r="EX63" s="66"/>
      <c r="EY63" s="66"/>
      <c r="EZ63" s="66"/>
      <c r="FA63" s="66"/>
      <c r="FB63" s="66"/>
      <c r="FC63" s="66"/>
      <c r="FD63" s="66"/>
      <c r="FE63" s="66"/>
      <c r="FF63" s="66"/>
      <c r="FG63" s="66"/>
      <c r="FH63" s="66"/>
      <c r="FI63" s="66"/>
      <c r="FJ63" s="66"/>
      <c r="FK63" s="66"/>
      <c r="FL63" s="66"/>
      <c r="FM63" s="66"/>
      <c r="FN63" s="66"/>
      <c r="FO63" s="66"/>
      <c r="FP63" s="66"/>
      <c r="FQ63" s="66"/>
      <c r="FR63" s="66"/>
      <c r="FS63" s="66"/>
      <c r="FT63" s="66"/>
      <c r="FU63" s="66"/>
      <c r="FV63" s="66"/>
      <c r="FW63" s="66"/>
      <c r="FX63" s="66"/>
      <c r="FY63" s="66"/>
      <c r="FZ63" s="66"/>
      <c r="GA63" s="66"/>
      <c r="GB63" s="66"/>
      <c r="GC63" s="66"/>
      <c r="GD63" s="66"/>
      <c r="GE63" s="66"/>
      <c r="GF63" s="66"/>
      <c r="GG63" s="66"/>
      <c r="GH63" s="66"/>
      <c r="GI63" s="66"/>
      <c r="GJ63" s="66"/>
      <c r="GK63" s="66"/>
      <c r="GL63" s="66"/>
      <c r="GM63" s="66"/>
      <c r="GN63" s="66"/>
      <c r="GO63" s="66"/>
      <c r="GP63" s="66"/>
      <c r="GQ63" s="66"/>
      <c r="GR63" s="66"/>
      <c r="GS63" s="66"/>
      <c r="GT63" s="66"/>
      <c r="GU63" s="66"/>
      <c r="GV63" s="66"/>
      <c r="GW63" s="66"/>
      <c r="GX63" s="66"/>
      <c r="GY63" s="66"/>
      <c r="GZ63" s="66"/>
      <c r="HA63" s="66"/>
      <c r="HB63" s="66"/>
      <c r="HC63" s="66"/>
      <c r="HD63" s="66"/>
      <c r="HE63" s="66"/>
      <c r="HF63" s="66"/>
      <c r="HG63" s="66"/>
      <c r="HH63" s="66"/>
      <c r="HI63" s="66"/>
      <c r="HJ63" s="66"/>
      <c r="HK63" s="66"/>
      <c r="HL63" s="66"/>
      <c r="HM63" s="66"/>
      <c r="HN63" s="66"/>
      <c r="HO63" s="66"/>
      <c r="HP63" s="66"/>
      <c r="HQ63" s="66"/>
      <c r="HR63" s="66"/>
      <c r="HS63" s="66"/>
      <c r="HT63" s="66"/>
      <c r="HU63" s="66"/>
      <c r="HV63" s="66"/>
      <c r="HW63" s="66"/>
      <c r="HX63" s="66"/>
      <c r="HY63" s="66"/>
      <c r="HZ63" s="66"/>
      <c r="IA63" s="66"/>
      <c r="IB63" s="66"/>
      <c r="IC63" s="66"/>
      <c r="ID63" s="66"/>
      <c r="IE63" s="66"/>
      <c r="IF63" s="66"/>
      <c r="IG63" s="66"/>
      <c r="IH63" s="66"/>
      <c r="II63" s="66"/>
      <c r="IJ63" s="66"/>
      <c r="IK63" s="66"/>
      <c r="IL63" s="66"/>
      <c r="IM63" s="66"/>
      <c r="IN63" s="66"/>
      <c r="IO63" s="66"/>
      <c r="IP63" s="66"/>
      <c r="IQ63" s="66"/>
      <c r="IR63" s="66"/>
    </row>
    <row r="64" customFormat="false" ht="22.5" hidden="false" customHeight="true" outlineLevel="0" collapsed="false">
      <c r="A64" s="66"/>
      <c r="B64" s="62" t="s">
        <v>224</v>
      </c>
      <c r="C64" s="63" t="s">
        <v>225</v>
      </c>
      <c r="D64" s="28" t="s">
        <v>103</v>
      </c>
      <c r="E64" s="64"/>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6"/>
      <c r="CD64" s="66"/>
      <c r="CE64" s="66"/>
      <c r="CF64" s="66"/>
      <c r="CG64" s="66"/>
      <c r="CH64" s="66"/>
      <c r="CI64" s="66"/>
      <c r="CJ64" s="66"/>
      <c r="CK64" s="66"/>
      <c r="CL64" s="66"/>
      <c r="CM64" s="66"/>
      <c r="CN64" s="66"/>
      <c r="CO64" s="66"/>
      <c r="CP64" s="66"/>
      <c r="CQ64" s="66"/>
      <c r="CR64" s="66"/>
      <c r="CS64" s="66"/>
      <c r="CT64" s="66"/>
      <c r="CU64" s="66"/>
      <c r="CV64" s="66"/>
      <c r="CW64" s="66"/>
      <c r="CX64" s="66"/>
      <c r="CY64" s="66"/>
      <c r="CZ64" s="66"/>
      <c r="DA64" s="66"/>
      <c r="DB64" s="66"/>
      <c r="DC64" s="66"/>
      <c r="DD64" s="66"/>
      <c r="DE64" s="66"/>
      <c r="DF64" s="66"/>
      <c r="DG64" s="66"/>
      <c r="DH64" s="66"/>
      <c r="DI64" s="66"/>
      <c r="DJ64" s="66"/>
      <c r="DK64" s="66"/>
      <c r="DL64" s="66"/>
      <c r="DM64" s="66"/>
      <c r="DN64" s="66"/>
      <c r="DO64" s="66"/>
      <c r="DP64" s="66"/>
      <c r="DQ64" s="66"/>
      <c r="DR64" s="66"/>
      <c r="DS64" s="66"/>
      <c r="DT64" s="66"/>
      <c r="DU64" s="66"/>
      <c r="DV64" s="66"/>
      <c r="DW64" s="66"/>
      <c r="DX64" s="66"/>
      <c r="DY64" s="66"/>
      <c r="DZ64" s="66"/>
      <c r="EA64" s="66"/>
      <c r="EB64" s="66"/>
      <c r="EC64" s="66"/>
      <c r="ED64" s="66"/>
      <c r="EE64" s="66"/>
      <c r="EF64" s="66"/>
      <c r="EG64" s="66"/>
      <c r="EH64" s="66"/>
      <c r="EI64" s="66"/>
      <c r="EJ64" s="66"/>
      <c r="EK64" s="66"/>
      <c r="EL64" s="66"/>
      <c r="EM64" s="66"/>
      <c r="EN64" s="66"/>
      <c r="EO64" s="66"/>
      <c r="EP64" s="66"/>
      <c r="EQ64" s="66"/>
      <c r="ER64" s="66"/>
      <c r="ES64" s="66"/>
      <c r="ET64" s="66"/>
      <c r="EU64" s="66"/>
      <c r="EV64" s="66"/>
      <c r="EW64" s="66"/>
      <c r="EX64" s="66"/>
      <c r="EY64" s="66"/>
      <c r="EZ64" s="66"/>
      <c r="FA64" s="66"/>
      <c r="FB64" s="66"/>
      <c r="FC64" s="66"/>
      <c r="FD64" s="66"/>
      <c r="FE64" s="66"/>
      <c r="FF64" s="66"/>
      <c r="FG64" s="66"/>
      <c r="FH64" s="66"/>
      <c r="FI64" s="66"/>
      <c r="FJ64" s="66"/>
      <c r="FK64" s="66"/>
      <c r="FL64" s="66"/>
      <c r="FM64" s="66"/>
      <c r="FN64" s="66"/>
      <c r="FO64" s="66"/>
      <c r="FP64" s="66"/>
      <c r="FQ64" s="66"/>
      <c r="FR64" s="66"/>
      <c r="FS64" s="66"/>
      <c r="FT64" s="66"/>
      <c r="FU64" s="66"/>
      <c r="FV64" s="66"/>
      <c r="FW64" s="66"/>
      <c r="FX64" s="66"/>
      <c r="FY64" s="66"/>
      <c r="FZ64" s="66"/>
      <c r="GA64" s="66"/>
      <c r="GB64" s="66"/>
      <c r="GC64" s="66"/>
      <c r="GD64" s="66"/>
      <c r="GE64" s="66"/>
      <c r="GF64" s="66"/>
      <c r="GG64" s="66"/>
      <c r="GH64" s="66"/>
      <c r="GI64" s="66"/>
      <c r="GJ64" s="66"/>
      <c r="GK64" s="66"/>
      <c r="GL64" s="66"/>
      <c r="GM64" s="66"/>
      <c r="GN64" s="66"/>
      <c r="GO64" s="66"/>
      <c r="GP64" s="66"/>
      <c r="GQ64" s="66"/>
      <c r="GR64" s="66"/>
      <c r="GS64" s="66"/>
      <c r="GT64" s="66"/>
      <c r="GU64" s="66"/>
      <c r="GV64" s="66"/>
      <c r="GW64" s="66"/>
      <c r="GX64" s="66"/>
      <c r="GY64" s="66"/>
      <c r="GZ64" s="66"/>
      <c r="HA64" s="66"/>
      <c r="HB64" s="66"/>
      <c r="HC64" s="66"/>
      <c r="HD64" s="66"/>
      <c r="HE64" s="66"/>
      <c r="HF64" s="66"/>
      <c r="HG64" s="66"/>
      <c r="HH64" s="66"/>
      <c r="HI64" s="66"/>
      <c r="HJ64" s="66"/>
      <c r="HK64" s="66"/>
      <c r="HL64" s="66"/>
      <c r="HM64" s="66"/>
      <c r="HN64" s="66"/>
      <c r="HO64" s="66"/>
      <c r="HP64" s="66"/>
      <c r="HQ64" s="66"/>
      <c r="HR64" s="66"/>
      <c r="HS64" s="66"/>
      <c r="HT64" s="66"/>
      <c r="HU64" s="66"/>
      <c r="HV64" s="66"/>
      <c r="HW64" s="66"/>
      <c r="HX64" s="66"/>
      <c r="HY64" s="66"/>
      <c r="HZ64" s="66"/>
      <c r="IA64" s="66"/>
      <c r="IB64" s="66"/>
      <c r="IC64" s="66"/>
      <c r="ID64" s="66"/>
      <c r="IE64" s="66"/>
      <c r="IF64" s="66"/>
      <c r="IG64" s="66"/>
      <c r="IH64" s="66"/>
      <c r="II64" s="66"/>
      <c r="IJ64" s="66"/>
      <c r="IK64" s="66"/>
      <c r="IL64" s="66"/>
      <c r="IM64" s="66"/>
      <c r="IN64" s="66"/>
      <c r="IO64" s="66"/>
      <c r="IP64" s="66"/>
      <c r="IQ64" s="66"/>
      <c r="IR64" s="66"/>
    </row>
    <row r="65" customFormat="false" ht="39" hidden="false" customHeight="true" outlineLevel="0" collapsed="false">
      <c r="A65" s="15"/>
      <c r="B65" s="16" t="s">
        <v>226</v>
      </c>
      <c r="C65" s="61" t="s">
        <v>227</v>
      </c>
      <c r="D65" s="61"/>
      <c r="E65" s="61"/>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5"/>
      <c r="EY65" s="15"/>
      <c r="EZ65" s="15"/>
      <c r="FA65" s="15"/>
      <c r="FB65" s="15"/>
      <c r="FC65" s="15"/>
      <c r="FD65" s="15"/>
      <c r="FE65" s="15"/>
      <c r="FF65" s="15"/>
      <c r="FG65" s="15"/>
      <c r="FH65" s="15"/>
      <c r="FI65" s="15"/>
      <c r="FJ65" s="15"/>
      <c r="FK65" s="15"/>
      <c r="FL65" s="15"/>
      <c r="FM65" s="15"/>
      <c r="FN65" s="15"/>
      <c r="FO65" s="15"/>
      <c r="FP65" s="15"/>
      <c r="FQ65" s="15"/>
      <c r="FR65" s="15"/>
      <c r="FS65" s="15"/>
      <c r="FT65" s="15"/>
      <c r="FU65" s="15"/>
      <c r="FV65" s="15"/>
      <c r="FW65" s="15"/>
      <c r="FX65" s="15"/>
      <c r="FY65" s="15"/>
      <c r="FZ65" s="15"/>
      <c r="GA65" s="15"/>
      <c r="GB65" s="15"/>
      <c r="GC65" s="15"/>
      <c r="GD65" s="15"/>
      <c r="GE65" s="15"/>
      <c r="GF65" s="15"/>
      <c r="GG65" s="15"/>
      <c r="GH65" s="15"/>
      <c r="GI65" s="15"/>
      <c r="GJ65" s="15"/>
      <c r="GK65" s="15"/>
      <c r="GL65" s="15"/>
      <c r="GM65" s="15"/>
      <c r="GN65" s="15"/>
      <c r="GO65" s="15"/>
      <c r="GP65" s="15"/>
      <c r="GQ65" s="15"/>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15"/>
      <c r="HQ65" s="15"/>
      <c r="HR65" s="15"/>
      <c r="HS65" s="15"/>
      <c r="HT65" s="15"/>
      <c r="HU65" s="15"/>
      <c r="HV65" s="15"/>
      <c r="HW65" s="15"/>
      <c r="HX65" s="15"/>
      <c r="HY65" s="15"/>
      <c r="HZ65" s="15"/>
      <c r="IA65" s="15"/>
      <c r="IB65" s="15"/>
      <c r="IC65" s="15"/>
      <c r="ID65" s="15"/>
      <c r="IE65" s="15"/>
      <c r="IF65" s="15"/>
      <c r="IG65" s="15"/>
      <c r="IH65" s="15"/>
      <c r="II65" s="15"/>
      <c r="IJ65" s="15"/>
      <c r="IK65" s="15"/>
      <c r="IL65" s="15"/>
      <c r="IM65" s="15"/>
      <c r="IN65" s="15"/>
      <c r="IO65" s="15"/>
      <c r="IP65" s="15"/>
      <c r="IQ65" s="15"/>
      <c r="IR65" s="15"/>
    </row>
    <row r="66" customFormat="false" ht="22.5" hidden="false" customHeight="true" outlineLevel="0" collapsed="false">
      <c r="A66" s="66"/>
      <c r="B66" s="62" t="s">
        <v>228</v>
      </c>
      <c r="C66" s="63" t="s">
        <v>229</v>
      </c>
      <c r="D66" s="28" t="s">
        <v>103</v>
      </c>
      <c r="E66" s="64"/>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66"/>
      <c r="CK66" s="66"/>
      <c r="CL66" s="66"/>
      <c r="CM66" s="66"/>
      <c r="CN66" s="66"/>
      <c r="CO66" s="66"/>
      <c r="CP66" s="66"/>
      <c r="CQ66" s="66"/>
      <c r="CR66" s="66"/>
      <c r="CS66" s="66"/>
      <c r="CT66" s="66"/>
      <c r="CU66" s="66"/>
      <c r="CV66" s="66"/>
      <c r="CW66" s="66"/>
      <c r="CX66" s="66"/>
      <c r="CY66" s="66"/>
      <c r="CZ66" s="66"/>
      <c r="DA66" s="66"/>
      <c r="DB66" s="66"/>
      <c r="DC66" s="66"/>
      <c r="DD66" s="66"/>
      <c r="DE66" s="66"/>
      <c r="DF66" s="66"/>
      <c r="DG66" s="66"/>
      <c r="DH66" s="66"/>
      <c r="DI66" s="66"/>
      <c r="DJ66" s="66"/>
      <c r="DK66" s="66"/>
      <c r="DL66" s="66"/>
      <c r="DM66" s="66"/>
      <c r="DN66" s="66"/>
      <c r="DO66" s="66"/>
      <c r="DP66" s="66"/>
      <c r="DQ66" s="66"/>
      <c r="DR66" s="66"/>
      <c r="DS66" s="66"/>
      <c r="DT66" s="66"/>
      <c r="DU66" s="66"/>
      <c r="DV66" s="66"/>
      <c r="DW66" s="66"/>
      <c r="DX66" s="66"/>
      <c r="DY66" s="66"/>
      <c r="DZ66" s="66"/>
      <c r="EA66" s="66"/>
      <c r="EB66" s="66"/>
      <c r="EC66" s="66"/>
      <c r="ED66" s="66"/>
      <c r="EE66" s="66"/>
      <c r="EF66" s="66"/>
      <c r="EG66" s="66"/>
      <c r="EH66" s="66"/>
      <c r="EI66" s="66"/>
      <c r="EJ66" s="66"/>
      <c r="EK66" s="66"/>
      <c r="EL66" s="66"/>
      <c r="EM66" s="66"/>
      <c r="EN66" s="66"/>
      <c r="EO66" s="66"/>
      <c r="EP66" s="66"/>
      <c r="EQ66" s="66"/>
      <c r="ER66" s="66"/>
      <c r="ES66" s="66"/>
      <c r="ET66" s="66"/>
      <c r="EU66" s="66"/>
      <c r="EV66" s="66"/>
      <c r="EW66" s="66"/>
      <c r="EX66" s="66"/>
      <c r="EY66" s="66"/>
      <c r="EZ66" s="66"/>
      <c r="FA66" s="66"/>
      <c r="FB66" s="66"/>
      <c r="FC66" s="66"/>
      <c r="FD66" s="66"/>
      <c r="FE66" s="66"/>
      <c r="FF66" s="66"/>
      <c r="FG66" s="66"/>
      <c r="FH66" s="66"/>
      <c r="FI66" s="66"/>
      <c r="FJ66" s="66"/>
      <c r="FK66" s="66"/>
      <c r="FL66" s="66"/>
      <c r="FM66" s="66"/>
      <c r="FN66" s="66"/>
      <c r="FO66" s="66"/>
      <c r="FP66" s="66"/>
      <c r="FQ66" s="66"/>
      <c r="FR66" s="66"/>
      <c r="FS66" s="66"/>
      <c r="FT66" s="66"/>
      <c r="FU66" s="66"/>
      <c r="FV66" s="66"/>
      <c r="FW66" s="66"/>
      <c r="FX66" s="66"/>
      <c r="FY66" s="66"/>
      <c r="FZ66" s="66"/>
      <c r="GA66" s="66"/>
      <c r="GB66" s="66"/>
      <c r="GC66" s="66"/>
      <c r="GD66" s="66"/>
      <c r="GE66" s="66"/>
      <c r="GF66" s="66"/>
      <c r="GG66" s="66"/>
      <c r="GH66" s="66"/>
      <c r="GI66" s="66"/>
      <c r="GJ66" s="66"/>
      <c r="GK66" s="66"/>
      <c r="GL66" s="66"/>
      <c r="GM66" s="66"/>
      <c r="GN66" s="66"/>
      <c r="GO66" s="66"/>
      <c r="GP66" s="66"/>
      <c r="GQ66" s="66"/>
      <c r="GR66" s="66"/>
      <c r="GS66" s="66"/>
      <c r="GT66" s="66"/>
      <c r="GU66" s="66"/>
      <c r="GV66" s="66"/>
      <c r="GW66" s="66"/>
      <c r="GX66" s="66"/>
      <c r="GY66" s="66"/>
      <c r="GZ66" s="66"/>
      <c r="HA66" s="66"/>
      <c r="HB66" s="66"/>
      <c r="HC66" s="66"/>
      <c r="HD66" s="66"/>
      <c r="HE66" s="66"/>
      <c r="HF66" s="66"/>
      <c r="HG66" s="66"/>
      <c r="HH66" s="66"/>
      <c r="HI66" s="66"/>
      <c r="HJ66" s="66"/>
      <c r="HK66" s="66"/>
      <c r="HL66" s="66"/>
      <c r="HM66" s="66"/>
      <c r="HN66" s="66"/>
      <c r="HO66" s="66"/>
      <c r="HP66" s="66"/>
      <c r="HQ66" s="66"/>
      <c r="HR66" s="66"/>
      <c r="HS66" s="66"/>
      <c r="HT66" s="66"/>
      <c r="HU66" s="66"/>
      <c r="HV66" s="66"/>
      <c r="HW66" s="66"/>
      <c r="HX66" s="66"/>
      <c r="HY66" s="66"/>
      <c r="HZ66" s="66"/>
      <c r="IA66" s="66"/>
      <c r="IB66" s="66"/>
      <c r="IC66" s="66"/>
      <c r="ID66" s="66"/>
      <c r="IE66" s="66"/>
      <c r="IF66" s="66"/>
      <c r="IG66" s="66"/>
      <c r="IH66" s="66"/>
      <c r="II66" s="66"/>
      <c r="IJ66" s="66"/>
      <c r="IK66" s="66"/>
      <c r="IL66" s="66"/>
      <c r="IM66" s="66"/>
      <c r="IN66" s="66"/>
      <c r="IO66" s="66"/>
      <c r="IP66" s="66"/>
      <c r="IQ66" s="66"/>
      <c r="IR66" s="66"/>
    </row>
    <row r="67" customFormat="false" ht="22.5" hidden="false" customHeight="true" outlineLevel="0" collapsed="false">
      <c r="A67" s="66"/>
      <c r="B67" s="62" t="s">
        <v>230</v>
      </c>
      <c r="C67" s="63" t="s">
        <v>231</v>
      </c>
      <c r="D67" s="28" t="s">
        <v>103</v>
      </c>
      <c r="E67" s="64"/>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66"/>
      <c r="CM67" s="66"/>
      <c r="CN67" s="66"/>
      <c r="CO67" s="66"/>
      <c r="CP67" s="66"/>
      <c r="CQ67" s="66"/>
      <c r="CR67" s="66"/>
      <c r="CS67" s="66"/>
      <c r="CT67" s="66"/>
      <c r="CU67" s="66"/>
      <c r="CV67" s="66"/>
      <c r="CW67" s="66"/>
      <c r="CX67" s="66"/>
      <c r="CY67" s="66"/>
      <c r="CZ67" s="66"/>
      <c r="DA67" s="66"/>
      <c r="DB67" s="66"/>
      <c r="DC67" s="66"/>
      <c r="DD67" s="66"/>
      <c r="DE67" s="66"/>
      <c r="DF67" s="66"/>
      <c r="DG67" s="66"/>
      <c r="DH67" s="66"/>
      <c r="DI67" s="66"/>
      <c r="DJ67" s="66"/>
      <c r="DK67" s="66"/>
      <c r="DL67" s="66"/>
      <c r="DM67" s="66"/>
      <c r="DN67" s="66"/>
      <c r="DO67" s="66"/>
      <c r="DP67" s="66"/>
      <c r="DQ67" s="66"/>
      <c r="DR67" s="66"/>
      <c r="DS67" s="66"/>
      <c r="DT67" s="66"/>
      <c r="DU67" s="66"/>
      <c r="DV67" s="66"/>
      <c r="DW67" s="66"/>
      <c r="DX67" s="66"/>
      <c r="DY67" s="66"/>
      <c r="DZ67" s="66"/>
      <c r="EA67" s="66"/>
      <c r="EB67" s="66"/>
      <c r="EC67" s="66"/>
      <c r="ED67" s="66"/>
      <c r="EE67" s="66"/>
      <c r="EF67" s="66"/>
      <c r="EG67" s="66"/>
      <c r="EH67" s="66"/>
      <c r="EI67" s="66"/>
      <c r="EJ67" s="66"/>
      <c r="EK67" s="66"/>
      <c r="EL67" s="66"/>
      <c r="EM67" s="66"/>
      <c r="EN67" s="66"/>
      <c r="EO67" s="66"/>
      <c r="EP67" s="66"/>
      <c r="EQ67" s="66"/>
      <c r="ER67" s="66"/>
      <c r="ES67" s="66"/>
      <c r="ET67" s="66"/>
      <c r="EU67" s="66"/>
      <c r="EV67" s="66"/>
      <c r="EW67" s="66"/>
      <c r="EX67" s="66"/>
      <c r="EY67" s="66"/>
      <c r="EZ67" s="66"/>
      <c r="FA67" s="66"/>
      <c r="FB67" s="66"/>
      <c r="FC67" s="66"/>
      <c r="FD67" s="66"/>
      <c r="FE67" s="66"/>
      <c r="FF67" s="66"/>
      <c r="FG67" s="66"/>
      <c r="FH67" s="66"/>
      <c r="FI67" s="66"/>
      <c r="FJ67" s="66"/>
      <c r="FK67" s="66"/>
      <c r="FL67" s="66"/>
      <c r="FM67" s="66"/>
      <c r="FN67" s="66"/>
      <c r="FO67" s="66"/>
      <c r="FP67" s="66"/>
      <c r="FQ67" s="66"/>
      <c r="FR67" s="66"/>
      <c r="FS67" s="66"/>
      <c r="FT67" s="66"/>
      <c r="FU67" s="66"/>
      <c r="FV67" s="66"/>
      <c r="FW67" s="66"/>
      <c r="FX67" s="66"/>
      <c r="FY67" s="66"/>
      <c r="FZ67" s="66"/>
      <c r="GA67" s="66"/>
      <c r="GB67" s="66"/>
      <c r="GC67" s="66"/>
      <c r="GD67" s="66"/>
      <c r="GE67" s="66"/>
      <c r="GF67" s="66"/>
      <c r="GG67" s="66"/>
      <c r="GH67" s="66"/>
      <c r="GI67" s="66"/>
      <c r="GJ67" s="66"/>
      <c r="GK67" s="66"/>
      <c r="GL67" s="66"/>
      <c r="GM67" s="66"/>
      <c r="GN67" s="66"/>
      <c r="GO67" s="66"/>
      <c r="GP67" s="66"/>
      <c r="GQ67" s="66"/>
      <c r="GR67" s="66"/>
      <c r="GS67" s="66"/>
      <c r="GT67" s="66"/>
      <c r="GU67" s="66"/>
      <c r="GV67" s="66"/>
      <c r="GW67" s="66"/>
      <c r="GX67" s="66"/>
      <c r="GY67" s="66"/>
      <c r="GZ67" s="66"/>
      <c r="HA67" s="66"/>
      <c r="HB67" s="66"/>
      <c r="HC67" s="66"/>
      <c r="HD67" s="66"/>
      <c r="HE67" s="66"/>
      <c r="HF67" s="66"/>
      <c r="HG67" s="66"/>
      <c r="HH67" s="66"/>
      <c r="HI67" s="66"/>
      <c r="HJ67" s="66"/>
      <c r="HK67" s="66"/>
      <c r="HL67" s="66"/>
      <c r="HM67" s="66"/>
      <c r="HN67" s="66"/>
      <c r="HO67" s="66"/>
      <c r="HP67" s="66"/>
      <c r="HQ67" s="66"/>
      <c r="HR67" s="66"/>
      <c r="HS67" s="66"/>
      <c r="HT67" s="66"/>
      <c r="HU67" s="66"/>
      <c r="HV67" s="66"/>
      <c r="HW67" s="66"/>
      <c r="HX67" s="66"/>
      <c r="HY67" s="66"/>
      <c r="HZ67" s="66"/>
      <c r="IA67" s="66"/>
      <c r="IB67" s="66"/>
      <c r="IC67" s="66"/>
      <c r="ID67" s="66"/>
      <c r="IE67" s="66"/>
      <c r="IF67" s="66"/>
      <c r="IG67" s="66"/>
      <c r="IH67" s="66"/>
      <c r="II67" s="66"/>
      <c r="IJ67" s="66"/>
      <c r="IK67" s="66"/>
      <c r="IL67" s="66"/>
      <c r="IM67" s="66"/>
      <c r="IN67" s="66"/>
      <c r="IO67" s="66"/>
      <c r="IP67" s="66"/>
      <c r="IQ67" s="66"/>
      <c r="IR67" s="66"/>
    </row>
    <row r="68" customFormat="false" ht="22.5" hidden="false" customHeight="true" outlineLevel="0" collapsed="false">
      <c r="A68" s="66"/>
      <c r="B68" s="62" t="s">
        <v>232</v>
      </c>
      <c r="C68" s="63" t="s">
        <v>233</v>
      </c>
      <c r="D68" s="28" t="s">
        <v>103</v>
      </c>
      <c r="E68" s="64"/>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66"/>
      <c r="CM68" s="66"/>
      <c r="CN68" s="66"/>
      <c r="CO68" s="66"/>
      <c r="CP68" s="66"/>
      <c r="CQ68" s="66"/>
      <c r="CR68" s="66"/>
      <c r="CS68" s="66"/>
      <c r="CT68" s="66"/>
      <c r="CU68" s="66"/>
      <c r="CV68" s="66"/>
      <c r="CW68" s="66"/>
      <c r="CX68" s="66"/>
      <c r="CY68" s="66"/>
      <c r="CZ68" s="66"/>
      <c r="DA68" s="66"/>
      <c r="DB68" s="66"/>
      <c r="DC68" s="66"/>
      <c r="DD68" s="66"/>
      <c r="DE68" s="66"/>
      <c r="DF68" s="66"/>
      <c r="DG68" s="66"/>
      <c r="DH68" s="66"/>
      <c r="DI68" s="66"/>
      <c r="DJ68" s="66"/>
      <c r="DK68" s="66"/>
      <c r="DL68" s="66"/>
      <c r="DM68" s="66"/>
      <c r="DN68" s="66"/>
      <c r="DO68" s="66"/>
      <c r="DP68" s="66"/>
      <c r="DQ68" s="66"/>
      <c r="DR68" s="66"/>
      <c r="DS68" s="66"/>
      <c r="DT68" s="66"/>
      <c r="DU68" s="66"/>
      <c r="DV68" s="66"/>
      <c r="DW68" s="66"/>
      <c r="DX68" s="66"/>
      <c r="DY68" s="66"/>
      <c r="DZ68" s="66"/>
      <c r="EA68" s="66"/>
      <c r="EB68" s="66"/>
      <c r="EC68" s="66"/>
      <c r="ED68" s="66"/>
      <c r="EE68" s="66"/>
      <c r="EF68" s="66"/>
      <c r="EG68" s="66"/>
      <c r="EH68" s="66"/>
      <c r="EI68" s="66"/>
      <c r="EJ68" s="66"/>
      <c r="EK68" s="66"/>
      <c r="EL68" s="66"/>
      <c r="EM68" s="66"/>
      <c r="EN68" s="66"/>
      <c r="EO68" s="66"/>
      <c r="EP68" s="66"/>
      <c r="EQ68" s="66"/>
      <c r="ER68" s="66"/>
      <c r="ES68" s="66"/>
      <c r="ET68" s="66"/>
      <c r="EU68" s="66"/>
      <c r="EV68" s="66"/>
      <c r="EW68" s="66"/>
      <c r="EX68" s="66"/>
      <c r="EY68" s="66"/>
      <c r="EZ68" s="66"/>
      <c r="FA68" s="66"/>
      <c r="FB68" s="66"/>
      <c r="FC68" s="66"/>
      <c r="FD68" s="66"/>
      <c r="FE68" s="66"/>
      <c r="FF68" s="66"/>
      <c r="FG68" s="66"/>
      <c r="FH68" s="66"/>
      <c r="FI68" s="66"/>
      <c r="FJ68" s="66"/>
      <c r="FK68" s="66"/>
      <c r="FL68" s="66"/>
      <c r="FM68" s="66"/>
      <c r="FN68" s="66"/>
      <c r="FO68" s="66"/>
      <c r="FP68" s="66"/>
      <c r="FQ68" s="66"/>
      <c r="FR68" s="66"/>
      <c r="FS68" s="66"/>
      <c r="FT68" s="66"/>
      <c r="FU68" s="66"/>
      <c r="FV68" s="66"/>
      <c r="FW68" s="66"/>
      <c r="FX68" s="66"/>
      <c r="FY68" s="66"/>
      <c r="FZ68" s="66"/>
      <c r="GA68" s="66"/>
      <c r="GB68" s="66"/>
      <c r="GC68" s="66"/>
      <c r="GD68" s="66"/>
      <c r="GE68" s="66"/>
      <c r="GF68" s="66"/>
      <c r="GG68" s="66"/>
      <c r="GH68" s="66"/>
      <c r="GI68" s="66"/>
      <c r="GJ68" s="66"/>
      <c r="GK68" s="66"/>
      <c r="GL68" s="66"/>
      <c r="GM68" s="66"/>
      <c r="GN68" s="66"/>
      <c r="GO68" s="66"/>
      <c r="GP68" s="66"/>
      <c r="GQ68" s="66"/>
      <c r="GR68" s="66"/>
      <c r="GS68" s="66"/>
      <c r="GT68" s="66"/>
      <c r="GU68" s="66"/>
      <c r="GV68" s="66"/>
      <c r="GW68" s="66"/>
      <c r="GX68" s="66"/>
      <c r="GY68" s="66"/>
      <c r="GZ68" s="66"/>
      <c r="HA68" s="66"/>
      <c r="HB68" s="66"/>
      <c r="HC68" s="66"/>
      <c r="HD68" s="66"/>
      <c r="HE68" s="66"/>
      <c r="HF68" s="66"/>
      <c r="HG68" s="66"/>
      <c r="HH68" s="66"/>
      <c r="HI68" s="66"/>
      <c r="HJ68" s="66"/>
      <c r="HK68" s="66"/>
      <c r="HL68" s="66"/>
      <c r="HM68" s="66"/>
      <c r="HN68" s="66"/>
      <c r="HO68" s="66"/>
      <c r="HP68" s="66"/>
      <c r="HQ68" s="66"/>
      <c r="HR68" s="66"/>
      <c r="HS68" s="66"/>
      <c r="HT68" s="66"/>
      <c r="HU68" s="66"/>
      <c r="HV68" s="66"/>
      <c r="HW68" s="66"/>
      <c r="HX68" s="66"/>
      <c r="HY68" s="66"/>
      <c r="HZ68" s="66"/>
      <c r="IA68" s="66"/>
      <c r="IB68" s="66"/>
      <c r="IC68" s="66"/>
      <c r="ID68" s="66"/>
      <c r="IE68" s="66"/>
      <c r="IF68" s="66"/>
      <c r="IG68" s="66"/>
      <c r="IH68" s="66"/>
      <c r="II68" s="66"/>
      <c r="IJ68" s="66"/>
      <c r="IK68" s="66"/>
      <c r="IL68" s="66"/>
      <c r="IM68" s="66"/>
      <c r="IN68" s="66"/>
      <c r="IO68" s="66"/>
      <c r="IP68" s="66"/>
      <c r="IQ68" s="66"/>
      <c r="IR68" s="66"/>
    </row>
    <row r="69" customFormat="false" ht="22.5" hidden="false" customHeight="true" outlineLevel="0" collapsed="false">
      <c r="A69" s="66"/>
      <c r="B69" s="62" t="s">
        <v>234</v>
      </c>
      <c r="C69" s="63" t="s">
        <v>235</v>
      </c>
      <c r="D69" s="28" t="s">
        <v>103</v>
      </c>
      <c r="E69" s="64"/>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66"/>
      <c r="CO69" s="66"/>
      <c r="CP69" s="66"/>
      <c r="CQ69" s="66"/>
      <c r="CR69" s="66"/>
      <c r="CS69" s="66"/>
      <c r="CT69" s="66"/>
      <c r="CU69" s="66"/>
      <c r="CV69" s="66"/>
      <c r="CW69" s="66"/>
      <c r="CX69" s="66"/>
      <c r="CY69" s="66"/>
      <c r="CZ69" s="66"/>
      <c r="DA69" s="66"/>
      <c r="DB69" s="66"/>
      <c r="DC69" s="66"/>
      <c r="DD69" s="66"/>
      <c r="DE69" s="66"/>
      <c r="DF69" s="66"/>
      <c r="DG69" s="66"/>
      <c r="DH69" s="66"/>
      <c r="DI69" s="66"/>
      <c r="DJ69" s="66"/>
      <c r="DK69" s="66"/>
      <c r="DL69" s="66"/>
      <c r="DM69" s="66"/>
      <c r="DN69" s="66"/>
      <c r="DO69" s="66"/>
      <c r="DP69" s="66"/>
      <c r="DQ69" s="66"/>
      <c r="DR69" s="66"/>
      <c r="DS69" s="66"/>
      <c r="DT69" s="66"/>
      <c r="DU69" s="66"/>
      <c r="DV69" s="66"/>
      <c r="DW69" s="66"/>
      <c r="DX69" s="66"/>
      <c r="DY69" s="66"/>
      <c r="DZ69" s="66"/>
      <c r="EA69" s="66"/>
      <c r="EB69" s="66"/>
      <c r="EC69" s="66"/>
      <c r="ED69" s="66"/>
      <c r="EE69" s="66"/>
      <c r="EF69" s="66"/>
      <c r="EG69" s="66"/>
      <c r="EH69" s="66"/>
      <c r="EI69" s="66"/>
      <c r="EJ69" s="66"/>
      <c r="EK69" s="66"/>
      <c r="EL69" s="66"/>
      <c r="EM69" s="66"/>
      <c r="EN69" s="66"/>
      <c r="EO69" s="66"/>
      <c r="EP69" s="66"/>
      <c r="EQ69" s="66"/>
      <c r="ER69" s="66"/>
      <c r="ES69" s="66"/>
      <c r="ET69" s="66"/>
      <c r="EU69" s="66"/>
      <c r="EV69" s="66"/>
      <c r="EW69" s="66"/>
      <c r="EX69" s="66"/>
      <c r="EY69" s="66"/>
      <c r="EZ69" s="66"/>
      <c r="FA69" s="66"/>
      <c r="FB69" s="66"/>
      <c r="FC69" s="66"/>
      <c r="FD69" s="66"/>
      <c r="FE69" s="66"/>
      <c r="FF69" s="66"/>
      <c r="FG69" s="66"/>
      <c r="FH69" s="66"/>
      <c r="FI69" s="66"/>
      <c r="FJ69" s="66"/>
      <c r="FK69" s="66"/>
      <c r="FL69" s="66"/>
      <c r="FM69" s="66"/>
      <c r="FN69" s="66"/>
      <c r="FO69" s="66"/>
      <c r="FP69" s="66"/>
      <c r="FQ69" s="66"/>
      <c r="FR69" s="66"/>
      <c r="FS69" s="66"/>
      <c r="FT69" s="66"/>
      <c r="FU69" s="66"/>
      <c r="FV69" s="66"/>
      <c r="FW69" s="66"/>
      <c r="FX69" s="66"/>
      <c r="FY69" s="66"/>
      <c r="FZ69" s="66"/>
      <c r="GA69" s="66"/>
      <c r="GB69" s="66"/>
      <c r="GC69" s="66"/>
      <c r="GD69" s="66"/>
      <c r="GE69" s="66"/>
      <c r="GF69" s="66"/>
      <c r="GG69" s="66"/>
      <c r="GH69" s="66"/>
      <c r="GI69" s="66"/>
      <c r="GJ69" s="66"/>
      <c r="GK69" s="66"/>
      <c r="GL69" s="66"/>
      <c r="GM69" s="66"/>
      <c r="GN69" s="66"/>
      <c r="GO69" s="66"/>
      <c r="GP69" s="66"/>
      <c r="GQ69" s="66"/>
      <c r="GR69" s="66"/>
      <c r="GS69" s="66"/>
      <c r="GT69" s="66"/>
      <c r="GU69" s="66"/>
      <c r="GV69" s="66"/>
      <c r="GW69" s="66"/>
      <c r="GX69" s="66"/>
      <c r="GY69" s="66"/>
      <c r="GZ69" s="66"/>
      <c r="HA69" s="66"/>
      <c r="HB69" s="66"/>
      <c r="HC69" s="66"/>
      <c r="HD69" s="66"/>
      <c r="HE69" s="66"/>
      <c r="HF69" s="66"/>
      <c r="HG69" s="66"/>
      <c r="HH69" s="66"/>
      <c r="HI69" s="66"/>
      <c r="HJ69" s="66"/>
      <c r="HK69" s="66"/>
      <c r="HL69" s="66"/>
      <c r="HM69" s="66"/>
      <c r="HN69" s="66"/>
      <c r="HO69" s="66"/>
      <c r="HP69" s="66"/>
      <c r="HQ69" s="66"/>
      <c r="HR69" s="66"/>
      <c r="HS69" s="66"/>
      <c r="HT69" s="66"/>
      <c r="HU69" s="66"/>
      <c r="HV69" s="66"/>
      <c r="HW69" s="66"/>
      <c r="HX69" s="66"/>
      <c r="HY69" s="66"/>
      <c r="HZ69" s="66"/>
      <c r="IA69" s="66"/>
      <c r="IB69" s="66"/>
      <c r="IC69" s="66"/>
      <c r="ID69" s="66"/>
      <c r="IE69" s="66"/>
      <c r="IF69" s="66"/>
      <c r="IG69" s="66"/>
      <c r="IH69" s="66"/>
      <c r="II69" s="66"/>
      <c r="IJ69" s="66"/>
      <c r="IK69" s="66"/>
      <c r="IL69" s="66"/>
      <c r="IM69" s="66"/>
      <c r="IN69" s="66"/>
      <c r="IO69" s="66"/>
      <c r="IP69" s="66"/>
      <c r="IQ69" s="66"/>
      <c r="IR69" s="66"/>
    </row>
    <row r="70" customFormat="false" ht="22.5" hidden="false" customHeight="true" outlineLevel="0" collapsed="false">
      <c r="A70" s="66"/>
      <c r="B70" s="62" t="s">
        <v>236</v>
      </c>
      <c r="C70" s="63" t="s">
        <v>237</v>
      </c>
      <c r="D70" s="28" t="s">
        <v>103</v>
      </c>
      <c r="E70" s="64"/>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66"/>
      <c r="CK70" s="66"/>
      <c r="CL70" s="66"/>
      <c r="CM70" s="66"/>
      <c r="CN70" s="66"/>
      <c r="CO70" s="66"/>
      <c r="CP70" s="66"/>
      <c r="CQ70" s="66"/>
      <c r="CR70" s="66"/>
      <c r="CS70" s="66"/>
      <c r="CT70" s="66"/>
      <c r="CU70" s="66"/>
      <c r="CV70" s="66"/>
      <c r="CW70" s="66"/>
      <c r="CX70" s="66"/>
      <c r="CY70" s="66"/>
      <c r="CZ70" s="66"/>
      <c r="DA70" s="66"/>
      <c r="DB70" s="66"/>
      <c r="DC70" s="66"/>
      <c r="DD70" s="66"/>
      <c r="DE70" s="66"/>
      <c r="DF70" s="66"/>
      <c r="DG70" s="66"/>
      <c r="DH70" s="66"/>
      <c r="DI70" s="66"/>
      <c r="DJ70" s="66"/>
      <c r="DK70" s="66"/>
      <c r="DL70" s="66"/>
      <c r="DM70" s="66"/>
      <c r="DN70" s="66"/>
      <c r="DO70" s="66"/>
      <c r="DP70" s="66"/>
      <c r="DQ70" s="66"/>
      <c r="DR70" s="66"/>
      <c r="DS70" s="66"/>
      <c r="DT70" s="66"/>
      <c r="DU70" s="66"/>
      <c r="DV70" s="66"/>
      <c r="DW70" s="66"/>
      <c r="DX70" s="66"/>
      <c r="DY70" s="66"/>
      <c r="DZ70" s="66"/>
      <c r="EA70" s="66"/>
      <c r="EB70" s="66"/>
      <c r="EC70" s="66"/>
      <c r="ED70" s="66"/>
      <c r="EE70" s="66"/>
      <c r="EF70" s="66"/>
      <c r="EG70" s="66"/>
      <c r="EH70" s="66"/>
      <c r="EI70" s="66"/>
      <c r="EJ70" s="66"/>
      <c r="EK70" s="66"/>
      <c r="EL70" s="66"/>
      <c r="EM70" s="66"/>
      <c r="EN70" s="66"/>
      <c r="EO70" s="66"/>
      <c r="EP70" s="66"/>
      <c r="EQ70" s="66"/>
      <c r="ER70" s="66"/>
      <c r="ES70" s="66"/>
      <c r="ET70" s="66"/>
      <c r="EU70" s="66"/>
      <c r="EV70" s="66"/>
      <c r="EW70" s="66"/>
      <c r="EX70" s="66"/>
      <c r="EY70" s="66"/>
      <c r="EZ70" s="66"/>
      <c r="FA70" s="66"/>
      <c r="FB70" s="66"/>
      <c r="FC70" s="66"/>
      <c r="FD70" s="66"/>
      <c r="FE70" s="66"/>
      <c r="FF70" s="66"/>
      <c r="FG70" s="66"/>
      <c r="FH70" s="66"/>
      <c r="FI70" s="66"/>
      <c r="FJ70" s="66"/>
      <c r="FK70" s="66"/>
      <c r="FL70" s="66"/>
      <c r="FM70" s="66"/>
      <c r="FN70" s="66"/>
      <c r="FO70" s="66"/>
      <c r="FP70" s="66"/>
      <c r="FQ70" s="66"/>
      <c r="FR70" s="66"/>
      <c r="FS70" s="66"/>
      <c r="FT70" s="66"/>
      <c r="FU70" s="66"/>
      <c r="FV70" s="66"/>
      <c r="FW70" s="66"/>
      <c r="FX70" s="66"/>
      <c r="FY70" s="66"/>
      <c r="FZ70" s="66"/>
      <c r="GA70" s="66"/>
      <c r="GB70" s="66"/>
      <c r="GC70" s="66"/>
      <c r="GD70" s="66"/>
      <c r="GE70" s="66"/>
      <c r="GF70" s="66"/>
      <c r="GG70" s="66"/>
      <c r="GH70" s="66"/>
      <c r="GI70" s="66"/>
      <c r="GJ70" s="66"/>
      <c r="GK70" s="66"/>
      <c r="GL70" s="66"/>
      <c r="GM70" s="66"/>
      <c r="GN70" s="66"/>
      <c r="GO70" s="66"/>
      <c r="GP70" s="66"/>
      <c r="GQ70" s="66"/>
      <c r="GR70" s="66"/>
      <c r="GS70" s="66"/>
      <c r="GT70" s="66"/>
      <c r="GU70" s="66"/>
      <c r="GV70" s="66"/>
      <c r="GW70" s="66"/>
      <c r="GX70" s="66"/>
      <c r="GY70" s="66"/>
      <c r="GZ70" s="66"/>
      <c r="HA70" s="66"/>
      <c r="HB70" s="66"/>
      <c r="HC70" s="66"/>
      <c r="HD70" s="66"/>
      <c r="HE70" s="66"/>
      <c r="HF70" s="66"/>
      <c r="HG70" s="66"/>
      <c r="HH70" s="66"/>
      <c r="HI70" s="66"/>
      <c r="HJ70" s="66"/>
      <c r="HK70" s="66"/>
      <c r="HL70" s="66"/>
      <c r="HM70" s="66"/>
      <c r="HN70" s="66"/>
      <c r="HO70" s="66"/>
      <c r="HP70" s="66"/>
      <c r="HQ70" s="66"/>
      <c r="HR70" s="66"/>
      <c r="HS70" s="66"/>
      <c r="HT70" s="66"/>
      <c r="HU70" s="66"/>
      <c r="HV70" s="66"/>
      <c r="HW70" s="66"/>
      <c r="HX70" s="66"/>
      <c r="HY70" s="66"/>
      <c r="HZ70" s="66"/>
      <c r="IA70" s="66"/>
      <c r="IB70" s="66"/>
      <c r="IC70" s="66"/>
      <c r="ID70" s="66"/>
      <c r="IE70" s="66"/>
      <c r="IF70" s="66"/>
      <c r="IG70" s="66"/>
      <c r="IH70" s="66"/>
      <c r="II70" s="66"/>
      <c r="IJ70" s="66"/>
      <c r="IK70" s="66"/>
      <c r="IL70" s="66"/>
      <c r="IM70" s="66"/>
      <c r="IN70" s="66"/>
      <c r="IO70" s="66"/>
      <c r="IP70" s="66"/>
      <c r="IQ70" s="66"/>
      <c r="IR70" s="66"/>
    </row>
    <row r="71" customFormat="false" ht="22.5" hidden="false" customHeight="true" outlineLevel="0" collapsed="false">
      <c r="A71" s="66"/>
      <c r="B71" s="62" t="s">
        <v>238</v>
      </c>
      <c r="C71" s="63" t="s">
        <v>239</v>
      </c>
      <c r="D71" s="28" t="s">
        <v>103</v>
      </c>
      <c r="E71" s="64"/>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6"/>
      <c r="BZ71" s="66"/>
      <c r="CA71" s="66"/>
      <c r="CB71" s="66"/>
      <c r="CC71" s="66"/>
      <c r="CD71" s="66"/>
      <c r="CE71" s="66"/>
      <c r="CF71" s="66"/>
      <c r="CG71" s="66"/>
      <c r="CH71" s="66"/>
      <c r="CI71" s="66"/>
      <c r="CJ71" s="66"/>
      <c r="CK71" s="66"/>
      <c r="CL71" s="66"/>
      <c r="CM71" s="66"/>
      <c r="CN71" s="66"/>
      <c r="CO71" s="66"/>
      <c r="CP71" s="66"/>
      <c r="CQ71" s="66"/>
      <c r="CR71" s="66"/>
      <c r="CS71" s="66"/>
      <c r="CT71" s="66"/>
      <c r="CU71" s="66"/>
      <c r="CV71" s="66"/>
      <c r="CW71" s="66"/>
      <c r="CX71" s="66"/>
      <c r="CY71" s="66"/>
      <c r="CZ71" s="66"/>
      <c r="DA71" s="66"/>
      <c r="DB71" s="66"/>
      <c r="DC71" s="66"/>
      <c r="DD71" s="66"/>
      <c r="DE71" s="66"/>
      <c r="DF71" s="66"/>
      <c r="DG71" s="66"/>
      <c r="DH71" s="66"/>
      <c r="DI71" s="66"/>
      <c r="DJ71" s="66"/>
      <c r="DK71" s="66"/>
      <c r="DL71" s="66"/>
      <c r="DM71" s="66"/>
      <c r="DN71" s="66"/>
      <c r="DO71" s="66"/>
      <c r="DP71" s="66"/>
      <c r="DQ71" s="66"/>
      <c r="DR71" s="66"/>
      <c r="DS71" s="66"/>
      <c r="DT71" s="66"/>
      <c r="DU71" s="66"/>
      <c r="DV71" s="66"/>
      <c r="DW71" s="66"/>
      <c r="DX71" s="66"/>
      <c r="DY71" s="66"/>
      <c r="DZ71" s="66"/>
      <c r="EA71" s="66"/>
      <c r="EB71" s="66"/>
      <c r="EC71" s="66"/>
      <c r="ED71" s="66"/>
      <c r="EE71" s="66"/>
      <c r="EF71" s="66"/>
      <c r="EG71" s="66"/>
      <c r="EH71" s="66"/>
      <c r="EI71" s="66"/>
      <c r="EJ71" s="66"/>
      <c r="EK71" s="66"/>
      <c r="EL71" s="66"/>
      <c r="EM71" s="66"/>
      <c r="EN71" s="66"/>
      <c r="EO71" s="66"/>
      <c r="EP71" s="66"/>
      <c r="EQ71" s="66"/>
      <c r="ER71" s="66"/>
      <c r="ES71" s="66"/>
      <c r="ET71" s="66"/>
      <c r="EU71" s="66"/>
      <c r="EV71" s="66"/>
      <c r="EW71" s="66"/>
      <c r="EX71" s="66"/>
      <c r="EY71" s="66"/>
      <c r="EZ71" s="66"/>
      <c r="FA71" s="66"/>
      <c r="FB71" s="66"/>
      <c r="FC71" s="66"/>
      <c r="FD71" s="66"/>
      <c r="FE71" s="66"/>
      <c r="FF71" s="66"/>
      <c r="FG71" s="66"/>
      <c r="FH71" s="66"/>
      <c r="FI71" s="66"/>
      <c r="FJ71" s="66"/>
      <c r="FK71" s="66"/>
      <c r="FL71" s="66"/>
      <c r="FM71" s="66"/>
      <c r="FN71" s="66"/>
      <c r="FO71" s="66"/>
      <c r="FP71" s="66"/>
      <c r="FQ71" s="66"/>
      <c r="FR71" s="66"/>
      <c r="FS71" s="66"/>
      <c r="FT71" s="66"/>
      <c r="FU71" s="66"/>
      <c r="FV71" s="66"/>
      <c r="FW71" s="66"/>
      <c r="FX71" s="66"/>
      <c r="FY71" s="66"/>
      <c r="FZ71" s="66"/>
      <c r="GA71" s="66"/>
      <c r="GB71" s="66"/>
      <c r="GC71" s="66"/>
      <c r="GD71" s="66"/>
      <c r="GE71" s="66"/>
      <c r="GF71" s="66"/>
      <c r="GG71" s="66"/>
      <c r="GH71" s="66"/>
      <c r="GI71" s="66"/>
      <c r="GJ71" s="66"/>
      <c r="GK71" s="66"/>
      <c r="GL71" s="66"/>
      <c r="GM71" s="66"/>
      <c r="GN71" s="66"/>
      <c r="GO71" s="66"/>
      <c r="GP71" s="66"/>
      <c r="GQ71" s="66"/>
      <c r="GR71" s="66"/>
      <c r="GS71" s="66"/>
      <c r="GT71" s="66"/>
      <c r="GU71" s="66"/>
      <c r="GV71" s="66"/>
      <c r="GW71" s="66"/>
      <c r="GX71" s="66"/>
      <c r="GY71" s="66"/>
      <c r="GZ71" s="66"/>
      <c r="HA71" s="66"/>
      <c r="HB71" s="66"/>
      <c r="HC71" s="66"/>
      <c r="HD71" s="66"/>
      <c r="HE71" s="66"/>
      <c r="HF71" s="66"/>
      <c r="HG71" s="66"/>
      <c r="HH71" s="66"/>
      <c r="HI71" s="66"/>
      <c r="HJ71" s="66"/>
      <c r="HK71" s="66"/>
      <c r="HL71" s="66"/>
      <c r="HM71" s="66"/>
      <c r="HN71" s="66"/>
      <c r="HO71" s="66"/>
      <c r="HP71" s="66"/>
      <c r="HQ71" s="66"/>
      <c r="HR71" s="66"/>
      <c r="HS71" s="66"/>
      <c r="HT71" s="66"/>
      <c r="HU71" s="66"/>
      <c r="HV71" s="66"/>
      <c r="HW71" s="66"/>
      <c r="HX71" s="66"/>
      <c r="HY71" s="66"/>
      <c r="HZ71" s="66"/>
      <c r="IA71" s="66"/>
      <c r="IB71" s="66"/>
      <c r="IC71" s="66"/>
      <c r="ID71" s="66"/>
      <c r="IE71" s="66"/>
      <c r="IF71" s="66"/>
      <c r="IG71" s="66"/>
      <c r="IH71" s="66"/>
      <c r="II71" s="66"/>
      <c r="IJ71" s="66"/>
      <c r="IK71" s="66"/>
      <c r="IL71" s="66"/>
      <c r="IM71" s="66"/>
      <c r="IN71" s="66"/>
      <c r="IO71" s="66"/>
      <c r="IP71" s="66"/>
      <c r="IQ71" s="66"/>
      <c r="IR71" s="66"/>
    </row>
    <row r="72" customFormat="false" ht="22.5" hidden="false" customHeight="true" outlineLevel="0" collapsed="false">
      <c r="A72" s="66"/>
      <c r="B72" s="62" t="s">
        <v>240</v>
      </c>
      <c r="C72" s="63" t="s">
        <v>241</v>
      </c>
      <c r="D72" s="28" t="s">
        <v>103</v>
      </c>
      <c r="E72" s="64"/>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66"/>
      <c r="CO72" s="66"/>
      <c r="CP72" s="66"/>
      <c r="CQ72" s="66"/>
      <c r="CR72" s="66"/>
      <c r="CS72" s="66"/>
      <c r="CT72" s="66"/>
      <c r="CU72" s="66"/>
      <c r="CV72" s="66"/>
      <c r="CW72" s="66"/>
      <c r="CX72" s="66"/>
      <c r="CY72" s="66"/>
      <c r="CZ72" s="66"/>
      <c r="DA72" s="66"/>
      <c r="DB72" s="66"/>
      <c r="DC72" s="66"/>
      <c r="DD72" s="66"/>
      <c r="DE72" s="66"/>
      <c r="DF72" s="66"/>
      <c r="DG72" s="66"/>
      <c r="DH72" s="66"/>
      <c r="DI72" s="66"/>
      <c r="DJ72" s="66"/>
      <c r="DK72" s="66"/>
      <c r="DL72" s="66"/>
      <c r="DM72" s="66"/>
      <c r="DN72" s="66"/>
      <c r="DO72" s="66"/>
      <c r="DP72" s="66"/>
      <c r="DQ72" s="66"/>
      <c r="DR72" s="66"/>
      <c r="DS72" s="66"/>
      <c r="DT72" s="66"/>
      <c r="DU72" s="66"/>
      <c r="DV72" s="66"/>
      <c r="DW72" s="66"/>
      <c r="DX72" s="66"/>
      <c r="DY72" s="66"/>
      <c r="DZ72" s="66"/>
      <c r="EA72" s="66"/>
      <c r="EB72" s="66"/>
      <c r="EC72" s="66"/>
      <c r="ED72" s="66"/>
      <c r="EE72" s="66"/>
      <c r="EF72" s="66"/>
      <c r="EG72" s="66"/>
      <c r="EH72" s="66"/>
      <c r="EI72" s="66"/>
      <c r="EJ72" s="66"/>
      <c r="EK72" s="66"/>
      <c r="EL72" s="66"/>
      <c r="EM72" s="66"/>
      <c r="EN72" s="66"/>
      <c r="EO72" s="66"/>
      <c r="EP72" s="66"/>
      <c r="EQ72" s="66"/>
      <c r="ER72" s="66"/>
      <c r="ES72" s="66"/>
      <c r="ET72" s="66"/>
      <c r="EU72" s="66"/>
      <c r="EV72" s="66"/>
      <c r="EW72" s="66"/>
      <c r="EX72" s="66"/>
      <c r="EY72" s="66"/>
      <c r="EZ72" s="66"/>
      <c r="FA72" s="66"/>
      <c r="FB72" s="66"/>
      <c r="FC72" s="66"/>
      <c r="FD72" s="66"/>
      <c r="FE72" s="66"/>
      <c r="FF72" s="66"/>
      <c r="FG72" s="66"/>
      <c r="FH72" s="66"/>
      <c r="FI72" s="66"/>
      <c r="FJ72" s="66"/>
      <c r="FK72" s="66"/>
      <c r="FL72" s="66"/>
      <c r="FM72" s="66"/>
      <c r="FN72" s="66"/>
      <c r="FO72" s="66"/>
      <c r="FP72" s="66"/>
      <c r="FQ72" s="66"/>
      <c r="FR72" s="66"/>
      <c r="FS72" s="66"/>
      <c r="FT72" s="66"/>
      <c r="FU72" s="66"/>
      <c r="FV72" s="66"/>
      <c r="FW72" s="66"/>
      <c r="FX72" s="66"/>
      <c r="FY72" s="66"/>
      <c r="FZ72" s="66"/>
      <c r="GA72" s="66"/>
      <c r="GB72" s="66"/>
      <c r="GC72" s="66"/>
      <c r="GD72" s="66"/>
      <c r="GE72" s="66"/>
      <c r="GF72" s="66"/>
      <c r="GG72" s="66"/>
      <c r="GH72" s="66"/>
      <c r="GI72" s="66"/>
      <c r="GJ72" s="66"/>
      <c r="GK72" s="66"/>
      <c r="GL72" s="66"/>
      <c r="GM72" s="66"/>
      <c r="GN72" s="66"/>
      <c r="GO72" s="66"/>
      <c r="GP72" s="66"/>
      <c r="GQ72" s="66"/>
      <c r="GR72" s="66"/>
      <c r="GS72" s="66"/>
      <c r="GT72" s="66"/>
      <c r="GU72" s="66"/>
      <c r="GV72" s="66"/>
      <c r="GW72" s="66"/>
      <c r="GX72" s="66"/>
      <c r="GY72" s="66"/>
      <c r="GZ72" s="66"/>
      <c r="HA72" s="66"/>
      <c r="HB72" s="66"/>
      <c r="HC72" s="66"/>
      <c r="HD72" s="66"/>
      <c r="HE72" s="66"/>
      <c r="HF72" s="66"/>
      <c r="HG72" s="66"/>
      <c r="HH72" s="66"/>
      <c r="HI72" s="66"/>
      <c r="HJ72" s="66"/>
      <c r="HK72" s="66"/>
      <c r="HL72" s="66"/>
      <c r="HM72" s="66"/>
      <c r="HN72" s="66"/>
      <c r="HO72" s="66"/>
      <c r="HP72" s="66"/>
      <c r="HQ72" s="66"/>
      <c r="HR72" s="66"/>
      <c r="HS72" s="66"/>
      <c r="HT72" s="66"/>
      <c r="HU72" s="66"/>
      <c r="HV72" s="66"/>
      <c r="HW72" s="66"/>
      <c r="HX72" s="66"/>
      <c r="HY72" s="66"/>
      <c r="HZ72" s="66"/>
      <c r="IA72" s="66"/>
      <c r="IB72" s="66"/>
      <c r="IC72" s="66"/>
      <c r="ID72" s="66"/>
      <c r="IE72" s="66"/>
      <c r="IF72" s="66"/>
      <c r="IG72" s="66"/>
      <c r="IH72" s="66"/>
      <c r="II72" s="66"/>
      <c r="IJ72" s="66"/>
      <c r="IK72" s="66"/>
      <c r="IL72" s="66"/>
      <c r="IM72" s="66"/>
      <c r="IN72" s="66"/>
      <c r="IO72" s="66"/>
      <c r="IP72" s="66"/>
      <c r="IQ72" s="66"/>
      <c r="IR72" s="66"/>
    </row>
    <row r="73" customFormat="false" ht="22.5" hidden="false" customHeight="true" outlineLevel="0" collapsed="false">
      <c r="A73" s="66"/>
      <c r="B73" s="62" t="s">
        <v>242</v>
      </c>
      <c r="C73" s="63" t="s">
        <v>243</v>
      </c>
      <c r="D73" s="28" t="s">
        <v>103</v>
      </c>
      <c r="E73" s="64"/>
      <c r="F73" s="66"/>
      <c r="G73" s="66"/>
      <c r="H73" s="66"/>
      <c r="I73" s="66"/>
      <c r="J73" s="66"/>
      <c r="K73" s="66"/>
      <c r="L73" s="66"/>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66"/>
      <c r="CO73" s="66"/>
      <c r="CP73" s="66"/>
      <c r="CQ73" s="66"/>
      <c r="CR73" s="66"/>
      <c r="CS73" s="66"/>
      <c r="CT73" s="66"/>
      <c r="CU73" s="66"/>
      <c r="CV73" s="66"/>
      <c r="CW73" s="66"/>
      <c r="CX73" s="66"/>
      <c r="CY73" s="66"/>
      <c r="CZ73" s="66"/>
      <c r="DA73" s="66"/>
      <c r="DB73" s="66"/>
      <c r="DC73" s="66"/>
      <c r="DD73" s="66"/>
      <c r="DE73" s="66"/>
      <c r="DF73" s="66"/>
      <c r="DG73" s="66"/>
      <c r="DH73" s="66"/>
      <c r="DI73" s="66"/>
      <c r="DJ73" s="66"/>
      <c r="DK73" s="66"/>
      <c r="DL73" s="66"/>
      <c r="DM73" s="66"/>
      <c r="DN73" s="66"/>
      <c r="DO73" s="66"/>
      <c r="DP73" s="66"/>
      <c r="DQ73" s="66"/>
      <c r="DR73" s="66"/>
      <c r="DS73" s="66"/>
      <c r="DT73" s="66"/>
      <c r="DU73" s="66"/>
      <c r="DV73" s="66"/>
      <c r="DW73" s="66"/>
      <c r="DX73" s="66"/>
      <c r="DY73" s="66"/>
      <c r="DZ73" s="66"/>
      <c r="EA73" s="66"/>
      <c r="EB73" s="66"/>
      <c r="EC73" s="66"/>
      <c r="ED73" s="66"/>
      <c r="EE73" s="66"/>
      <c r="EF73" s="66"/>
      <c r="EG73" s="66"/>
      <c r="EH73" s="66"/>
      <c r="EI73" s="66"/>
      <c r="EJ73" s="66"/>
      <c r="EK73" s="66"/>
      <c r="EL73" s="66"/>
      <c r="EM73" s="66"/>
      <c r="EN73" s="66"/>
      <c r="EO73" s="66"/>
      <c r="EP73" s="66"/>
      <c r="EQ73" s="66"/>
      <c r="ER73" s="66"/>
      <c r="ES73" s="66"/>
      <c r="ET73" s="66"/>
      <c r="EU73" s="66"/>
      <c r="EV73" s="66"/>
      <c r="EW73" s="66"/>
      <c r="EX73" s="66"/>
      <c r="EY73" s="66"/>
      <c r="EZ73" s="66"/>
      <c r="FA73" s="66"/>
      <c r="FB73" s="66"/>
      <c r="FC73" s="66"/>
      <c r="FD73" s="66"/>
      <c r="FE73" s="66"/>
      <c r="FF73" s="66"/>
      <c r="FG73" s="66"/>
      <c r="FH73" s="66"/>
      <c r="FI73" s="66"/>
      <c r="FJ73" s="66"/>
      <c r="FK73" s="66"/>
      <c r="FL73" s="66"/>
      <c r="FM73" s="66"/>
      <c r="FN73" s="66"/>
      <c r="FO73" s="66"/>
      <c r="FP73" s="66"/>
      <c r="FQ73" s="66"/>
      <c r="FR73" s="66"/>
      <c r="FS73" s="66"/>
      <c r="FT73" s="66"/>
      <c r="FU73" s="66"/>
      <c r="FV73" s="66"/>
      <c r="FW73" s="66"/>
      <c r="FX73" s="66"/>
      <c r="FY73" s="66"/>
      <c r="FZ73" s="66"/>
      <c r="GA73" s="66"/>
      <c r="GB73" s="66"/>
      <c r="GC73" s="66"/>
      <c r="GD73" s="66"/>
      <c r="GE73" s="66"/>
      <c r="GF73" s="66"/>
      <c r="GG73" s="66"/>
      <c r="GH73" s="66"/>
      <c r="GI73" s="66"/>
      <c r="GJ73" s="66"/>
      <c r="GK73" s="66"/>
      <c r="GL73" s="66"/>
      <c r="GM73" s="66"/>
      <c r="GN73" s="66"/>
      <c r="GO73" s="66"/>
      <c r="GP73" s="66"/>
      <c r="GQ73" s="66"/>
      <c r="GR73" s="66"/>
      <c r="GS73" s="66"/>
      <c r="GT73" s="66"/>
      <c r="GU73" s="66"/>
      <c r="GV73" s="66"/>
      <c r="GW73" s="66"/>
      <c r="GX73" s="66"/>
      <c r="GY73" s="66"/>
      <c r="GZ73" s="66"/>
      <c r="HA73" s="66"/>
      <c r="HB73" s="66"/>
      <c r="HC73" s="66"/>
      <c r="HD73" s="66"/>
      <c r="HE73" s="66"/>
      <c r="HF73" s="66"/>
      <c r="HG73" s="66"/>
      <c r="HH73" s="66"/>
      <c r="HI73" s="66"/>
      <c r="HJ73" s="66"/>
      <c r="HK73" s="66"/>
      <c r="HL73" s="66"/>
      <c r="HM73" s="66"/>
      <c r="HN73" s="66"/>
      <c r="HO73" s="66"/>
      <c r="HP73" s="66"/>
      <c r="HQ73" s="66"/>
      <c r="HR73" s="66"/>
      <c r="HS73" s="66"/>
      <c r="HT73" s="66"/>
      <c r="HU73" s="66"/>
      <c r="HV73" s="66"/>
      <c r="HW73" s="66"/>
      <c r="HX73" s="66"/>
      <c r="HY73" s="66"/>
      <c r="HZ73" s="66"/>
      <c r="IA73" s="66"/>
      <c r="IB73" s="66"/>
      <c r="IC73" s="66"/>
      <c r="ID73" s="66"/>
      <c r="IE73" s="66"/>
      <c r="IF73" s="66"/>
      <c r="IG73" s="66"/>
      <c r="IH73" s="66"/>
      <c r="II73" s="66"/>
      <c r="IJ73" s="66"/>
      <c r="IK73" s="66"/>
      <c r="IL73" s="66"/>
      <c r="IM73" s="66"/>
      <c r="IN73" s="66"/>
      <c r="IO73" s="66"/>
      <c r="IP73" s="66"/>
      <c r="IQ73" s="66"/>
      <c r="IR73" s="66"/>
    </row>
    <row r="74" customFormat="false" ht="22.5" hidden="false" customHeight="true" outlineLevel="0" collapsed="false">
      <c r="A74" s="66"/>
      <c r="B74" s="62" t="s">
        <v>244</v>
      </c>
      <c r="C74" s="63" t="s">
        <v>245</v>
      </c>
      <c r="D74" s="28" t="s">
        <v>103</v>
      </c>
      <c r="E74" s="64"/>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c r="BL74" s="66"/>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66"/>
      <c r="CK74" s="66"/>
      <c r="CL74" s="66"/>
      <c r="CM74" s="66"/>
      <c r="CN74" s="66"/>
      <c r="CO74" s="66"/>
      <c r="CP74" s="66"/>
      <c r="CQ74" s="66"/>
      <c r="CR74" s="66"/>
      <c r="CS74" s="66"/>
      <c r="CT74" s="66"/>
      <c r="CU74" s="66"/>
      <c r="CV74" s="66"/>
      <c r="CW74" s="66"/>
      <c r="CX74" s="66"/>
      <c r="CY74" s="66"/>
      <c r="CZ74" s="66"/>
      <c r="DA74" s="66"/>
      <c r="DB74" s="66"/>
      <c r="DC74" s="66"/>
      <c r="DD74" s="66"/>
      <c r="DE74" s="66"/>
      <c r="DF74" s="66"/>
      <c r="DG74" s="66"/>
      <c r="DH74" s="66"/>
      <c r="DI74" s="66"/>
      <c r="DJ74" s="66"/>
      <c r="DK74" s="66"/>
      <c r="DL74" s="66"/>
      <c r="DM74" s="66"/>
      <c r="DN74" s="66"/>
      <c r="DO74" s="66"/>
      <c r="DP74" s="66"/>
      <c r="DQ74" s="66"/>
      <c r="DR74" s="66"/>
      <c r="DS74" s="66"/>
      <c r="DT74" s="66"/>
      <c r="DU74" s="66"/>
      <c r="DV74" s="66"/>
      <c r="DW74" s="66"/>
      <c r="DX74" s="66"/>
      <c r="DY74" s="66"/>
      <c r="DZ74" s="66"/>
      <c r="EA74" s="66"/>
      <c r="EB74" s="66"/>
      <c r="EC74" s="66"/>
      <c r="ED74" s="66"/>
      <c r="EE74" s="66"/>
      <c r="EF74" s="66"/>
      <c r="EG74" s="66"/>
      <c r="EH74" s="66"/>
      <c r="EI74" s="66"/>
      <c r="EJ74" s="66"/>
      <c r="EK74" s="66"/>
      <c r="EL74" s="66"/>
      <c r="EM74" s="66"/>
      <c r="EN74" s="66"/>
      <c r="EO74" s="66"/>
      <c r="EP74" s="66"/>
      <c r="EQ74" s="66"/>
      <c r="ER74" s="66"/>
      <c r="ES74" s="66"/>
      <c r="ET74" s="66"/>
      <c r="EU74" s="66"/>
      <c r="EV74" s="66"/>
      <c r="EW74" s="66"/>
      <c r="EX74" s="66"/>
      <c r="EY74" s="66"/>
      <c r="EZ74" s="66"/>
      <c r="FA74" s="66"/>
      <c r="FB74" s="66"/>
      <c r="FC74" s="66"/>
      <c r="FD74" s="66"/>
      <c r="FE74" s="66"/>
      <c r="FF74" s="66"/>
      <c r="FG74" s="66"/>
      <c r="FH74" s="66"/>
      <c r="FI74" s="66"/>
      <c r="FJ74" s="66"/>
      <c r="FK74" s="66"/>
      <c r="FL74" s="66"/>
      <c r="FM74" s="66"/>
      <c r="FN74" s="66"/>
      <c r="FO74" s="66"/>
      <c r="FP74" s="66"/>
      <c r="FQ74" s="66"/>
      <c r="FR74" s="66"/>
      <c r="FS74" s="66"/>
      <c r="FT74" s="66"/>
      <c r="FU74" s="66"/>
      <c r="FV74" s="66"/>
      <c r="FW74" s="66"/>
      <c r="FX74" s="66"/>
      <c r="FY74" s="66"/>
      <c r="FZ74" s="66"/>
      <c r="GA74" s="66"/>
      <c r="GB74" s="66"/>
      <c r="GC74" s="66"/>
      <c r="GD74" s="66"/>
      <c r="GE74" s="66"/>
      <c r="GF74" s="66"/>
      <c r="GG74" s="66"/>
      <c r="GH74" s="66"/>
      <c r="GI74" s="66"/>
      <c r="GJ74" s="66"/>
      <c r="GK74" s="66"/>
      <c r="GL74" s="66"/>
      <c r="GM74" s="66"/>
      <c r="GN74" s="66"/>
      <c r="GO74" s="66"/>
      <c r="GP74" s="66"/>
      <c r="GQ74" s="66"/>
      <c r="GR74" s="66"/>
      <c r="GS74" s="66"/>
      <c r="GT74" s="66"/>
      <c r="GU74" s="66"/>
      <c r="GV74" s="66"/>
      <c r="GW74" s="66"/>
      <c r="GX74" s="66"/>
      <c r="GY74" s="66"/>
      <c r="GZ74" s="66"/>
      <c r="HA74" s="66"/>
      <c r="HB74" s="66"/>
      <c r="HC74" s="66"/>
      <c r="HD74" s="66"/>
      <c r="HE74" s="66"/>
      <c r="HF74" s="66"/>
      <c r="HG74" s="66"/>
      <c r="HH74" s="66"/>
      <c r="HI74" s="66"/>
      <c r="HJ74" s="66"/>
      <c r="HK74" s="66"/>
      <c r="HL74" s="66"/>
      <c r="HM74" s="66"/>
      <c r="HN74" s="66"/>
      <c r="HO74" s="66"/>
      <c r="HP74" s="66"/>
      <c r="HQ74" s="66"/>
      <c r="HR74" s="66"/>
      <c r="HS74" s="66"/>
      <c r="HT74" s="66"/>
      <c r="HU74" s="66"/>
      <c r="HV74" s="66"/>
      <c r="HW74" s="66"/>
      <c r="HX74" s="66"/>
      <c r="HY74" s="66"/>
      <c r="HZ74" s="66"/>
      <c r="IA74" s="66"/>
      <c r="IB74" s="66"/>
      <c r="IC74" s="66"/>
      <c r="ID74" s="66"/>
      <c r="IE74" s="66"/>
      <c r="IF74" s="66"/>
      <c r="IG74" s="66"/>
      <c r="IH74" s="66"/>
      <c r="II74" s="66"/>
      <c r="IJ74" s="66"/>
      <c r="IK74" s="66"/>
      <c r="IL74" s="66"/>
      <c r="IM74" s="66"/>
      <c r="IN74" s="66"/>
      <c r="IO74" s="66"/>
      <c r="IP74" s="66"/>
      <c r="IQ74" s="66"/>
      <c r="IR74" s="66"/>
    </row>
    <row r="75" customFormat="false" ht="22.5" hidden="false" customHeight="true" outlineLevel="0" collapsed="false">
      <c r="A75" s="66"/>
      <c r="B75" s="62" t="s">
        <v>246</v>
      </c>
      <c r="C75" s="63" t="s">
        <v>247</v>
      </c>
      <c r="D75" s="28" t="s">
        <v>103</v>
      </c>
      <c r="E75" s="64"/>
      <c r="F75" s="66"/>
      <c r="G75" s="66"/>
      <c r="H75" s="66"/>
      <c r="I75" s="66"/>
      <c r="J75" s="66"/>
      <c r="K75" s="66"/>
      <c r="L75" s="66"/>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66"/>
      <c r="CM75" s="66"/>
      <c r="CN75" s="66"/>
      <c r="CO75" s="66"/>
      <c r="CP75" s="66"/>
      <c r="CQ75" s="66"/>
      <c r="CR75" s="66"/>
      <c r="CS75" s="66"/>
      <c r="CT75" s="66"/>
      <c r="CU75" s="66"/>
      <c r="CV75" s="66"/>
      <c r="CW75" s="66"/>
      <c r="CX75" s="66"/>
      <c r="CY75" s="66"/>
      <c r="CZ75" s="66"/>
      <c r="DA75" s="66"/>
      <c r="DB75" s="66"/>
      <c r="DC75" s="66"/>
      <c r="DD75" s="66"/>
      <c r="DE75" s="66"/>
      <c r="DF75" s="66"/>
      <c r="DG75" s="66"/>
      <c r="DH75" s="66"/>
      <c r="DI75" s="66"/>
      <c r="DJ75" s="66"/>
      <c r="DK75" s="66"/>
      <c r="DL75" s="66"/>
      <c r="DM75" s="66"/>
      <c r="DN75" s="66"/>
      <c r="DO75" s="66"/>
      <c r="DP75" s="66"/>
      <c r="DQ75" s="66"/>
      <c r="DR75" s="66"/>
      <c r="DS75" s="66"/>
      <c r="DT75" s="66"/>
      <c r="DU75" s="66"/>
      <c r="DV75" s="66"/>
      <c r="DW75" s="66"/>
      <c r="DX75" s="66"/>
      <c r="DY75" s="66"/>
      <c r="DZ75" s="66"/>
      <c r="EA75" s="66"/>
      <c r="EB75" s="66"/>
      <c r="EC75" s="66"/>
      <c r="ED75" s="66"/>
      <c r="EE75" s="66"/>
      <c r="EF75" s="66"/>
      <c r="EG75" s="66"/>
      <c r="EH75" s="66"/>
      <c r="EI75" s="66"/>
      <c r="EJ75" s="66"/>
      <c r="EK75" s="66"/>
      <c r="EL75" s="66"/>
      <c r="EM75" s="66"/>
      <c r="EN75" s="66"/>
      <c r="EO75" s="66"/>
      <c r="EP75" s="66"/>
      <c r="EQ75" s="66"/>
      <c r="ER75" s="66"/>
      <c r="ES75" s="66"/>
      <c r="ET75" s="66"/>
      <c r="EU75" s="66"/>
      <c r="EV75" s="66"/>
      <c r="EW75" s="66"/>
      <c r="EX75" s="66"/>
      <c r="EY75" s="66"/>
      <c r="EZ75" s="66"/>
      <c r="FA75" s="66"/>
      <c r="FB75" s="66"/>
      <c r="FC75" s="66"/>
      <c r="FD75" s="66"/>
      <c r="FE75" s="66"/>
      <c r="FF75" s="66"/>
      <c r="FG75" s="66"/>
      <c r="FH75" s="66"/>
      <c r="FI75" s="66"/>
      <c r="FJ75" s="66"/>
      <c r="FK75" s="66"/>
      <c r="FL75" s="66"/>
      <c r="FM75" s="66"/>
      <c r="FN75" s="66"/>
      <c r="FO75" s="66"/>
      <c r="FP75" s="66"/>
      <c r="FQ75" s="66"/>
      <c r="FR75" s="66"/>
      <c r="FS75" s="66"/>
      <c r="FT75" s="66"/>
      <c r="FU75" s="66"/>
      <c r="FV75" s="66"/>
      <c r="FW75" s="66"/>
      <c r="FX75" s="66"/>
      <c r="FY75" s="66"/>
      <c r="FZ75" s="66"/>
      <c r="GA75" s="66"/>
      <c r="GB75" s="66"/>
      <c r="GC75" s="66"/>
      <c r="GD75" s="66"/>
      <c r="GE75" s="66"/>
      <c r="GF75" s="66"/>
      <c r="GG75" s="66"/>
      <c r="GH75" s="66"/>
      <c r="GI75" s="66"/>
      <c r="GJ75" s="66"/>
      <c r="GK75" s="66"/>
      <c r="GL75" s="66"/>
      <c r="GM75" s="66"/>
      <c r="GN75" s="66"/>
      <c r="GO75" s="66"/>
      <c r="GP75" s="66"/>
      <c r="GQ75" s="66"/>
      <c r="GR75" s="66"/>
      <c r="GS75" s="66"/>
      <c r="GT75" s="66"/>
      <c r="GU75" s="66"/>
      <c r="GV75" s="66"/>
      <c r="GW75" s="66"/>
      <c r="GX75" s="66"/>
      <c r="GY75" s="66"/>
      <c r="GZ75" s="66"/>
      <c r="HA75" s="66"/>
      <c r="HB75" s="66"/>
      <c r="HC75" s="66"/>
      <c r="HD75" s="66"/>
      <c r="HE75" s="66"/>
      <c r="HF75" s="66"/>
      <c r="HG75" s="66"/>
      <c r="HH75" s="66"/>
      <c r="HI75" s="66"/>
      <c r="HJ75" s="66"/>
      <c r="HK75" s="66"/>
      <c r="HL75" s="66"/>
      <c r="HM75" s="66"/>
      <c r="HN75" s="66"/>
      <c r="HO75" s="66"/>
      <c r="HP75" s="66"/>
      <c r="HQ75" s="66"/>
      <c r="HR75" s="66"/>
      <c r="HS75" s="66"/>
      <c r="HT75" s="66"/>
      <c r="HU75" s="66"/>
      <c r="HV75" s="66"/>
      <c r="HW75" s="66"/>
      <c r="HX75" s="66"/>
      <c r="HY75" s="66"/>
      <c r="HZ75" s="66"/>
      <c r="IA75" s="66"/>
      <c r="IB75" s="66"/>
      <c r="IC75" s="66"/>
      <c r="ID75" s="66"/>
      <c r="IE75" s="66"/>
      <c r="IF75" s="66"/>
      <c r="IG75" s="66"/>
      <c r="IH75" s="66"/>
      <c r="II75" s="66"/>
      <c r="IJ75" s="66"/>
      <c r="IK75" s="66"/>
      <c r="IL75" s="66"/>
      <c r="IM75" s="66"/>
      <c r="IN75" s="66"/>
      <c r="IO75" s="66"/>
      <c r="IP75" s="66"/>
      <c r="IQ75" s="66"/>
      <c r="IR75" s="66"/>
    </row>
    <row r="76" customFormat="false" ht="22.5" hidden="false" customHeight="true" outlineLevel="0" collapsed="false">
      <c r="A76" s="66"/>
      <c r="B76" s="62" t="s">
        <v>248</v>
      </c>
      <c r="C76" s="63" t="s">
        <v>249</v>
      </c>
      <c r="D76" s="28" t="s">
        <v>103</v>
      </c>
      <c r="E76" s="64"/>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66"/>
      <c r="CO76" s="66"/>
      <c r="CP76" s="66"/>
      <c r="CQ76" s="66"/>
      <c r="CR76" s="66"/>
      <c r="CS76" s="66"/>
      <c r="CT76" s="66"/>
      <c r="CU76" s="66"/>
      <c r="CV76" s="66"/>
      <c r="CW76" s="66"/>
      <c r="CX76" s="66"/>
      <c r="CY76" s="66"/>
      <c r="CZ76" s="66"/>
      <c r="DA76" s="66"/>
      <c r="DB76" s="66"/>
      <c r="DC76" s="66"/>
      <c r="DD76" s="66"/>
      <c r="DE76" s="66"/>
      <c r="DF76" s="66"/>
      <c r="DG76" s="66"/>
      <c r="DH76" s="66"/>
      <c r="DI76" s="66"/>
      <c r="DJ76" s="66"/>
      <c r="DK76" s="66"/>
      <c r="DL76" s="66"/>
      <c r="DM76" s="66"/>
      <c r="DN76" s="66"/>
      <c r="DO76" s="66"/>
      <c r="DP76" s="66"/>
      <c r="DQ76" s="66"/>
      <c r="DR76" s="66"/>
      <c r="DS76" s="66"/>
      <c r="DT76" s="66"/>
      <c r="DU76" s="66"/>
      <c r="DV76" s="66"/>
      <c r="DW76" s="66"/>
      <c r="DX76" s="66"/>
      <c r="DY76" s="66"/>
      <c r="DZ76" s="66"/>
      <c r="EA76" s="66"/>
      <c r="EB76" s="66"/>
      <c r="EC76" s="66"/>
      <c r="ED76" s="66"/>
      <c r="EE76" s="66"/>
      <c r="EF76" s="66"/>
      <c r="EG76" s="66"/>
      <c r="EH76" s="66"/>
      <c r="EI76" s="66"/>
      <c r="EJ76" s="66"/>
      <c r="EK76" s="66"/>
      <c r="EL76" s="66"/>
      <c r="EM76" s="66"/>
      <c r="EN76" s="66"/>
      <c r="EO76" s="66"/>
      <c r="EP76" s="66"/>
      <c r="EQ76" s="66"/>
      <c r="ER76" s="66"/>
      <c r="ES76" s="66"/>
      <c r="ET76" s="66"/>
      <c r="EU76" s="66"/>
      <c r="EV76" s="66"/>
      <c r="EW76" s="66"/>
      <c r="EX76" s="66"/>
      <c r="EY76" s="66"/>
      <c r="EZ76" s="66"/>
      <c r="FA76" s="66"/>
      <c r="FB76" s="66"/>
      <c r="FC76" s="66"/>
      <c r="FD76" s="66"/>
      <c r="FE76" s="66"/>
      <c r="FF76" s="66"/>
      <c r="FG76" s="66"/>
      <c r="FH76" s="66"/>
      <c r="FI76" s="66"/>
      <c r="FJ76" s="66"/>
      <c r="FK76" s="66"/>
      <c r="FL76" s="66"/>
      <c r="FM76" s="66"/>
      <c r="FN76" s="66"/>
      <c r="FO76" s="66"/>
      <c r="FP76" s="66"/>
      <c r="FQ76" s="66"/>
      <c r="FR76" s="66"/>
      <c r="FS76" s="66"/>
      <c r="FT76" s="66"/>
      <c r="FU76" s="66"/>
      <c r="FV76" s="66"/>
      <c r="FW76" s="66"/>
      <c r="FX76" s="66"/>
      <c r="FY76" s="66"/>
      <c r="FZ76" s="66"/>
      <c r="GA76" s="66"/>
      <c r="GB76" s="66"/>
      <c r="GC76" s="66"/>
      <c r="GD76" s="66"/>
      <c r="GE76" s="66"/>
      <c r="GF76" s="66"/>
      <c r="GG76" s="66"/>
      <c r="GH76" s="66"/>
      <c r="GI76" s="66"/>
      <c r="GJ76" s="66"/>
      <c r="GK76" s="66"/>
      <c r="GL76" s="66"/>
      <c r="GM76" s="66"/>
      <c r="GN76" s="66"/>
      <c r="GO76" s="66"/>
      <c r="GP76" s="66"/>
      <c r="GQ76" s="66"/>
      <c r="GR76" s="66"/>
      <c r="GS76" s="66"/>
      <c r="GT76" s="66"/>
      <c r="GU76" s="66"/>
      <c r="GV76" s="66"/>
      <c r="GW76" s="66"/>
      <c r="GX76" s="66"/>
      <c r="GY76" s="66"/>
      <c r="GZ76" s="66"/>
      <c r="HA76" s="66"/>
      <c r="HB76" s="66"/>
      <c r="HC76" s="66"/>
      <c r="HD76" s="66"/>
      <c r="HE76" s="66"/>
      <c r="HF76" s="66"/>
      <c r="HG76" s="66"/>
      <c r="HH76" s="66"/>
      <c r="HI76" s="66"/>
      <c r="HJ76" s="66"/>
      <c r="HK76" s="66"/>
      <c r="HL76" s="66"/>
      <c r="HM76" s="66"/>
      <c r="HN76" s="66"/>
      <c r="HO76" s="66"/>
      <c r="HP76" s="66"/>
      <c r="HQ76" s="66"/>
      <c r="HR76" s="66"/>
      <c r="HS76" s="66"/>
      <c r="HT76" s="66"/>
      <c r="HU76" s="66"/>
      <c r="HV76" s="66"/>
      <c r="HW76" s="66"/>
      <c r="HX76" s="66"/>
      <c r="HY76" s="66"/>
      <c r="HZ76" s="66"/>
      <c r="IA76" s="66"/>
      <c r="IB76" s="66"/>
      <c r="IC76" s="66"/>
      <c r="ID76" s="66"/>
      <c r="IE76" s="66"/>
      <c r="IF76" s="66"/>
      <c r="IG76" s="66"/>
      <c r="IH76" s="66"/>
      <c r="II76" s="66"/>
      <c r="IJ76" s="66"/>
      <c r="IK76" s="66"/>
      <c r="IL76" s="66"/>
      <c r="IM76" s="66"/>
      <c r="IN76" s="66"/>
      <c r="IO76" s="66"/>
      <c r="IP76" s="66"/>
      <c r="IQ76" s="66"/>
      <c r="IR76" s="66"/>
    </row>
    <row r="77" customFormat="false" ht="22.5" hidden="false" customHeight="true" outlineLevel="0" collapsed="false">
      <c r="A77" s="66"/>
      <c r="B77" s="62" t="s">
        <v>250</v>
      </c>
      <c r="C77" s="63" t="s">
        <v>251</v>
      </c>
      <c r="D77" s="28" t="s">
        <v>103</v>
      </c>
      <c r="E77" s="64"/>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66"/>
      <c r="CZ77" s="66"/>
      <c r="DA77" s="66"/>
      <c r="DB77" s="66"/>
      <c r="DC77" s="66"/>
      <c r="DD77" s="66"/>
      <c r="DE77" s="66"/>
      <c r="DF77" s="66"/>
      <c r="DG77" s="66"/>
      <c r="DH77" s="66"/>
      <c r="DI77" s="66"/>
      <c r="DJ77" s="66"/>
      <c r="DK77" s="66"/>
      <c r="DL77" s="66"/>
      <c r="DM77" s="66"/>
      <c r="DN77" s="66"/>
      <c r="DO77" s="66"/>
      <c r="DP77" s="66"/>
      <c r="DQ77" s="66"/>
      <c r="DR77" s="66"/>
      <c r="DS77" s="66"/>
      <c r="DT77" s="66"/>
      <c r="DU77" s="66"/>
      <c r="DV77" s="66"/>
      <c r="DW77" s="66"/>
      <c r="DX77" s="66"/>
      <c r="DY77" s="66"/>
      <c r="DZ77" s="66"/>
      <c r="EA77" s="66"/>
      <c r="EB77" s="66"/>
      <c r="EC77" s="66"/>
      <c r="ED77" s="66"/>
      <c r="EE77" s="66"/>
      <c r="EF77" s="66"/>
      <c r="EG77" s="66"/>
      <c r="EH77" s="66"/>
      <c r="EI77" s="66"/>
      <c r="EJ77" s="66"/>
      <c r="EK77" s="66"/>
      <c r="EL77" s="66"/>
      <c r="EM77" s="66"/>
      <c r="EN77" s="66"/>
      <c r="EO77" s="66"/>
      <c r="EP77" s="66"/>
      <c r="EQ77" s="66"/>
      <c r="ER77" s="66"/>
      <c r="ES77" s="66"/>
      <c r="ET77" s="66"/>
      <c r="EU77" s="66"/>
      <c r="EV77" s="66"/>
      <c r="EW77" s="66"/>
      <c r="EX77" s="66"/>
      <c r="EY77" s="66"/>
      <c r="EZ77" s="66"/>
      <c r="FA77" s="66"/>
      <c r="FB77" s="66"/>
      <c r="FC77" s="66"/>
      <c r="FD77" s="66"/>
      <c r="FE77" s="66"/>
      <c r="FF77" s="66"/>
      <c r="FG77" s="66"/>
      <c r="FH77" s="66"/>
      <c r="FI77" s="66"/>
      <c r="FJ77" s="66"/>
      <c r="FK77" s="66"/>
      <c r="FL77" s="66"/>
      <c r="FM77" s="66"/>
      <c r="FN77" s="66"/>
      <c r="FO77" s="66"/>
      <c r="FP77" s="66"/>
      <c r="FQ77" s="66"/>
      <c r="FR77" s="66"/>
      <c r="FS77" s="66"/>
      <c r="FT77" s="66"/>
      <c r="FU77" s="66"/>
      <c r="FV77" s="66"/>
      <c r="FW77" s="66"/>
      <c r="FX77" s="66"/>
      <c r="FY77" s="66"/>
      <c r="FZ77" s="66"/>
      <c r="GA77" s="66"/>
      <c r="GB77" s="66"/>
      <c r="GC77" s="66"/>
      <c r="GD77" s="66"/>
      <c r="GE77" s="66"/>
      <c r="GF77" s="66"/>
      <c r="GG77" s="66"/>
      <c r="GH77" s="66"/>
      <c r="GI77" s="66"/>
      <c r="GJ77" s="66"/>
      <c r="GK77" s="66"/>
      <c r="GL77" s="66"/>
      <c r="GM77" s="66"/>
      <c r="GN77" s="66"/>
      <c r="GO77" s="66"/>
      <c r="GP77" s="66"/>
      <c r="GQ77" s="66"/>
      <c r="GR77" s="66"/>
      <c r="GS77" s="66"/>
      <c r="GT77" s="66"/>
      <c r="GU77" s="66"/>
      <c r="GV77" s="66"/>
      <c r="GW77" s="66"/>
      <c r="GX77" s="66"/>
      <c r="GY77" s="66"/>
      <c r="GZ77" s="66"/>
      <c r="HA77" s="66"/>
      <c r="HB77" s="66"/>
      <c r="HC77" s="66"/>
      <c r="HD77" s="66"/>
      <c r="HE77" s="66"/>
      <c r="HF77" s="66"/>
      <c r="HG77" s="66"/>
      <c r="HH77" s="66"/>
      <c r="HI77" s="66"/>
      <c r="HJ77" s="66"/>
      <c r="HK77" s="66"/>
      <c r="HL77" s="66"/>
      <c r="HM77" s="66"/>
      <c r="HN77" s="66"/>
      <c r="HO77" s="66"/>
      <c r="HP77" s="66"/>
      <c r="HQ77" s="66"/>
      <c r="HR77" s="66"/>
      <c r="HS77" s="66"/>
      <c r="HT77" s="66"/>
      <c r="HU77" s="66"/>
      <c r="HV77" s="66"/>
      <c r="HW77" s="66"/>
      <c r="HX77" s="66"/>
      <c r="HY77" s="66"/>
      <c r="HZ77" s="66"/>
      <c r="IA77" s="66"/>
      <c r="IB77" s="66"/>
      <c r="IC77" s="66"/>
      <c r="ID77" s="66"/>
      <c r="IE77" s="66"/>
      <c r="IF77" s="66"/>
      <c r="IG77" s="66"/>
      <c r="IH77" s="66"/>
      <c r="II77" s="66"/>
      <c r="IJ77" s="66"/>
      <c r="IK77" s="66"/>
      <c r="IL77" s="66"/>
      <c r="IM77" s="66"/>
      <c r="IN77" s="66"/>
      <c r="IO77" s="66"/>
      <c r="IP77" s="66"/>
      <c r="IQ77" s="66"/>
      <c r="IR77" s="66"/>
    </row>
    <row r="78" customFormat="false" ht="22.5" hidden="false" customHeight="true" outlineLevel="0" collapsed="false">
      <c r="A78" s="66"/>
      <c r="B78" s="62" t="s">
        <v>252</v>
      </c>
      <c r="C78" s="63" t="s">
        <v>253</v>
      </c>
      <c r="D78" s="28" t="s">
        <v>103</v>
      </c>
      <c r="E78" s="64"/>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X78" s="66"/>
      <c r="BY78" s="66"/>
      <c r="BZ78" s="66"/>
      <c r="CA78" s="66"/>
      <c r="CB78" s="66"/>
      <c r="CC78" s="66"/>
      <c r="CD78" s="66"/>
      <c r="CE78" s="66"/>
      <c r="CF78" s="66"/>
      <c r="CG78" s="66"/>
      <c r="CH78" s="66"/>
      <c r="CI78" s="66"/>
      <c r="CJ78" s="66"/>
      <c r="CK78" s="66"/>
      <c r="CL78" s="66"/>
      <c r="CM78" s="66"/>
      <c r="CN78" s="66"/>
      <c r="CO78" s="66"/>
      <c r="CP78" s="66"/>
      <c r="CQ78" s="66"/>
      <c r="CR78" s="66"/>
      <c r="CS78" s="66"/>
      <c r="CT78" s="66"/>
      <c r="CU78" s="66"/>
      <c r="CV78" s="66"/>
      <c r="CW78" s="66"/>
      <c r="CX78" s="66"/>
      <c r="CY78" s="66"/>
      <c r="CZ78" s="66"/>
      <c r="DA78" s="66"/>
      <c r="DB78" s="66"/>
      <c r="DC78" s="66"/>
      <c r="DD78" s="66"/>
      <c r="DE78" s="66"/>
      <c r="DF78" s="66"/>
      <c r="DG78" s="66"/>
      <c r="DH78" s="66"/>
      <c r="DI78" s="66"/>
      <c r="DJ78" s="66"/>
      <c r="DK78" s="66"/>
      <c r="DL78" s="66"/>
      <c r="DM78" s="66"/>
      <c r="DN78" s="66"/>
      <c r="DO78" s="66"/>
      <c r="DP78" s="66"/>
      <c r="DQ78" s="66"/>
      <c r="DR78" s="66"/>
      <c r="DS78" s="66"/>
      <c r="DT78" s="66"/>
      <c r="DU78" s="66"/>
      <c r="DV78" s="66"/>
      <c r="DW78" s="66"/>
      <c r="DX78" s="66"/>
      <c r="DY78" s="66"/>
      <c r="DZ78" s="66"/>
      <c r="EA78" s="66"/>
      <c r="EB78" s="66"/>
      <c r="EC78" s="66"/>
      <c r="ED78" s="66"/>
      <c r="EE78" s="66"/>
      <c r="EF78" s="66"/>
      <c r="EG78" s="66"/>
      <c r="EH78" s="66"/>
      <c r="EI78" s="66"/>
      <c r="EJ78" s="66"/>
      <c r="EK78" s="66"/>
      <c r="EL78" s="66"/>
      <c r="EM78" s="66"/>
      <c r="EN78" s="66"/>
      <c r="EO78" s="66"/>
      <c r="EP78" s="66"/>
      <c r="EQ78" s="66"/>
      <c r="ER78" s="66"/>
      <c r="ES78" s="66"/>
      <c r="ET78" s="66"/>
      <c r="EU78" s="66"/>
      <c r="EV78" s="66"/>
      <c r="EW78" s="66"/>
      <c r="EX78" s="66"/>
      <c r="EY78" s="66"/>
      <c r="EZ78" s="66"/>
      <c r="FA78" s="66"/>
      <c r="FB78" s="66"/>
      <c r="FC78" s="66"/>
      <c r="FD78" s="66"/>
      <c r="FE78" s="66"/>
      <c r="FF78" s="66"/>
      <c r="FG78" s="66"/>
      <c r="FH78" s="66"/>
      <c r="FI78" s="66"/>
      <c r="FJ78" s="66"/>
      <c r="FK78" s="66"/>
      <c r="FL78" s="66"/>
      <c r="FM78" s="66"/>
      <c r="FN78" s="66"/>
      <c r="FO78" s="66"/>
      <c r="FP78" s="66"/>
      <c r="FQ78" s="66"/>
      <c r="FR78" s="66"/>
      <c r="FS78" s="66"/>
      <c r="FT78" s="66"/>
      <c r="FU78" s="66"/>
      <c r="FV78" s="66"/>
      <c r="FW78" s="66"/>
      <c r="FX78" s="66"/>
      <c r="FY78" s="66"/>
      <c r="FZ78" s="66"/>
      <c r="GA78" s="66"/>
      <c r="GB78" s="66"/>
      <c r="GC78" s="66"/>
      <c r="GD78" s="66"/>
      <c r="GE78" s="66"/>
      <c r="GF78" s="66"/>
      <c r="GG78" s="66"/>
      <c r="GH78" s="66"/>
      <c r="GI78" s="66"/>
      <c r="GJ78" s="66"/>
      <c r="GK78" s="66"/>
      <c r="GL78" s="66"/>
      <c r="GM78" s="66"/>
      <c r="GN78" s="66"/>
      <c r="GO78" s="66"/>
      <c r="GP78" s="66"/>
      <c r="GQ78" s="66"/>
      <c r="GR78" s="66"/>
      <c r="GS78" s="66"/>
      <c r="GT78" s="66"/>
      <c r="GU78" s="66"/>
      <c r="GV78" s="66"/>
      <c r="GW78" s="66"/>
      <c r="GX78" s="66"/>
      <c r="GY78" s="66"/>
      <c r="GZ78" s="66"/>
      <c r="HA78" s="66"/>
      <c r="HB78" s="66"/>
      <c r="HC78" s="66"/>
      <c r="HD78" s="66"/>
      <c r="HE78" s="66"/>
      <c r="HF78" s="66"/>
      <c r="HG78" s="66"/>
      <c r="HH78" s="66"/>
      <c r="HI78" s="66"/>
      <c r="HJ78" s="66"/>
      <c r="HK78" s="66"/>
      <c r="HL78" s="66"/>
      <c r="HM78" s="66"/>
      <c r="HN78" s="66"/>
      <c r="HO78" s="66"/>
      <c r="HP78" s="66"/>
      <c r="HQ78" s="66"/>
      <c r="HR78" s="66"/>
      <c r="HS78" s="66"/>
      <c r="HT78" s="66"/>
      <c r="HU78" s="66"/>
      <c r="HV78" s="66"/>
      <c r="HW78" s="66"/>
      <c r="HX78" s="66"/>
      <c r="HY78" s="66"/>
      <c r="HZ78" s="66"/>
      <c r="IA78" s="66"/>
      <c r="IB78" s="66"/>
      <c r="IC78" s="66"/>
      <c r="ID78" s="66"/>
      <c r="IE78" s="66"/>
      <c r="IF78" s="66"/>
      <c r="IG78" s="66"/>
      <c r="IH78" s="66"/>
      <c r="II78" s="66"/>
      <c r="IJ78" s="66"/>
      <c r="IK78" s="66"/>
      <c r="IL78" s="66"/>
      <c r="IM78" s="66"/>
      <c r="IN78" s="66"/>
      <c r="IO78" s="66"/>
      <c r="IP78" s="66"/>
      <c r="IQ78" s="66"/>
      <c r="IR78" s="66"/>
    </row>
    <row r="79" customFormat="false" ht="22.5" hidden="false" customHeight="true" outlineLevel="0" collapsed="false">
      <c r="A79" s="66"/>
      <c r="B79" s="62" t="s">
        <v>254</v>
      </c>
      <c r="C79" s="63" t="s">
        <v>255</v>
      </c>
      <c r="D79" s="28" t="s">
        <v>103</v>
      </c>
      <c r="E79" s="64"/>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66"/>
      <c r="CB79" s="66"/>
      <c r="CC79" s="66"/>
      <c r="CD79" s="66"/>
      <c r="CE79" s="66"/>
      <c r="CF79" s="66"/>
      <c r="CG79" s="66"/>
      <c r="CH79" s="66"/>
      <c r="CI79" s="66"/>
      <c r="CJ79" s="66"/>
      <c r="CK79" s="66"/>
      <c r="CL79" s="66"/>
      <c r="CM79" s="66"/>
      <c r="CN79" s="66"/>
      <c r="CO79" s="66"/>
      <c r="CP79" s="66"/>
      <c r="CQ79" s="66"/>
      <c r="CR79" s="66"/>
      <c r="CS79" s="66"/>
      <c r="CT79" s="66"/>
      <c r="CU79" s="66"/>
      <c r="CV79" s="66"/>
      <c r="CW79" s="66"/>
      <c r="CX79" s="66"/>
      <c r="CY79" s="66"/>
      <c r="CZ79" s="66"/>
      <c r="DA79" s="66"/>
      <c r="DB79" s="66"/>
      <c r="DC79" s="66"/>
      <c r="DD79" s="66"/>
      <c r="DE79" s="66"/>
      <c r="DF79" s="66"/>
      <c r="DG79" s="66"/>
      <c r="DH79" s="66"/>
      <c r="DI79" s="66"/>
      <c r="DJ79" s="66"/>
      <c r="DK79" s="66"/>
      <c r="DL79" s="66"/>
      <c r="DM79" s="66"/>
      <c r="DN79" s="66"/>
      <c r="DO79" s="66"/>
      <c r="DP79" s="66"/>
      <c r="DQ79" s="66"/>
      <c r="DR79" s="66"/>
      <c r="DS79" s="66"/>
      <c r="DT79" s="66"/>
      <c r="DU79" s="66"/>
      <c r="DV79" s="66"/>
      <c r="DW79" s="66"/>
      <c r="DX79" s="66"/>
      <c r="DY79" s="66"/>
      <c r="DZ79" s="66"/>
      <c r="EA79" s="66"/>
      <c r="EB79" s="66"/>
      <c r="EC79" s="66"/>
      <c r="ED79" s="66"/>
      <c r="EE79" s="66"/>
      <c r="EF79" s="66"/>
      <c r="EG79" s="66"/>
      <c r="EH79" s="66"/>
      <c r="EI79" s="66"/>
      <c r="EJ79" s="66"/>
      <c r="EK79" s="66"/>
      <c r="EL79" s="66"/>
      <c r="EM79" s="66"/>
      <c r="EN79" s="66"/>
      <c r="EO79" s="66"/>
      <c r="EP79" s="66"/>
      <c r="EQ79" s="66"/>
      <c r="ER79" s="66"/>
      <c r="ES79" s="66"/>
      <c r="ET79" s="66"/>
      <c r="EU79" s="66"/>
      <c r="EV79" s="66"/>
      <c r="EW79" s="66"/>
      <c r="EX79" s="66"/>
      <c r="EY79" s="66"/>
      <c r="EZ79" s="66"/>
      <c r="FA79" s="66"/>
      <c r="FB79" s="66"/>
      <c r="FC79" s="66"/>
      <c r="FD79" s="66"/>
      <c r="FE79" s="66"/>
      <c r="FF79" s="66"/>
      <c r="FG79" s="66"/>
      <c r="FH79" s="66"/>
      <c r="FI79" s="66"/>
      <c r="FJ79" s="66"/>
      <c r="FK79" s="66"/>
      <c r="FL79" s="66"/>
      <c r="FM79" s="66"/>
      <c r="FN79" s="66"/>
      <c r="FO79" s="66"/>
      <c r="FP79" s="66"/>
      <c r="FQ79" s="66"/>
      <c r="FR79" s="66"/>
      <c r="FS79" s="66"/>
      <c r="FT79" s="66"/>
      <c r="FU79" s="66"/>
      <c r="FV79" s="66"/>
      <c r="FW79" s="66"/>
      <c r="FX79" s="66"/>
      <c r="FY79" s="66"/>
      <c r="FZ79" s="66"/>
      <c r="GA79" s="66"/>
      <c r="GB79" s="66"/>
      <c r="GC79" s="66"/>
      <c r="GD79" s="66"/>
      <c r="GE79" s="66"/>
      <c r="GF79" s="66"/>
      <c r="GG79" s="66"/>
      <c r="GH79" s="66"/>
      <c r="GI79" s="66"/>
      <c r="GJ79" s="66"/>
      <c r="GK79" s="66"/>
      <c r="GL79" s="66"/>
      <c r="GM79" s="66"/>
      <c r="GN79" s="66"/>
      <c r="GO79" s="66"/>
      <c r="GP79" s="66"/>
      <c r="GQ79" s="66"/>
      <c r="GR79" s="66"/>
      <c r="GS79" s="66"/>
      <c r="GT79" s="66"/>
      <c r="GU79" s="66"/>
      <c r="GV79" s="66"/>
      <c r="GW79" s="66"/>
      <c r="GX79" s="66"/>
      <c r="GY79" s="66"/>
      <c r="GZ79" s="66"/>
      <c r="HA79" s="66"/>
      <c r="HB79" s="66"/>
      <c r="HC79" s="66"/>
      <c r="HD79" s="66"/>
      <c r="HE79" s="66"/>
      <c r="HF79" s="66"/>
      <c r="HG79" s="66"/>
      <c r="HH79" s="66"/>
      <c r="HI79" s="66"/>
      <c r="HJ79" s="66"/>
      <c r="HK79" s="66"/>
      <c r="HL79" s="66"/>
      <c r="HM79" s="66"/>
      <c r="HN79" s="66"/>
      <c r="HO79" s="66"/>
      <c r="HP79" s="66"/>
      <c r="HQ79" s="66"/>
      <c r="HR79" s="66"/>
      <c r="HS79" s="66"/>
      <c r="HT79" s="66"/>
      <c r="HU79" s="66"/>
      <c r="HV79" s="66"/>
      <c r="HW79" s="66"/>
      <c r="HX79" s="66"/>
      <c r="HY79" s="66"/>
      <c r="HZ79" s="66"/>
      <c r="IA79" s="66"/>
      <c r="IB79" s="66"/>
      <c r="IC79" s="66"/>
      <c r="ID79" s="66"/>
      <c r="IE79" s="66"/>
      <c r="IF79" s="66"/>
      <c r="IG79" s="66"/>
      <c r="IH79" s="66"/>
      <c r="II79" s="66"/>
      <c r="IJ79" s="66"/>
      <c r="IK79" s="66"/>
      <c r="IL79" s="66"/>
      <c r="IM79" s="66"/>
      <c r="IN79" s="66"/>
      <c r="IO79" s="66"/>
      <c r="IP79" s="66"/>
      <c r="IQ79" s="66"/>
      <c r="IR79" s="66"/>
    </row>
    <row r="80" customFormat="false" ht="22.5" hidden="false" customHeight="true" outlineLevel="0" collapsed="false">
      <c r="A80" s="66"/>
      <c r="B80" s="62" t="s">
        <v>256</v>
      </c>
      <c r="C80" s="63" t="s">
        <v>257</v>
      </c>
      <c r="D80" s="28" t="s">
        <v>103</v>
      </c>
      <c r="E80" s="64"/>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6"/>
      <c r="BX80" s="66"/>
      <c r="BY80" s="66"/>
      <c r="BZ80" s="66"/>
      <c r="CA80" s="66"/>
      <c r="CB80" s="66"/>
      <c r="CC80" s="66"/>
      <c r="CD80" s="66"/>
      <c r="CE80" s="66"/>
      <c r="CF80" s="66"/>
      <c r="CG80" s="66"/>
      <c r="CH80" s="66"/>
      <c r="CI80" s="66"/>
      <c r="CJ80" s="66"/>
      <c r="CK80" s="66"/>
      <c r="CL80" s="66"/>
      <c r="CM80" s="66"/>
      <c r="CN80" s="66"/>
      <c r="CO80" s="66"/>
      <c r="CP80" s="66"/>
      <c r="CQ80" s="66"/>
      <c r="CR80" s="66"/>
      <c r="CS80" s="66"/>
      <c r="CT80" s="66"/>
      <c r="CU80" s="66"/>
      <c r="CV80" s="66"/>
      <c r="CW80" s="66"/>
      <c r="CX80" s="66"/>
      <c r="CY80" s="66"/>
      <c r="CZ80" s="66"/>
      <c r="DA80" s="66"/>
      <c r="DB80" s="66"/>
      <c r="DC80" s="66"/>
      <c r="DD80" s="66"/>
      <c r="DE80" s="66"/>
      <c r="DF80" s="66"/>
      <c r="DG80" s="66"/>
      <c r="DH80" s="66"/>
      <c r="DI80" s="66"/>
      <c r="DJ80" s="66"/>
      <c r="DK80" s="66"/>
      <c r="DL80" s="66"/>
      <c r="DM80" s="66"/>
      <c r="DN80" s="66"/>
      <c r="DO80" s="66"/>
      <c r="DP80" s="66"/>
      <c r="DQ80" s="66"/>
      <c r="DR80" s="66"/>
      <c r="DS80" s="66"/>
      <c r="DT80" s="66"/>
      <c r="DU80" s="66"/>
      <c r="DV80" s="66"/>
      <c r="DW80" s="66"/>
      <c r="DX80" s="66"/>
      <c r="DY80" s="66"/>
      <c r="DZ80" s="66"/>
      <c r="EA80" s="66"/>
      <c r="EB80" s="66"/>
      <c r="EC80" s="66"/>
      <c r="ED80" s="66"/>
      <c r="EE80" s="66"/>
      <c r="EF80" s="66"/>
      <c r="EG80" s="66"/>
      <c r="EH80" s="66"/>
      <c r="EI80" s="66"/>
      <c r="EJ80" s="66"/>
      <c r="EK80" s="66"/>
      <c r="EL80" s="66"/>
      <c r="EM80" s="66"/>
      <c r="EN80" s="66"/>
      <c r="EO80" s="66"/>
      <c r="EP80" s="66"/>
      <c r="EQ80" s="66"/>
      <c r="ER80" s="66"/>
      <c r="ES80" s="66"/>
      <c r="ET80" s="66"/>
      <c r="EU80" s="66"/>
      <c r="EV80" s="66"/>
      <c r="EW80" s="66"/>
      <c r="EX80" s="66"/>
      <c r="EY80" s="66"/>
      <c r="EZ80" s="66"/>
      <c r="FA80" s="66"/>
      <c r="FB80" s="66"/>
      <c r="FC80" s="66"/>
      <c r="FD80" s="66"/>
      <c r="FE80" s="66"/>
      <c r="FF80" s="66"/>
      <c r="FG80" s="66"/>
      <c r="FH80" s="66"/>
      <c r="FI80" s="66"/>
      <c r="FJ80" s="66"/>
      <c r="FK80" s="66"/>
      <c r="FL80" s="66"/>
      <c r="FM80" s="66"/>
      <c r="FN80" s="66"/>
      <c r="FO80" s="66"/>
      <c r="FP80" s="66"/>
      <c r="FQ80" s="66"/>
      <c r="FR80" s="66"/>
      <c r="FS80" s="66"/>
      <c r="FT80" s="66"/>
      <c r="FU80" s="66"/>
      <c r="FV80" s="66"/>
      <c r="FW80" s="66"/>
      <c r="FX80" s="66"/>
      <c r="FY80" s="66"/>
      <c r="FZ80" s="66"/>
      <c r="GA80" s="66"/>
      <c r="GB80" s="66"/>
      <c r="GC80" s="66"/>
      <c r="GD80" s="66"/>
      <c r="GE80" s="66"/>
      <c r="GF80" s="66"/>
      <c r="GG80" s="66"/>
      <c r="GH80" s="66"/>
      <c r="GI80" s="66"/>
      <c r="GJ80" s="66"/>
      <c r="GK80" s="66"/>
      <c r="GL80" s="66"/>
      <c r="GM80" s="66"/>
      <c r="GN80" s="66"/>
      <c r="GO80" s="66"/>
      <c r="GP80" s="66"/>
      <c r="GQ80" s="66"/>
      <c r="GR80" s="66"/>
      <c r="GS80" s="66"/>
      <c r="GT80" s="66"/>
      <c r="GU80" s="66"/>
      <c r="GV80" s="66"/>
      <c r="GW80" s="66"/>
      <c r="GX80" s="66"/>
      <c r="GY80" s="66"/>
      <c r="GZ80" s="66"/>
      <c r="HA80" s="66"/>
      <c r="HB80" s="66"/>
      <c r="HC80" s="66"/>
      <c r="HD80" s="66"/>
      <c r="HE80" s="66"/>
      <c r="HF80" s="66"/>
      <c r="HG80" s="66"/>
      <c r="HH80" s="66"/>
      <c r="HI80" s="66"/>
      <c r="HJ80" s="66"/>
      <c r="HK80" s="66"/>
      <c r="HL80" s="66"/>
      <c r="HM80" s="66"/>
      <c r="HN80" s="66"/>
      <c r="HO80" s="66"/>
      <c r="HP80" s="66"/>
      <c r="HQ80" s="66"/>
      <c r="HR80" s="66"/>
      <c r="HS80" s="66"/>
      <c r="HT80" s="66"/>
      <c r="HU80" s="66"/>
      <c r="HV80" s="66"/>
      <c r="HW80" s="66"/>
      <c r="HX80" s="66"/>
      <c r="HY80" s="66"/>
      <c r="HZ80" s="66"/>
      <c r="IA80" s="66"/>
      <c r="IB80" s="66"/>
      <c r="IC80" s="66"/>
      <c r="ID80" s="66"/>
      <c r="IE80" s="66"/>
      <c r="IF80" s="66"/>
      <c r="IG80" s="66"/>
      <c r="IH80" s="66"/>
      <c r="II80" s="66"/>
      <c r="IJ80" s="66"/>
      <c r="IK80" s="66"/>
      <c r="IL80" s="66"/>
      <c r="IM80" s="66"/>
      <c r="IN80" s="66"/>
      <c r="IO80" s="66"/>
      <c r="IP80" s="66"/>
      <c r="IQ80" s="66"/>
      <c r="IR80" s="66"/>
    </row>
    <row r="81" customFormat="false" ht="22.5" hidden="false" customHeight="true" outlineLevel="0" collapsed="false">
      <c r="A81" s="66"/>
      <c r="B81" s="62" t="s">
        <v>258</v>
      </c>
      <c r="C81" s="63" t="s">
        <v>259</v>
      </c>
      <c r="D81" s="28" t="s">
        <v>103</v>
      </c>
      <c r="E81" s="64"/>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6"/>
      <c r="BZ81" s="66"/>
      <c r="CA81" s="66"/>
      <c r="CB81" s="66"/>
      <c r="CC81" s="66"/>
      <c r="CD81" s="66"/>
      <c r="CE81" s="66"/>
      <c r="CF81" s="66"/>
      <c r="CG81" s="66"/>
      <c r="CH81" s="66"/>
      <c r="CI81" s="66"/>
      <c r="CJ81" s="66"/>
      <c r="CK81" s="66"/>
      <c r="CL81" s="66"/>
      <c r="CM81" s="66"/>
      <c r="CN81" s="66"/>
      <c r="CO81" s="66"/>
      <c r="CP81" s="66"/>
      <c r="CQ81" s="66"/>
      <c r="CR81" s="66"/>
      <c r="CS81" s="66"/>
      <c r="CT81" s="66"/>
      <c r="CU81" s="66"/>
      <c r="CV81" s="66"/>
      <c r="CW81" s="66"/>
      <c r="CX81" s="66"/>
      <c r="CY81" s="66"/>
      <c r="CZ81" s="66"/>
      <c r="DA81" s="66"/>
      <c r="DB81" s="66"/>
      <c r="DC81" s="66"/>
      <c r="DD81" s="66"/>
      <c r="DE81" s="66"/>
      <c r="DF81" s="66"/>
      <c r="DG81" s="66"/>
      <c r="DH81" s="66"/>
      <c r="DI81" s="66"/>
      <c r="DJ81" s="66"/>
      <c r="DK81" s="66"/>
      <c r="DL81" s="66"/>
      <c r="DM81" s="66"/>
      <c r="DN81" s="66"/>
      <c r="DO81" s="66"/>
      <c r="DP81" s="66"/>
      <c r="DQ81" s="66"/>
      <c r="DR81" s="66"/>
      <c r="DS81" s="66"/>
      <c r="DT81" s="66"/>
      <c r="DU81" s="66"/>
      <c r="DV81" s="66"/>
      <c r="DW81" s="66"/>
      <c r="DX81" s="66"/>
      <c r="DY81" s="66"/>
      <c r="DZ81" s="66"/>
      <c r="EA81" s="66"/>
      <c r="EB81" s="66"/>
      <c r="EC81" s="66"/>
      <c r="ED81" s="66"/>
      <c r="EE81" s="66"/>
      <c r="EF81" s="66"/>
      <c r="EG81" s="66"/>
      <c r="EH81" s="66"/>
      <c r="EI81" s="66"/>
      <c r="EJ81" s="66"/>
      <c r="EK81" s="66"/>
      <c r="EL81" s="66"/>
      <c r="EM81" s="66"/>
      <c r="EN81" s="66"/>
      <c r="EO81" s="66"/>
      <c r="EP81" s="66"/>
      <c r="EQ81" s="66"/>
      <c r="ER81" s="66"/>
      <c r="ES81" s="66"/>
      <c r="ET81" s="66"/>
      <c r="EU81" s="66"/>
      <c r="EV81" s="66"/>
      <c r="EW81" s="66"/>
      <c r="EX81" s="66"/>
      <c r="EY81" s="66"/>
      <c r="EZ81" s="66"/>
      <c r="FA81" s="66"/>
      <c r="FB81" s="66"/>
      <c r="FC81" s="66"/>
      <c r="FD81" s="66"/>
      <c r="FE81" s="66"/>
      <c r="FF81" s="66"/>
      <c r="FG81" s="66"/>
      <c r="FH81" s="66"/>
      <c r="FI81" s="66"/>
      <c r="FJ81" s="66"/>
      <c r="FK81" s="66"/>
      <c r="FL81" s="66"/>
      <c r="FM81" s="66"/>
      <c r="FN81" s="66"/>
      <c r="FO81" s="66"/>
      <c r="FP81" s="66"/>
      <c r="FQ81" s="66"/>
      <c r="FR81" s="66"/>
      <c r="FS81" s="66"/>
      <c r="FT81" s="66"/>
      <c r="FU81" s="66"/>
      <c r="FV81" s="66"/>
      <c r="FW81" s="66"/>
      <c r="FX81" s="66"/>
      <c r="FY81" s="66"/>
      <c r="FZ81" s="66"/>
      <c r="GA81" s="66"/>
      <c r="GB81" s="66"/>
      <c r="GC81" s="66"/>
      <c r="GD81" s="66"/>
      <c r="GE81" s="66"/>
      <c r="GF81" s="66"/>
      <c r="GG81" s="66"/>
      <c r="GH81" s="66"/>
      <c r="GI81" s="66"/>
      <c r="GJ81" s="66"/>
      <c r="GK81" s="66"/>
      <c r="GL81" s="66"/>
      <c r="GM81" s="66"/>
      <c r="GN81" s="66"/>
      <c r="GO81" s="66"/>
      <c r="GP81" s="66"/>
      <c r="GQ81" s="66"/>
      <c r="GR81" s="66"/>
      <c r="GS81" s="66"/>
      <c r="GT81" s="66"/>
      <c r="GU81" s="66"/>
      <c r="GV81" s="66"/>
      <c r="GW81" s="66"/>
      <c r="GX81" s="66"/>
      <c r="GY81" s="66"/>
      <c r="GZ81" s="66"/>
      <c r="HA81" s="66"/>
      <c r="HB81" s="66"/>
      <c r="HC81" s="66"/>
      <c r="HD81" s="66"/>
      <c r="HE81" s="66"/>
      <c r="HF81" s="66"/>
      <c r="HG81" s="66"/>
      <c r="HH81" s="66"/>
      <c r="HI81" s="66"/>
      <c r="HJ81" s="66"/>
      <c r="HK81" s="66"/>
      <c r="HL81" s="66"/>
      <c r="HM81" s="66"/>
      <c r="HN81" s="66"/>
      <c r="HO81" s="66"/>
      <c r="HP81" s="66"/>
      <c r="HQ81" s="66"/>
      <c r="HR81" s="66"/>
      <c r="HS81" s="66"/>
      <c r="HT81" s="66"/>
      <c r="HU81" s="66"/>
      <c r="HV81" s="66"/>
      <c r="HW81" s="66"/>
      <c r="HX81" s="66"/>
      <c r="HY81" s="66"/>
      <c r="HZ81" s="66"/>
      <c r="IA81" s="66"/>
      <c r="IB81" s="66"/>
      <c r="IC81" s="66"/>
      <c r="ID81" s="66"/>
      <c r="IE81" s="66"/>
      <c r="IF81" s="66"/>
      <c r="IG81" s="66"/>
      <c r="IH81" s="66"/>
      <c r="II81" s="66"/>
      <c r="IJ81" s="66"/>
      <c r="IK81" s="66"/>
      <c r="IL81" s="66"/>
      <c r="IM81" s="66"/>
      <c r="IN81" s="66"/>
      <c r="IO81" s="66"/>
      <c r="IP81" s="66"/>
      <c r="IQ81" s="66"/>
      <c r="IR81" s="66"/>
    </row>
    <row r="82" customFormat="false" ht="22.5" hidden="false" customHeight="true" outlineLevel="0" collapsed="false">
      <c r="A82" s="66"/>
      <c r="B82" s="62" t="s">
        <v>260</v>
      </c>
      <c r="C82" s="63" t="s">
        <v>261</v>
      </c>
      <c r="D82" s="28" t="s">
        <v>103</v>
      </c>
      <c r="E82" s="64"/>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6"/>
      <c r="CD82" s="66"/>
      <c r="CE82" s="66"/>
      <c r="CF82" s="66"/>
      <c r="CG82" s="66"/>
      <c r="CH82" s="66"/>
      <c r="CI82" s="66"/>
      <c r="CJ82" s="66"/>
      <c r="CK82" s="66"/>
      <c r="CL82" s="66"/>
      <c r="CM82" s="66"/>
      <c r="CN82" s="66"/>
      <c r="CO82" s="66"/>
      <c r="CP82" s="66"/>
      <c r="CQ82" s="66"/>
      <c r="CR82" s="66"/>
      <c r="CS82" s="66"/>
      <c r="CT82" s="66"/>
      <c r="CU82" s="66"/>
      <c r="CV82" s="66"/>
      <c r="CW82" s="66"/>
      <c r="CX82" s="66"/>
      <c r="CY82" s="66"/>
      <c r="CZ82" s="66"/>
      <c r="DA82" s="66"/>
      <c r="DB82" s="66"/>
      <c r="DC82" s="66"/>
      <c r="DD82" s="66"/>
      <c r="DE82" s="66"/>
      <c r="DF82" s="66"/>
      <c r="DG82" s="66"/>
      <c r="DH82" s="66"/>
      <c r="DI82" s="66"/>
      <c r="DJ82" s="66"/>
      <c r="DK82" s="66"/>
      <c r="DL82" s="66"/>
      <c r="DM82" s="66"/>
      <c r="DN82" s="66"/>
      <c r="DO82" s="66"/>
      <c r="DP82" s="66"/>
      <c r="DQ82" s="66"/>
      <c r="DR82" s="66"/>
      <c r="DS82" s="66"/>
      <c r="DT82" s="66"/>
      <c r="DU82" s="66"/>
      <c r="DV82" s="66"/>
      <c r="DW82" s="66"/>
      <c r="DX82" s="66"/>
      <c r="DY82" s="66"/>
      <c r="DZ82" s="66"/>
      <c r="EA82" s="66"/>
      <c r="EB82" s="66"/>
      <c r="EC82" s="66"/>
      <c r="ED82" s="66"/>
      <c r="EE82" s="66"/>
      <c r="EF82" s="66"/>
      <c r="EG82" s="66"/>
      <c r="EH82" s="66"/>
      <c r="EI82" s="66"/>
      <c r="EJ82" s="66"/>
      <c r="EK82" s="66"/>
      <c r="EL82" s="66"/>
      <c r="EM82" s="66"/>
      <c r="EN82" s="66"/>
      <c r="EO82" s="66"/>
      <c r="EP82" s="66"/>
      <c r="EQ82" s="66"/>
      <c r="ER82" s="66"/>
      <c r="ES82" s="66"/>
      <c r="ET82" s="66"/>
      <c r="EU82" s="66"/>
      <c r="EV82" s="66"/>
      <c r="EW82" s="66"/>
      <c r="EX82" s="66"/>
      <c r="EY82" s="66"/>
      <c r="EZ82" s="66"/>
      <c r="FA82" s="66"/>
      <c r="FB82" s="66"/>
      <c r="FC82" s="66"/>
      <c r="FD82" s="66"/>
      <c r="FE82" s="66"/>
      <c r="FF82" s="66"/>
      <c r="FG82" s="66"/>
      <c r="FH82" s="66"/>
      <c r="FI82" s="66"/>
      <c r="FJ82" s="66"/>
      <c r="FK82" s="66"/>
      <c r="FL82" s="66"/>
      <c r="FM82" s="66"/>
      <c r="FN82" s="66"/>
      <c r="FO82" s="66"/>
      <c r="FP82" s="66"/>
      <c r="FQ82" s="66"/>
      <c r="FR82" s="66"/>
      <c r="FS82" s="66"/>
      <c r="FT82" s="66"/>
      <c r="FU82" s="66"/>
      <c r="FV82" s="66"/>
      <c r="FW82" s="66"/>
      <c r="FX82" s="66"/>
      <c r="FY82" s="66"/>
      <c r="FZ82" s="66"/>
      <c r="GA82" s="66"/>
      <c r="GB82" s="66"/>
      <c r="GC82" s="66"/>
      <c r="GD82" s="66"/>
      <c r="GE82" s="66"/>
      <c r="GF82" s="66"/>
      <c r="GG82" s="66"/>
      <c r="GH82" s="66"/>
      <c r="GI82" s="66"/>
      <c r="GJ82" s="66"/>
      <c r="GK82" s="66"/>
      <c r="GL82" s="66"/>
      <c r="GM82" s="66"/>
      <c r="GN82" s="66"/>
      <c r="GO82" s="66"/>
      <c r="GP82" s="66"/>
      <c r="GQ82" s="66"/>
      <c r="GR82" s="66"/>
      <c r="GS82" s="66"/>
      <c r="GT82" s="66"/>
      <c r="GU82" s="66"/>
      <c r="GV82" s="66"/>
      <c r="GW82" s="66"/>
      <c r="GX82" s="66"/>
      <c r="GY82" s="66"/>
      <c r="GZ82" s="66"/>
      <c r="HA82" s="66"/>
      <c r="HB82" s="66"/>
      <c r="HC82" s="66"/>
      <c r="HD82" s="66"/>
      <c r="HE82" s="66"/>
      <c r="HF82" s="66"/>
      <c r="HG82" s="66"/>
      <c r="HH82" s="66"/>
      <c r="HI82" s="66"/>
      <c r="HJ82" s="66"/>
      <c r="HK82" s="66"/>
      <c r="HL82" s="66"/>
      <c r="HM82" s="66"/>
      <c r="HN82" s="66"/>
      <c r="HO82" s="66"/>
      <c r="HP82" s="66"/>
      <c r="HQ82" s="66"/>
      <c r="HR82" s="66"/>
      <c r="HS82" s="66"/>
      <c r="HT82" s="66"/>
      <c r="HU82" s="66"/>
      <c r="HV82" s="66"/>
      <c r="HW82" s="66"/>
      <c r="HX82" s="66"/>
      <c r="HY82" s="66"/>
      <c r="HZ82" s="66"/>
      <c r="IA82" s="66"/>
      <c r="IB82" s="66"/>
      <c r="IC82" s="66"/>
      <c r="ID82" s="66"/>
      <c r="IE82" s="66"/>
      <c r="IF82" s="66"/>
      <c r="IG82" s="66"/>
      <c r="IH82" s="66"/>
      <c r="II82" s="66"/>
      <c r="IJ82" s="66"/>
      <c r="IK82" s="66"/>
      <c r="IL82" s="66"/>
      <c r="IM82" s="66"/>
      <c r="IN82" s="66"/>
      <c r="IO82" s="66"/>
      <c r="IP82" s="66"/>
      <c r="IQ82" s="66"/>
      <c r="IR82" s="66"/>
    </row>
    <row r="83" customFormat="false" ht="22.5" hidden="false" customHeight="true" outlineLevel="0" collapsed="false">
      <c r="A83" s="66"/>
      <c r="B83" s="62" t="s">
        <v>262</v>
      </c>
      <c r="C83" s="63" t="s">
        <v>263</v>
      </c>
      <c r="D83" s="28" t="s">
        <v>103</v>
      </c>
      <c r="E83" s="64"/>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6"/>
      <c r="CD83" s="66"/>
      <c r="CE83" s="66"/>
      <c r="CF83" s="66"/>
      <c r="CG83" s="66"/>
      <c r="CH83" s="66"/>
      <c r="CI83" s="66"/>
      <c r="CJ83" s="66"/>
      <c r="CK83" s="66"/>
      <c r="CL83" s="66"/>
      <c r="CM83" s="66"/>
      <c r="CN83" s="66"/>
      <c r="CO83" s="66"/>
      <c r="CP83" s="66"/>
      <c r="CQ83" s="66"/>
      <c r="CR83" s="66"/>
      <c r="CS83" s="66"/>
      <c r="CT83" s="66"/>
      <c r="CU83" s="66"/>
      <c r="CV83" s="66"/>
      <c r="CW83" s="66"/>
      <c r="CX83" s="66"/>
      <c r="CY83" s="66"/>
      <c r="CZ83" s="66"/>
      <c r="DA83" s="66"/>
      <c r="DB83" s="66"/>
      <c r="DC83" s="66"/>
      <c r="DD83" s="66"/>
      <c r="DE83" s="66"/>
      <c r="DF83" s="66"/>
      <c r="DG83" s="66"/>
      <c r="DH83" s="66"/>
      <c r="DI83" s="66"/>
      <c r="DJ83" s="66"/>
      <c r="DK83" s="66"/>
      <c r="DL83" s="66"/>
      <c r="DM83" s="66"/>
      <c r="DN83" s="66"/>
      <c r="DO83" s="66"/>
      <c r="DP83" s="66"/>
      <c r="DQ83" s="66"/>
      <c r="DR83" s="66"/>
      <c r="DS83" s="66"/>
      <c r="DT83" s="66"/>
      <c r="DU83" s="66"/>
      <c r="DV83" s="66"/>
      <c r="DW83" s="66"/>
      <c r="DX83" s="66"/>
      <c r="DY83" s="66"/>
      <c r="DZ83" s="66"/>
      <c r="EA83" s="66"/>
      <c r="EB83" s="66"/>
      <c r="EC83" s="66"/>
      <c r="ED83" s="66"/>
      <c r="EE83" s="66"/>
      <c r="EF83" s="66"/>
      <c r="EG83" s="66"/>
      <c r="EH83" s="66"/>
      <c r="EI83" s="66"/>
      <c r="EJ83" s="66"/>
      <c r="EK83" s="66"/>
      <c r="EL83" s="66"/>
      <c r="EM83" s="66"/>
      <c r="EN83" s="66"/>
      <c r="EO83" s="66"/>
      <c r="EP83" s="66"/>
      <c r="EQ83" s="66"/>
      <c r="ER83" s="66"/>
      <c r="ES83" s="66"/>
      <c r="ET83" s="66"/>
      <c r="EU83" s="66"/>
      <c r="EV83" s="66"/>
      <c r="EW83" s="66"/>
      <c r="EX83" s="66"/>
      <c r="EY83" s="66"/>
      <c r="EZ83" s="66"/>
      <c r="FA83" s="66"/>
      <c r="FB83" s="66"/>
      <c r="FC83" s="66"/>
      <c r="FD83" s="66"/>
      <c r="FE83" s="66"/>
      <c r="FF83" s="66"/>
      <c r="FG83" s="66"/>
      <c r="FH83" s="66"/>
      <c r="FI83" s="66"/>
      <c r="FJ83" s="66"/>
      <c r="FK83" s="66"/>
      <c r="FL83" s="66"/>
      <c r="FM83" s="66"/>
      <c r="FN83" s="66"/>
      <c r="FO83" s="66"/>
      <c r="FP83" s="66"/>
      <c r="FQ83" s="66"/>
      <c r="FR83" s="66"/>
      <c r="FS83" s="66"/>
      <c r="FT83" s="66"/>
      <c r="FU83" s="66"/>
      <c r="FV83" s="66"/>
      <c r="FW83" s="66"/>
      <c r="FX83" s="66"/>
      <c r="FY83" s="66"/>
      <c r="FZ83" s="66"/>
      <c r="GA83" s="66"/>
      <c r="GB83" s="66"/>
      <c r="GC83" s="66"/>
      <c r="GD83" s="66"/>
      <c r="GE83" s="66"/>
      <c r="GF83" s="66"/>
      <c r="GG83" s="66"/>
      <c r="GH83" s="66"/>
      <c r="GI83" s="66"/>
      <c r="GJ83" s="66"/>
      <c r="GK83" s="66"/>
      <c r="GL83" s="66"/>
      <c r="GM83" s="66"/>
      <c r="GN83" s="66"/>
      <c r="GO83" s="66"/>
      <c r="GP83" s="66"/>
      <c r="GQ83" s="66"/>
      <c r="GR83" s="66"/>
      <c r="GS83" s="66"/>
      <c r="GT83" s="66"/>
      <c r="GU83" s="66"/>
      <c r="GV83" s="66"/>
      <c r="GW83" s="66"/>
      <c r="GX83" s="66"/>
      <c r="GY83" s="66"/>
      <c r="GZ83" s="66"/>
      <c r="HA83" s="66"/>
      <c r="HB83" s="66"/>
      <c r="HC83" s="66"/>
      <c r="HD83" s="66"/>
      <c r="HE83" s="66"/>
      <c r="HF83" s="66"/>
      <c r="HG83" s="66"/>
      <c r="HH83" s="66"/>
      <c r="HI83" s="66"/>
      <c r="HJ83" s="66"/>
      <c r="HK83" s="66"/>
      <c r="HL83" s="66"/>
      <c r="HM83" s="66"/>
      <c r="HN83" s="66"/>
      <c r="HO83" s="66"/>
      <c r="HP83" s="66"/>
      <c r="HQ83" s="66"/>
      <c r="HR83" s="66"/>
      <c r="HS83" s="66"/>
      <c r="HT83" s="66"/>
      <c r="HU83" s="66"/>
      <c r="HV83" s="66"/>
      <c r="HW83" s="66"/>
      <c r="HX83" s="66"/>
      <c r="HY83" s="66"/>
      <c r="HZ83" s="66"/>
      <c r="IA83" s="66"/>
      <c r="IB83" s="66"/>
      <c r="IC83" s="66"/>
      <c r="ID83" s="66"/>
      <c r="IE83" s="66"/>
      <c r="IF83" s="66"/>
      <c r="IG83" s="66"/>
      <c r="IH83" s="66"/>
      <c r="II83" s="66"/>
      <c r="IJ83" s="66"/>
      <c r="IK83" s="66"/>
      <c r="IL83" s="66"/>
      <c r="IM83" s="66"/>
      <c r="IN83" s="66"/>
      <c r="IO83" s="66"/>
      <c r="IP83" s="66"/>
      <c r="IQ83" s="66"/>
      <c r="IR83" s="66"/>
    </row>
    <row r="84" customFormat="false" ht="22.5" hidden="false" customHeight="true" outlineLevel="0" collapsed="false">
      <c r="A84" s="66"/>
      <c r="B84" s="62" t="s">
        <v>264</v>
      </c>
      <c r="C84" s="63" t="s">
        <v>265</v>
      </c>
      <c r="D84" s="28" t="s">
        <v>103</v>
      </c>
      <c r="E84" s="64"/>
      <c r="F84" s="66"/>
      <c r="G84" s="66"/>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6"/>
      <c r="CD84" s="66"/>
      <c r="CE84" s="66"/>
      <c r="CF84" s="66"/>
      <c r="CG84" s="66"/>
      <c r="CH84" s="66"/>
      <c r="CI84" s="66"/>
      <c r="CJ84" s="66"/>
      <c r="CK84" s="66"/>
      <c r="CL84" s="66"/>
      <c r="CM84" s="66"/>
      <c r="CN84" s="66"/>
      <c r="CO84" s="66"/>
      <c r="CP84" s="66"/>
      <c r="CQ84" s="66"/>
      <c r="CR84" s="66"/>
      <c r="CS84" s="66"/>
      <c r="CT84" s="66"/>
      <c r="CU84" s="66"/>
      <c r="CV84" s="66"/>
      <c r="CW84" s="66"/>
      <c r="CX84" s="66"/>
      <c r="CY84" s="66"/>
      <c r="CZ84" s="66"/>
      <c r="DA84" s="66"/>
      <c r="DB84" s="66"/>
      <c r="DC84" s="66"/>
      <c r="DD84" s="66"/>
      <c r="DE84" s="66"/>
      <c r="DF84" s="66"/>
      <c r="DG84" s="66"/>
      <c r="DH84" s="66"/>
      <c r="DI84" s="66"/>
      <c r="DJ84" s="66"/>
      <c r="DK84" s="66"/>
      <c r="DL84" s="66"/>
      <c r="DM84" s="66"/>
      <c r="DN84" s="66"/>
      <c r="DO84" s="66"/>
      <c r="DP84" s="66"/>
      <c r="DQ84" s="66"/>
      <c r="DR84" s="66"/>
      <c r="DS84" s="66"/>
      <c r="DT84" s="66"/>
      <c r="DU84" s="66"/>
      <c r="DV84" s="66"/>
      <c r="DW84" s="66"/>
      <c r="DX84" s="66"/>
      <c r="DY84" s="66"/>
      <c r="DZ84" s="66"/>
      <c r="EA84" s="66"/>
      <c r="EB84" s="66"/>
      <c r="EC84" s="66"/>
      <c r="ED84" s="66"/>
      <c r="EE84" s="66"/>
      <c r="EF84" s="66"/>
      <c r="EG84" s="66"/>
      <c r="EH84" s="66"/>
      <c r="EI84" s="66"/>
      <c r="EJ84" s="66"/>
      <c r="EK84" s="66"/>
      <c r="EL84" s="66"/>
      <c r="EM84" s="66"/>
      <c r="EN84" s="66"/>
      <c r="EO84" s="66"/>
      <c r="EP84" s="66"/>
      <c r="EQ84" s="66"/>
      <c r="ER84" s="66"/>
      <c r="ES84" s="66"/>
      <c r="ET84" s="66"/>
      <c r="EU84" s="66"/>
      <c r="EV84" s="66"/>
      <c r="EW84" s="66"/>
      <c r="EX84" s="66"/>
      <c r="EY84" s="66"/>
      <c r="EZ84" s="66"/>
      <c r="FA84" s="66"/>
      <c r="FB84" s="66"/>
      <c r="FC84" s="66"/>
      <c r="FD84" s="66"/>
      <c r="FE84" s="66"/>
      <c r="FF84" s="66"/>
      <c r="FG84" s="66"/>
      <c r="FH84" s="66"/>
      <c r="FI84" s="66"/>
      <c r="FJ84" s="66"/>
      <c r="FK84" s="66"/>
      <c r="FL84" s="66"/>
      <c r="FM84" s="66"/>
      <c r="FN84" s="66"/>
      <c r="FO84" s="66"/>
      <c r="FP84" s="66"/>
      <c r="FQ84" s="66"/>
      <c r="FR84" s="66"/>
      <c r="FS84" s="66"/>
      <c r="FT84" s="66"/>
      <c r="FU84" s="66"/>
      <c r="FV84" s="66"/>
      <c r="FW84" s="66"/>
      <c r="FX84" s="66"/>
      <c r="FY84" s="66"/>
      <c r="FZ84" s="66"/>
      <c r="GA84" s="66"/>
      <c r="GB84" s="66"/>
      <c r="GC84" s="66"/>
      <c r="GD84" s="66"/>
      <c r="GE84" s="66"/>
      <c r="GF84" s="66"/>
      <c r="GG84" s="66"/>
      <c r="GH84" s="66"/>
      <c r="GI84" s="66"/>
      <c r="GJ84" s="66"/>
      <c r="GK84" s="66"/>
      <c r="GL84" s="66"/>
      <c r="GM84" s="66"/>
      <c r="GN84" s="66"/>
      <c r="GO84" s="66"/>
      <c r="GP84" s="66"/>
      <c r="GQ84" s="66"/>
      <c r="GR84" s="66"/>
      <c r="GS84" s="66"/>
      <c r="GT84" s="66"/>
      <c r="GU84" s="66"/>
      <c r="GV84" s="66"/>
      <c r="GW84" s="66"/>
      <c r="GX84" s="66"/>
      <c r="GY84" s="66"/>
      <c r="GZ84" s="66"/>
      <c r="HA84" s="66"/>
      <c r="HB84" s="66"/>
      <c r="HC84" s="66"/>
      <c r="HD84" s="66"/>
      <c r="HE84" s="66"/>
      <c r="HF84" s="66"/>
      <c r="HG84" s="66"/>
      <c r="HH84" s="66"/>
      <c r="HI84" s="66"/>
      <c r="HJ84" s="66"/>
      <c r="HK84" s="66"/>
      <c r="HL84" s="66"/>
      <c r="HM84" s="66"/>
      <c r="HN84" s="66"/>
      <c r="HO84" s="66"/>
      <c r="HP84" s="66"/>
      <c r="HQ84" s="66"/>
      <c r="HR84" s="66"/>
      <c r="HS84" s="66"/>
      <c r="HT84" s="66"/>
      <c r="HU84" s="66"/>
      <c r="HV84" s="66"/>
      <c r="HW84" s="66"/>
      <c r="HX84" s="66"/>
      <c r="HY84" s="66"/>
      <c r="HZ84" s="66"/>
      <c r="IA84" s="66"/>
      <c r="IB84" s="66"/>
      <c r="IC84" s="66"/>
      <c r="ID84" s="66"/>
      <c r="IE84" s="66"/>
      <c r="IF84" s="66"/>
      <c r="IG84" s="66"/>
      <c r="IH84" s="66"/>
      <c r="II84" s="66"/>
      <c r="IJ84" s="66"/>
      <c r="IK84" s="66"/>
      <c r="IL84" s="66"/>
      <c r="IM84" s="66"/>
      <c r="IN84" s="66"/>
      <c r="IO84" s="66"/>
      <c r="IP84" s="66"/>
      <c r="IQ84" s="66"/>
      <c r="IR84" s="66"/>
    </row>
    <row r="85" customFormat="false" ht="22.5" hidden="false" customHeight="true" outlineLevel="0" collapsed="false">
      <c r="A85" s="66"/>
      <c r="B85" s="62" t="s">
        <v>266</v>
      </c>
      <c r="C85" s="63" t="s">
        <v>267</v>
      </c>
      <c r="D85" s="28" t="s">
        <v>103</v>
      </c>
      <c r="E85" s="64"/>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c r="BZ85" s="66"/>
      <c r="CA85" s="66"/>
      <c r="CB85" s="66"/>
      <c r="CC85" s="66"/>
      <c r="CD85" s="66"/>
      <c r="CE85" s="66"/>
      <c r="CF85" s="66"/>
      <c r="CG85" s="66"/>
      <c r="CH85" s="66"/>
      <c r="CI85" s="66"/>
      <c r="CJ85" s="66"/>
      <c r="CK85" s="66"/>
      <c r="CL85" s="66"/>
      <c r="CM85" s="66"/>
      <c r="CN85" s="66"/>
      <c r="CO85" s="66"/>
      <c r="CP85" s="66"/>
      <c r="CQ85" s="66"/>
      <c r="CR85" s="66"/>
      <c r="CS85" s="66"/>
      <c r="CT85" s="66"/>
      <c r="CU85" s="66"/>
      <c r="CV85" s="66"/>
      <c r="CW85" s="66"/>
      <c r="CX85" s="66"/>
      <c r="CY85" s="66"/>
      <c r="CZ85" s="66"/>
      <c r="DA85" s="66"/>
      <c r="DB85" s="66"/>
      <c r="DC85" s="66"/>
      <c r="DD85" s="66"/>
      <c r="DE85" s="66"/>
      <c r="DF85" s="66"/>
      <c r="DG85" s="66"/>
      <c r="DH85" s="66"/>
      <c r="DI85" s="66"/>
      <c r="DJ85" s="66"/>
      <c r="DK85" s="66"/>
      <c r="DL85" s="66"/>
      <c r="DM85" s="66"/>
      <c r="DN85" s="66"/>
      <c r="DO85" s="66"/>
      <c r="DP85" s="66"/>
      <c r="DQ85" s="66"/>
      <c r="DR85" s="66"/>
      <c r="DS85" s="66"/>
      <c r="DT85" s="66"/>
      <c r="DU85" s="66"/>
      <c r="DV85" s="66"/>
      <c r="DW85" s="66"/>
      <c r="DX85" s="66"/>
      <c r="DY85" s="66"/>
      <c r="DZ85" s="66"/>
      <c r="EA85" s="66"/>
      <c r="EB85" s="66"/>
      <c r="EC85" s="66"/>
      <c r="ED85" s="66"/>
      <c r="EE85" s="66"/>
      <c r="EF85" s="66"/>
      <c r="EG85" s="66"/>
      <c r="EH85" s="66"/>
      <c r="EI85" s="66"/>
      <c r="EJ85" s="66"/>
      <c r="EK85" s="66"/>
      <c r="EL85" s="66"/>
      <c r="EM85" s="66"/>
      <c r="EN85" s="66"/>
      <c r="EO85" s="66"/>
      <c r="EP85" s="66"/>
      <c r="EQ85" s="66"/>
      <c r="ER85" s="66"/>
      <c r="ES85" s="66"/>
      <c r="ET85" s="66"/>
      <c r="EU85" s="66"/>
      <c r="EV85" s="66"/>
      <c r="EW85" s="66"/>
      <c r="EX85" s="66"/>
      <c r="EY85" s="66"/>
      <c r="EZ85" s="66"/>
      <c r="FA85" s="66"/>
      <c r="FB85" s="66"/>
      <c r="FC85" s="66"/>
      <c r="FD85" s="66"/>
      <c r="FE85" s="66"/>
      <c r="FF85" s="66"/>
      <c r="FG85" s="66"/>
      <c r="FH85" s="66"/>
      <c r="FI85" s="66"/>
      <c r="FJ85" s="66"/>
      <c r="FK85" s="66"/>
      <c r="FL85" s="66"/>
      <c r="FM85" s="66"/>
      <c r="FN85" s="66"/>
      <c r="FO85" s="66"/>
      <c r="FP85" s="66"/>
      <c r="FQ85" s="66"/>
      <c r="FR85" s="66"/>
      <c r="FS85" s="66"/>
      <c r="FT85" s="66"/>
      <c r="FU85" s="66"/>
      <c r="FV85" s="66"/>
      <c r="FW85" s="66"/>
      <c r="FX85" s="66"/>
      <c r="FY85" s="66"/>
      <c r="FZ85" s="66"/>
      <c r="GA85" s="66"/>
      <c r="GB85" s="66"/>
      <c r="GC85" s="66"/>
      <c r="GD85" s="66"/>
      <c r="GE85" s="66"/>
      <c r="GF85" s="66"/>
      <c r="GG85" s="66"/>
      <c r="GH85" s="66"/>
      <c r="GI85" s="66"/>
      <c r="GJ85" s="66"/>
      <c r="GK85" s="66"/>
      <c r="GL85" s="66"/>
      <c r="GM85" s="66"/>
      <c r="GN85" s="66"/>
      <c r="GO85" s="66"/>
      <c r="GP85" s="66"/>
      <c r="GQ85" s="66"/>
      <c r="GR85" s="66"/>
      <c r="GS85" s="66"/>
      <c r="GT85" s="66"/>
      <c r="GU85" s="66"/>
      <c r="GV85" s="66"/>
      <c r="GW85" s="66"/>
      <c r="GX85" s="66"/>
      <c r="GY85" s="66"/>
      <c r="GZ85" s="66"/>
      <c r="HA85" s="66"/>
      <c r="HB85" s="66"/>
      <c r="HC85" s="66"/>
      <c r="HD85" s="66"/>
      <c r="HE85" s="66"/>
      <c r="HF85" s="66"/>
      <c r="HG85" s="66"/>
      <c r="HH85" s="66"/>
      <c r="HI85" s="66"/>
      <c r="HJ85" s="66"/>
      <c r="HK85" s="66"/>
      <c r="HL85" s="66"/>
      <c r="HM85" s="66"/>
      <c r="HN85" s="66"/>
      <c r="HO85" s="66"/>
      <c r="HP85" s="66"/>
      <c r="HQ85" s="66"/>
      <c r="HR85" s="66"/>
      <c r="HS85" s="66"/>
      <c r="HT85" s="66"/>
      <c r="HU85" s="66"/>
      <c r="HV85" s="66"/>
      <c r="HW85" s="66"/>
      <c r="HX85" s="66"/>
      <c r="HY85" s="66"/>
      <c r="HZ85" s="66"/>
      <c r="IA85" s="66"/>
      <c r="IB85" s="66"/>
      <c r="IC85" s="66"/>
      <c r="ID85" s="66"/>
      <c r="IE85" s="66"/>
      <c r="IF85" s="66"/>
      <c r="IG85" s="66"/>
      <c r="IH85" s="66"/>
      <c r="II85" s="66"/>
      <c r="IJ85" s="66"/>
      <c r="IK85" s="66"/>
      <c r="IL85" s="66"/>
      <c r="IM85" s="66"/>
      <c r="IN85" s="66"/>
      <c r="IO85" s="66"/>
      <c r="IP85" s="66"/>
      <c r="IQ85" s="66"/>
      <c r="IR85" s="66"/>
    </row>
    <row r="86" customFormat="false" ht="22.5" hidden="false" customHeight="true" outlineLevel="0" collapsed="false">
      <c r="A86" s="66"/>
      <c r="B86" s="62" t="s">
        <v>268</v>
      </c>
      <c r="C86" s="63" t="s">
        <v>269</v>
      </c>
      <c r="D86" s="28" t="s">
        <v>103</v>
      </c>
      <c r="E86" s="64"/>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6"/>
      <c r="BX86" s="66"/>
      <c r="BY86" s="66"/>
      <c r="BZ86" s="66"/>
      <c r="CA86" s="66"/>
      <c r="CB86" s="66"/>
      <c r="CC86" s="66"/>
      <c r="CD86" s="66"/>
      <c r="CE86" s="66"/>
      <c r="CF86" s="66"/>
      <c r="CG86" s="66"/>
      <c r="CH86" s="66"/>
      <c r="CI86" s="66"/>
      <c r="CJ86" s="66"/>
      <c r="CK86" s="66"/>
      <c r="CL86" s="66"/>
      <c r="CM86" s="66"/>
      <c r="CN86" s="66"/>
      <c r="CO86" s="66"/>
      <c r="CP86" s="66"/>
      <c r="CQ86" s="66"/>
      <c r="CR86" s="66"/>
      <c r="CS86" s="66"/>
      <c r="CT86" s="66"/>
      <c r="CU86" s="66"/>
      <c r="CV86" s="66"/>
      <c r="CW86" s="66"/>
      <c r="CX86" s="66"/>
      <c r="CY86" s="66"/>
      <c r="CZ86" s="66"/>
      <c r="DA86" s="66"/>
      <c r="DB86" s="66"/>
      <c r="DC86" s="66"/>
      <c r="DD86" s="66"/>
      <c r="DE86" s="66"/>
      <c r="DF86" s="66"/>
      <c r="DG86" s="66"/>
      <c r="DH86" s="66"/>
      <c r="DI86" s="66"/>
      <c r="DJ86" s="66"/>
      <c r="DK86" s="66"/>
      <c r="DL86" s="66"/>
      <c r="DM86" s="66"/>
      <c r="DN86" s="66"/>
      <c r="DO86" s="66"/>
      <c r="DP86" s="66"/>
      <c r="DQ86" s="66"/>
      <c r="DR86" s="66"/>
      <c r="DS86" s="66"/>
      <c r="DT86" s="66"/>
      <c r="DU86" s="66"/>
      <c r="DV86" s="66"/>
      <c r="DW86" s="66"/>
      <c r="DX86" s="66"/>
      <c r="DY86" s="66"/>
      <c r="DZ86" s="66"/>
      <c r="EA86" s="66"/>
      <c r="EB86" s="66"/>
      <c r="EC86" s="66"/>
      <c r="ED86" s="66"/>
      <c r="EE86" s="66"/>
      <c r="EF86" s="66"/>
      <c r="EG86" s="66"/>
      <c r="EH86" s="66"/>
      <c r="EI86" s="66"/>
      <c r="EJ86" s="66"/>
      <c r="EK86" s="66"/>
      <c r="EL86" s="66"/>
      <c r="EM86" s="66"/>
      <c r="EN86" s="66"/>
      <c r="EO86" s="66"/>
      <c r="EP86" s="66"/>
      <c r="EQ86" s="66"/>
      <c r="ER86" s="66"/>
      <c r="ES86" s="66"/>
      <c r="ET86" s="66"/>
      <c r="EU86" s="66"/>
      <c r="EV86" s="66"/>
      <c r="EW86" s="66"/>
      <c r="EX86" s="66"/>
      <c r="EY86" s="66"/>
      <c r="EZ86" s="66"/>
      <c r="FA86" s="66"/>
      <c r="FB86" s="66"/>
      <c r="FC86" s="66"/>
      <c r="FD86" s="66"/>
      <c r="FE86" s="66"/>
      <c r="FF86" s="66"/>
      <c r="FG86" s="66"/>
      <c r="FH86" s="66"/>
      <c r="FI86" s="66"/>
      <c r="FJ86" s="66"/>
      <c r="FK86" s="66"/>
      <c r="FL86" s="66"/>
      <c r="FM86" s="66"/>
      <c r="FN86" s="66"/>
      <c r="FO86" s="66"/>
      <c r="FP86" s="66"/>
      <c r="FQ86" s="66"/>
      <c r="FR86" s="66"/>
      <c r="FS86" s="66"/>
      <c r="FT86" s="66"/>
      <c r="FU86" s="66"/>
      <c r="FV86" s="66"/>
      <c r="FW86" s="66"/>
      <c r="FX86" s="66"/>
      <c r="FY86" s="66"/>
      <c r="FZ86" s="66"/>
      <c r="GA86" s="66"/>
      <c r="GB86" s="66"/>
      <c r="GC86" s="66"/>
      <c r="GD86" s="66"/>
      <c r="GE86" s="66"/>
      <c r="GF86" s="66"/>
      <c r="GG86" s="66"/>
      <c r="GH86" s="66"/>
      <c r="GI86" s="66"/>
      <c r="GJ86" s="66"/>
      <c r="GK86" s="66"/>
      <c r="GL86" s="66"/>
      <c r="GM86" s="66"/>
      <c r="GN86" s="66"/>
      <c r="GO86" s="66"/>
      <c r="GP86" s="66"/>
      <c r="GQ86" s="66"/>
      <c r="GR86" s="66"/>
      <c r="GS86" s="66"/>
      <c r="GT86" s="66"/>
      <c r="GU86" s="66"/>
      <c r="GV86" s="66"/>
      <c r="GW86" s="66"/>
      <c r="GX86" s="66"/>
      <c r="GY86" s="66"/>
      <c r="GZ86" s="66"/>
      <c r="HA86" s="66"/>
      <c r="HB86" s="66"/>
      <c r="HC86" s="66"/>
      <c r="HD86" s="66"/>
      <c r="HE86" s="66"/>
      <c r="HF86" s="66"/>
      <c r="HG86" s="66"/>
      <c r="HH86" s="66"/>
      <c r="HI86" s="66"/>
      <c r="HJ86" s="66"/>
      <c r="HK86" s="66"/>
      <c r="HL86" s="66"/>
      <c r="HM86" s="66"/>
      <c r="HN86" s="66"/>
      <c r="HO86" s="66"/>
      <c r="HP86" s="66"/>
      <c r="HQ86" s="66"/>
      <c r="HR86" s="66"/>
      <c r="HS86" s="66"/>
      <c r="HT86" s="66"/>
      <c r="HU86" s="66"/>
      <c r="HV86" s="66"/>
      <c r="HW86" s="66"/>
      <c r="HX86" s="66"/>
      <c r="HY86" s="66"/>
      <c r="HZ86" s="66"/>
      <c r="IA86" s="66"/>
      <c r="IB86" s="66"/>
      <c r="IC86" s="66"/>
      <c r="ID86" s="66"/>
      <c r="IE86" s="66"/>
      <c r="IF86" s="66"/>
      <c r="IG86" s="66"/>
      <c r="IH86" s="66"/>
      <c r="II86" s="66"/>
      <c r="IJ86" s="66"/>
      <c r="IK86" s="66"/>
      <c r="IL86" s="66"/>
      <c r="IM86" s="66"/>
      <c r="IN86" s="66"/>
      <c r="IO86" s="66"/>
      <c r="IP86" s="66"/>
      <c r="IQ86" s="66"/>
      <c r="IR86" s="66"/>
    </row>
    <row r="87" customFormat="false" ht="22.5" hidden="false" customHeight="true" outlineLevel="0" collapsed="false">
      <c r="A87" s="66"/>
      <c r="B87" s="62" t="s">
        <v>270</v>
      </c>
      <c r="C87" s="63" t="s">
        <v>271</v>
      </c>
      <c r="D87" s="28" t="s">
        <v>103</v>
      </c>
      <c r="E87" s="64"/>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66"/>
      <c r="CB87" s="66"/>
      <c r="CC87" s="66"/>
      <c r="CD87" s="66"/>
      <c r="CE87" s="66"/>
      <c r="CF87" s="66"/>
      <c r="CG87" s="66"/>
      <c r="CH87" s="66"/>
      <c r="CI87" s="66"/>
      <c r="CJ87" s="66"/>
      <c r="CK87" s="66"/>
      <c r="CL87" s="66"/>
      <c r="CM87" s="66"/>
      <c r="CN87" s="66"/>
      <c r="CO87" s="66"/>
      <c r="CP87" s="66"/>
      <c r="CQ87" s="66"/>
      <c r="CR87" s="66"/>
      <c r="CS87" s="66"/>
      <c r="CT87" s="66"/>
      <c r="CU87" s="66"/>
      <c r="CV87" s="66"/>
      <c r="CW87" s="66"/>
      <c r="CX87" s="66"/>
      <c r="CY87" s="66"/>
      <c r="CZ87" s="66"/>
      <c r="DA87" s="66"/>
      <c r="DB87" s="66"/>
      <c r="DC87" s="66"/>
      <c r="DD87" s="66"/>
      <c r="DE87" s="66"/>
      <c r="DF87" s="66"/>
      <c r="DG87" s="66"/>
      <c r="DH87" s="66"/>
      <c r="DI87" s="66"/>
      <c r="DJ87" s="66"/>
      <c r="DK87" s="66"/>
      <c r="DL87" s="66"/>
      <c r="DM87" s="66"/>
      <c r="DN87" s="66"/>
      <c r="DO87" s="66"/>
      <c r="DP87" s="66"/>
      <c r="DQ87" s="66"/>
      <c r="DR87" s="66"/>
      <c r="DS87" s="66"/>
      <c r="DT87" s="66"/>
      <c r="DU87" s="66"/>
      <c r="DV87" s="66"/>
      <c r="DW87" s="66"/>
      <c r="DX87" s="66"/>
      <c r="DY87" s="66"/>
      <c r="DZ87" s="66"/>
      <c r="EA87" s="66"/>
      <c r="EB87" s="66"/>
      <c r="EC87" s="66"/>
      <c r="ED87" s="66"/>
      <c r="EE87" s="66"/>
      <c r="EF87" s="66"/>
      <c r="EG87" s="66"/>
      <c r="EH87" s="66"/>
      <c r="EI87" s="66"/>
      <c r="EJ87" s="66"/>
      <c r="EK87" s="66"/>
      <c r="EL87" s="66"/>
      <c r="EM87" s="66"/>
      <c r="EN87" s="66"/>
      <c r="EO87" s="66"/>
      <c r="EP87" s="66"/>
      <c r="EQ87" s="66"/>
      <c r="ER87" s="66"/>
      <c r="ES87" s="66"/>
      <c r="ET87" s="66"/>
      <c r="EU87" s="66"/>
      <c r="EV87" s="66"/>
      <c r="EW87" s="66"/>
      <c r="EX87" s="66"/>
      <c r="EY87" s="66"/>
      <c r="EZ87" s="66"/>
      <c r="FA87" s="66"/>
      <c r="FB87" s="66"/>
      <c r="FC87" s="66"/>
      <c r="FD87" s="66"/>
      <c r="FE87" s="66"/>
      <c r="FF87" s="66"/>
      <c r="FG87" s="66"/>
      <c r="FH87" s="66"/>
      <c r="FI87" s="66"/>
      <c r="FJ87" s="66"/>
      <c r="FK87" s="66"/>
      <c r="FL87" s="66"/>
      <c r="FM87" s="66"/>
      <c r="FN87" s="66"/>
      <c r="FO87" s="66"/>
      <c r="FP87" s="66"/>
      <c r="FQ87" s="66"/>
      <c r="FR87" s="66"/>
      <c r="FS87" s="66"/>
      <c r="FT87" s="66"/>
      <c r="FU87" s="66"/>
      <c r="FV87" s="66"/>
      <c r="FW87" s="66"/>
      <c r="FX87" s="66"/>
      <c r="FY87" s="66"/>
      <c r="FZ87" s="66"/>
      <c r="GA87" s="66"/>
      <c r="GB87" s="66"/>
      <c r="GC87" s="66"/>
      <c r="GD87" s="66"/>
      <c r="GE87" s="66"/>
      <c r="GF87" s="66"/>
      <c r="GG87" s="66"/>
      <c r="GH87" s="66"/>
      <c r="GI87" s="66"/>
      <c r="GJ87" s="66"/>
      <c r="GK87" s="66"/>
      <c r="GL87" s="66"/>
      <c r="GM87" s="66"/>
      <c r="GN87" s="66"/>
      <c r="GO87" s="66"/>
      <c r="GP87" s="66"/>
      <c r="GQ87" s="66"/>
      <c r="GR87" s="66"/>
      <c r="GS87" s="66"/>
      <c r="GT87" s="66"/>
      <c r="GU87" s="66"/>
      <c r="GV87" s="66"/>
      <c r="GW87" s="66"/>
      <c r="GX87" s="66"/>
      <c r="GY87" s="66"/>
      <c r="GZ87" s="66"/>
      <c r="HA87" s="66"/>
      <c r="HB87" s="66"/>
      <c r="HC87" s="66"/>
      <c r="HD87" s="66"/>
      <c r="HE87" s="66"/>
      <c r="HF87" s="66"/>
      <c r="HG87" s="66"/>
      <c r="HH87" s="66"/>
      <c r="HI87" s="66"/>
      <c r="HJ87" s="66"/>
      <c r="HK87" s="66"/>
      <c r="HL87" s="66"/>
      <c r="HM87" s="66"/>
      <c r="HN87" s="66"/>
      <c r="HO87" s="66"/>
      <c r="HP87" s="66"/>
      <c r="HQ87" s="66"/>
      <c r="HR87" s="66"/>
      <c r="HS87" s="66"/>
      <c r="HT87" s="66"/>
      <c r="HU87" s="66"/>
      <c r="HV87" s="66"/>
      <c r="HW87" s="66"/>
      <c r="HX87" s="66"/>
      <c r="HY87" s="66"/>
      <c r="HZ87" s="66"/>
      <c r="IA87" s="66"/>
      <c r="IB87" s="66"/>
      <c r="IC87" s="66"/>
      <c r="ID87" s="66"/>
      <c r="IE87" s="66"/>
      <c r="IF87" s="66"/>
      <c r="IG87" s="66"/>
      <c r="IH87" s="66"/>
      <c r="II87" s="66"/>
      <c r="IJ87" s="66"/>
      <c r="IK87" s="66"/>
      <c r="IL87" s="66"/>
      <c r="IM87" s="66"/>
      <c r="IN87" s="66"/>
      <c r="IO87" s="66"/>
      <c r="IP87" s="66"/>
      <c r="IQ87" s="66"/>
      <c r="IR87" s="66"/>
    </row>
    <row r="88" customFormat="false" ht="22.5" hidden="false" customHeight="true" outlineLevel="0" collapsed="false">
      <c r="A88" s="66"/>
      <c r="B88" s="62" t="s">
        <v>272</v>
      </c>
      <c r="C88" s="63" t="s">
        <v>273</v>
      </c>
      <c r="D88" s="28" t="s">
        <v>103</v>
      </c>
      <c r="E88" s="64"/>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c r="BV88" s="66"/>
      <c r="BW88" s="66"/>
      <c r="BX88" s="66"/>
      <c r="BY88" s="66"/>
      <c r="BZ88" s="66"/>
      <c r="CA88" s="66"/>
      <c r="CB88" s="66"/>
      <c r="CC88" s="66"/>
      <c r="CD88" s="66"/>
      <c r="CE88" s="66"/>
      <c r="CF88" s="66"/>
      <c r="CG88" s="66"/>
      <c r="CH88" s="66"/>
      <c r="CI88" s="66"/>
      <c r="CJ88" s="66"/>
      <c r="CK88" s="66"/>
      <c r="CL88" s="66"/>
      <c r="CM88" s="66"/>
      <c r="CN88" s="66"/>
      <c r="CO88" s="66"/>
      <c r="CP88" s="66"/>
      <c r="CQ88" s="66"/>
      <c r="CR88" s="66"/>
      <c r="CS88" s="66"/>
      <c r="CT88" s="66"/>
      <c r="CU88" s="66"/>
      <c r="CV88" s="66"/>
      <c r="CW88" s="66"/>
      <c r="CX88" s="66"/>
      <c r="CY88" s="66"/>
      <c r="CZ88" s="66"/>
      <c r="DA88" s="66"/>
      <c r="DB88" s="66"/>
      <c r="DC88" s="66"/>
      <c r="DD88" s="66"/>
      <c r="DE88" s="66"/>
      <c r="DF88" s="66"/>
      <c r="DG88" s="66"/>
      <c r="DH88" s="66"/>
      <c r="DI88" s="66"/>
      <c r="DJ88" s="66"/>
      <c r="DK88" s="66"/>
      <c r="DL88" s="66"/>
      <c r="DM88" s="66"/>
      <c r="DN88" s="66"/>
      <c r="DO88" s="66"/>
      <c r="DP88" s="66"/>
      <c r="DQ88" s="66"/>
      <c r="DR88" s="66"/>
      <c r="DS88" s="66"/>
      <c r="DT88" s="66"/>
      <c r="DU88" s="66"/>
      <c r="DV88" s="66"/>
      <c r="DW88" s="66"/>
      <c r="DX88" s="66"/>
      <c r="DY88" s="66"/>
      <c r="DZ88" s="66"/>
      <c r="EA88" s="66"/>
      <c r="EB88" s="66"/>
      <c r="EC88" s="66"/>
      <c r="ED88" s="66"/>
      <c r="EE88" s="66"/>
      <c r="EF88" s="66"/>
      <c r="EG88" s="66"/>
      <c r="EH88" s="66"/>
      <c r="EI88" s="66"/>
      <c r="EJ88" s="66"/>
      <c r="EK88" s="66"/>
      <c r="EL88" s="66"/>
      <c r="EM88" s="66"/>
      <c r="EN88" s="66"/>
      <c r="EO88" s="66"/>
      <c r="EP88" s="66"/>
      <c r="EQ88" s="66"/>
      <c r="ER88" s="66"/>
      <c r="ES88" s="66"/>
      <c r="ET88" s="66"/>
      <c r="EU88" s="66"/>
      <c r="EV88" s="66"/>
      <c r="EW88" s="66"/>
      <c r="EX88" s="66"/>
      <c r="EY88" s="66"/>
      <c r="EZ88" s="66"/>
      <c r="FA88" s="66"/>
      <c r="FB88" s="66"/>
      <c r="FC88" s="66"/>
      <c r="FD88" s="66"/>
      <c r="FE88" s="66"/>
      <c r="FF88" s="66"/>
      <c r="FG88" s="66"/>
      <c r="FH88" s="66"/>
      <c r="FI88" s="66"/>
      <c r="FJ88" s="66"/>
      <c r="FK88" s="66"/>
      <c r="FL88" s="66"/>
      <c r="FM88" s="66"/>
      <c r="FN88" s="66"/>
      <c r="FO88" s="66"/>
      <c r="FP88" s="66"/>
      <c r="FQ88" s="66"/>
      <c r="FR88" s="66"/>
      <c r="FS88" s="66"/>
      <c r="FT88" s="66"/>
      <c r="FU88" s="66"/>
      <c r="FV88" s="66"/>
      <c r="FW88" s="66"/>
      <c r="FX88" s="66"/>
      <c r="FY88" s="66"/>
      <c r="FZ88" s="66"/>
      <c r="GA88" s="66"/>
      <c r="GB88" s="66"/>
      <c r="GC88" s="66"/>
      <c r="GD88" s="66"/>
      <c r="GE88" s="66"/>
      <c r="GF88" s="66"/>
      <c r="GG88" s="66"/>
      <c r="GH88" s="66"/>
      <c r="GI88" s="66"/>
      <c r="GJ88" s="66"/>
      <c r="GK88" s="66"/>
      <c r="GL88" s="66"/>
      <c r="GM88" s="66"/>
      <c r="GN88" s="66"/>
      <c r="GO88" s="66"/>
      <c r="GP88" s="66"/>
      <c r="GQ88" s="66"/>
      <c r="GR88" s="66"/>
      <c r="GS88" s="66"/>
      <c r="GT88" s="66"/>
      <c r="GU88" s="66"/>
      <c r="GV88" s="66"/>
      <c r="GW88" s="66"/>
      <c r="GX88" s="66"/>
      <c r="GY88" s="66"/>
      <c r="GZ88" s="66"/>
      <c r="HA88" s="66"/>
      <c r="HB88" s="66"/>
      <c r="HC88" s="66"/>
      <c r="HD88" s="66"/>
      <c r="HE88" s="66"/>
      <c r="HF88" s="66"/>
      <c r="HG88" s="66"/>
      <c r="HH88" s="66"/>
      <c r="HI88" s="66"/>
      <c r="HJ88" s="66"/>
      <c r="HK88" s="66"/>
      <c r="HL88" s="66"/>
      <c r="HM88" s="66"/>
      <c r="HN88" s="66"/>
      <c r="HO88" s="66"/>
      <c r="HP88" s="66"/>
      <c r="HQ88" s="66"/>
      <c r="HR88" s="66"/>
      <c r="HS88" s="66"/>
      <c r="HT88" s="66"/>
      <c r="HU88" s="66"/>
      <c r="HV88" s="66"/>
      <c r="HW88" s="66"/>
      <c r="HX88" s="66"/>
      <c r="HY88" s="66"/>
      <c r="HZ88" s="66"/>
      <c r="IA88" s="66"/>
      <c r="IB88" s="66"/>
      <c r="IC88" s="66"/>
      <c r="ID88" s="66"/>
      <c r="IE88" s="66"/>
      <c r="IF88" s="66"/>
      <c r="IG88" s="66"/>
      <c r="IH88" s="66"/>
      <c r="II88" s="66"/>
      <c r="IJ88" s="66"/>
      <c r="IK88" s="66"/>
      <c r="IL88" s="66"/>
      <c r="IM88" s="66"/>
      <c r="IN88" s="66"/>
      <c r="IO88" s="66"/>
      <c r="IP88" s="66"/>
      <c r="IQ88" s="66"/>
      <c r="IR88" s="66"/>
    </row>
    <row r="89" customFormat="false" ht="22.5" hidden="false" customHeight="true" outlineLevel="0" collapsed="false">
      <c r="A89" s="66"/>
      <c r="B89" s="62" t="s">
        <v>274</v>
      </c>
      <c r="C89" s="63" t="s">
        <v>275</v>
      </c>
      <c r="D89" s="28" t="s">
        <v>103</v>
      </c>
      <c r="E89" s="64"/>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6"/>
      <c r="BW89" s="66"/>
      <c r="BX89" s="66"/>
      <c r="BY89" s="66"/>
      <c r="BZ89" s="66"/>
      <c r="CA89" s="66"/>
      <c r="CB89" s="66"/>
      <c r="CC89" s="66"/>
      <c r="CD89" s="66"/>
      <c r="CE89" s="66"/>
      <c r="CF89" s="66"/>
      <c r="CG89" s="66"/>
      <c r="CH89" s="66"/>
      <c r="CI89" s="66"/>
      <c r="CJ89" s="66"/>
      <c r="CK89" s="66"/>
      <c r="CL89" s="66"/>
      <c r="CM89" s="66"/>
      <c r="CN89" s="66"/>
      <c r="CO89" s="66"/>
      <c r="CP89" s="66"/>
      <c r="CQ89" s="66"/>
      <c r="CR89" s="66"/>
      <c r="CS89" s="66"/>
      <c r="CT89" s="66"/>
      <c r="CU89" s="66"/>
      <c r="CV89" s="66"/>
      <c r="CW89" s="66"/>
      <c r="CX89" s="66"/>
      <c r="CY89" s="66"/>
      <c r="CZ89" s="66"/>
      <c r="DA89" s="66"/>
      <c r="DB89" s="66"/>
      <c r="DC89" s="66"/>
      <c r="DD89" s="66"/>
      <c r="DE89" s="66"/>
      <c r="DF89" s="66"/>
      <c r="DG89" s="66"/>
      <c r="DH89" s="66"/>
      <c r="DI89" s="66"/>
      <c r="DJ89" s="66"/>
      <c r="DK89" s="66"/>
      <c r="DL89" s="66"/>
      <c r="DM89" s="66"/>
      <c r="DN89" s="66"/>
      <c r="DO89" s="66"/>
      <c r="DP89" s="66"/>
      <c r="DQ89" s="66"/>
      <c r="DR89" s="66"/>
      <c r="DS89" s="66"/>
      <c r="DT89" s="66"/>
      <c r="DU89" s="66"/>
      <c r="DV89" s="66"/>
      <c r="DW89" s="66"/>
      <c r="DX89" s="66"/>
      <c r="DY89" s="66"/>
      <c r="DZ89" s="66"/>
      <c r="EA89" s="66"/>
      <c r="EB89" s="66"/>
      <c r="EC89" s="66"/>
      <c r="ED89" s="66"/>
      <c r="EE89" s="66"/>
      <c r="EF89" s="66"/>
      <c r="EG89" s="66"/>
      <c r="EH89" s="66"/>
      <c r="EI89" s="66"/>
      <c r="EJ89" s="66"/>
      <c r="EK89" s="66"/>
      <c r="EL89" s="66"/>
      <c r="EM89" s="66"/>
      <c r="EN89" s="66"/>
      <c r="EO89" s="66"/>
      <c r="EP89" s="66"/>
      <c r="EQ89" s="66"/>
      <c r="ER89" s="66"/>
      <c r="ES89" s="66"/>
      <c r="ET89" s="66"/>
      <c r="EU89" s="66"/>
      <c r="EV89" s="66"/>
      <c r="EW89" s="66"/>
      <c r="EX89" s="66"/>
      <c r="EY89" s="66"/>
      <c r="EZ89" s="66"/>
      <c r="FA89" s="66"/>
      <c r="FB89" s="66"/>
      <c r="FC89" s="66"/>
      <c r="FD89" s="66"/>
      <c r="FE89" s="66"/>
      <c r="FF89" s="66"/>
      <c r="FG89" s="66"/>
      <c r="FH89" s="66"/>
      <c r="FI89" s="66"/>
      <c r="FJ89" s="66"/>
      <c r="FK89" s="66"/>
      <c r="FL89" s="66"/>
      <c r="FM89" s="66"/>
      <c r="FN89" s="66"/>
      <c r="FO89" s="66"/>
      <c r="FP89" s="66"/>
      <c r="FQ89" s="66"/>
      <c r="FR89" s="66"/>
      <c r="FS89" s="66"/>
      <c r="FT89" s="66"/>
      <c r="FU89" s="66"/>
      <c r="FV89" s="66"/>
      <c r="FW89" s="66"/>
      <c r="FX89" s="66"/>
      <c r="FY89" s="66"/>
      <c r="FZ89" s="66"/>
      <c r="GA89" s="66"/>
      <c r="GB89" s="66"/>
      <c r="GC89" s="66"/>
      <c r="GD89" s="66"/>
      <c r="GE89" s="66"/>
      <c r="GF89" s="66"/>
      <c r="GG89" s="66"/>
      <c r="GH89" s="66"/>
      <c r="GI89" s="66"/>
      <c r="GJ89" s="66"/>
      <c r="GK89" s="66"/>
      <c r="GL89" s="66"/>
      <c r="GM89" s="66"/>
      <c r="GN89" s="66"/>
      <c r="GO89" s="66"/>
      <c r="GP89" s="66"/>
      <c r="GQ89" s="66"/>
      <c r="GR89" s="66"/>
      <c r="GS89" s="66"/>
      <c r="GT89" s="66"/>
      <c r="GU89" s="66"/>
      <c r="GV89" s="66"/>
      <c r="GW89" s="66"/>
      <c r="GX89" s="66"/>
      <c r="GY89" s="66"/>
      <c r="GZ89" s="66"/>
      <c r="HA89" s="66"/>
      <c r="HB89" s="66"/>
      <c r="HC89" s="66"/>
      <c r="HD89" s="66"/>
      <c r="HE89" s="66"/>
      <c r="HF89" s="66"/>
      <c r="HG89" s="66"/>
      <c r="HH89" s="66"/>
      <c r="HI89" s="66"/>
      <c r="HJ89" s="66"/>
      <c r="HK89" s="66"/>
      <c r="HL89" s="66"/>
      <c r="HM89" s="66"/>
      <c r="HN89" s="66"/>
      <c r="HO89" s="66"/>
      <c r="HP89" s="66"/>
      <c r="HQ89" s="66"/>
      <c r="HR89" s="66"/>
      <c r="HS89" s="66"/>
      <c r="HT89" s="66"/>
      <c r="HU89" s="66"/>
      <c r="HV89" s="66"/>
      <c r="HW89" s="66"/>
      <c r="HX89" s="66"/>
      <c r="HY89" s="66"/>
      <c r="HZ89" s="66"/>
      <c r="IA89" s="66"/>
      <c r="IB89" s="66"/>
      <c r="IC89" s="66"/>
      <c r="ID89" s="66"/>
      <c r="IE89" s="66"/>
      <c r="IF89" s="66"/>
      <c r="IG89" s="66"/>
      <c r="IH89" s="66"/>
      <c r="II89" s="66"/>
      <c r="IJ89" s="66"/>
      <c r="IK89" s="66"/>
      <c r="IL89" s="66"/>
      <c r="IM89" s="66"/>
      <c r="IN89" s="66"/>
      <c r="IO89" s="66"/>
      <c r="IP89" s="66"/>
      <c r="IQ89" s="66"/>
      <c r="IR89" s="66"/>
    </row>
    <row r="90" customFormat="false" ht="22.5" hidden="false" customHeight="true" outlineLevel="0" collapsed="false">
      <c r="A90" s="66"/>
      <c r="B90" s="62" t="s">
        <v>276</v>
      </c>
      <c r="C90" s="63" t="s">
        <v>277</v>
      </c>
      <c r="D90" s="28" t="s">
        <v>103</v>
      </c>
      <c r="E90" s="64"/>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c r="BV90" s="66"/>
      <c r="BW90" s="66"/>
      <c r="BX90" s="66"/>
      <c r="BY90" s="66"/>
      <c r="BZ90" s="66"/>
      <c r="CA90" s="66"/>
      <c r="CB90" s="66"/>
      <c r="CC90" s="66"/>
      <c r="CD90" s="66"/>
      <c r="CE90" s="66"/>
      <c r="CF90" s="66"/>
      <c r="CG90" s="66"/>
      <c r="CH90" s="66"/>
      <c r="CI90" s="66"/>
      <c r="CJ90" s="66"/>
      <c r="CK90" s="66"/>
      <c r="CL90" s="66"/>
      <c r="CM90" s="66"/>
      <c r="CN90" s="66"/>
      <c r="CO90" s="66"/>
      <c r="CP90" s="66"/>
      <c r="CQ90" s="66"/>
      <c r="CR90" s="66"/>
      <c r="CS90" s="66"/>
      <c r="CT90" s="66"/>
      <c r="CU90" s="66"/>
      <c r="CV90" s="66"/>
      <c r="CW90" s="66"/>
      <c r="CX90" s="66"/>
      <c r="CY90" s="66"/>
      <c r="CZ90" s="66"/>
      <c r="DA90" s="66"/>
      <c r="DB90" s="66"/>
      <c r="DC90" s="66"/>
      <c r="DD90" s="66"/>
      <c r="DE90" s="66"/>
      <c r="DF90" s="66"/>
      <c r="DG90" s="66"/>
      <c r="DH90" s="66"/>
      <c r="DI90" s="66"/>
      <c r="DJ90" s="66"/>
      <c r="DK90" s="66"/>
      <c r="DL90" s="66"/>
      <c r="DM90" s="66"/>
      <c r="DN90" s="66"/>
      <c r="DO90" s="66"/>
      <c r="DP90" s="66"/>
      <c r="DQ90" s="66"/>
      <c r="DR90" s="66"/>
      <c r="DS90" s="66"/>
      <c r="DT90" s="66"/>
      <c r="DU90" s="66"/>
      <c r="DV90" s="66"/>
      <c r="DW90" s="66"/>
      <c r="DX90" s="66"/>
      <c r="DY90" s="66"/>
      <c r="DZ90" s="66"/>
      <c r="EA90" s="66"/>
      <c r="EB90" s="66"/>
      <c r="EC90" s="66"/>
      <c r="ED90" s="66"/>
      <c r="EE90" s="66"/>
      <c r="EF90" s="66"/>
      <c r="EG90" s="66"/>
      <c r="EH90" s="66"/>
      <c r="EI90" s="66"/>
      <c r="EJ90" s="66"/>
      <c r="EK90" s="66"/>
      <c r="EL90" s="66"/>
      <c r="EM90" s="66"/>
      <c r="EN90" s="66"/>
      <c r="EO90" s="66"/>
      <c r="EP90" s="66"/>
      <c r="EQ90" s="66"/>
      <c r="ER90" s="66"/>
      <c r="ES90" s="66"/>
      <c r="ET90" s="66"/>
      <c r="EU90" s="66"/>
      <c r="EV90" s="66"/>
      <c r="EW90" s="66"/>
      <c r="EX90" s="66"/>
      <c r="EY90" s="66"/>
      <c r="EZ90" s="66"/>
      <c r="FA90" s="66"/>
      <c r="FB90" s="66"/>
      <c r="FC90" s="66"/>
      <c r="FD90" s="66"/>
      <c r="FE90" s="66"/>
      <c r="FF90" s="66"/>
      <c r="FG90" s="66"/>
      <c r="FH90" s="66"/>
      <c r="FI90" s="66"/>
      <c r="FJ90" s="66"/>
      <c r="FK90" s="66"/>
      <c r="FL90" s="66"/>
      <c r="FM90" s="66"/>
      <c r="FN90" s="66"/>
      <c r="FO90" s="66"/>
      <c r="FP90" s="66"/>
      <c r="FQ90" s="66"/>
      <c r="FR90" s="66"/>
      <c r="FS90" s="66"/>
      <c r="FT90" s="66"/>
      <c r="FU90" s="66"/>
      <c r="FV90" s="66"/>
      <c r="FW90" s="66"/>
      <c r="FX90" s="66"/>
      <c r="FY90" s="66"/>
      <c r="FZ90" s="66"/>
      <c r="GA90" s="66"/>
      <c r="GB90" s="66"/>
      <c r="GC90" s="66"/>
      <c r="GD90" s="66"/>
      <c r="GE90" s="66"/>
      <c r="GF90" s="66"/>
      <c r="GG90" s="66"/>
      <c r="GH90" s="66"/>
      <c r="GI90" s="66"/>
      <c r="GJ90" s="66"/>
      <c r="GK90" s="66"/>
      <c r="GL90" s="66"/>
      <c r="GM90" s="66"/>
      <c r="GN90" s="66"/>
      <c r="GO90" s="66"/>
      <c r="GP90" s="66"/>
      <c r="GQ90" s="66"/>
      <c r="GR90" s="66"/>
      <c r="GS90" s="66"/>
      <c r="GT90" s="66"/>
      <c r="GU90" s="66"/>
      <c r="GV90" s="66"/>
      <c r="GW90" s="66"/>
      <c r="GX90" s="66"/>
      <c r="GY90" s="66"/>
      <c r="GZ90" s="66"/>
      <c r="HA90" s="66"/>
      <c r="HB90" s="66"/>
      <c r="HC90" s="66"/>
      <c r="HD90" s="66"/>
      <c r="HE90" s="66"/>
      <c r="HF90" s="66"/>
      <c r="HG90" s="66"/>
      <c r="HH90" s="66"/>
      <c r="HI90" s="66"/>
      <c r="HJ90" s="66"/>
      <c r="HK90" s="66"/>
      <c r="HL90" s="66"/>
      <c r="HM90" s="66"/>
      <c r="HN90" s="66"/>
      <c r="HO90" s="66"/>
      <c r="HP90" s="66"/>
      <c r="HQ90" s="66"/>
      <c r="HR90" s="66"/>
      <c r="HS90" s="66"/>
      <c r="HT90" s="66"/>
      <c r="HU90" s="66"/>
      <c r="HV90" s="66"/>
      <c r="HW90" s="66"/>
      <c r="HX90" s="66"/>
      <c r="HY90" s="66"/>
      <c r="HZ90" s="66"/>
      <c r="IA90" s="66"/>
      <c r="IB90" s="66"/>
      <c r="IC90" s="66"/>
      <c r="ID90" s="66"/>
      <c r="IE90" s="66"/>
      <c r="IF90" s="66"/>
      <c r="IG90" s="66"/>
      <c r="IH90" s="66"/>
      <c r="II90" s="66"/>
      <c r="IJ90" s="66"/>
      <c r="IK90" s="66"/>
      <c r="IL90" s="66"/>
      <c r="IM90" s="66"/>
      <c r="IN90" s="66"/>
      <c r="IO90" s="66"/>
      <c r="IP90" s="66"/>
      <c r="IQ90" s="66"/>
      <c r="IR90" s="66"/>
    </row>
    <row r="91" customFormat="false" ht="22.5" hidden="false" customHeight="true" outlineLevel="0" collapsed="false">
      <c r="A91" s="66"/>
      <c r="B91" s="62" t="s">
        <v>278</v>
      </c>
      <c r="C91" s="63" t="s">
        <v>279</v>
      </c>
      <c r="D91" s="28" t="s">
        <v>103</v>
      </c>
      <c r="E91" s="64"/>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c r="CD91" s="66"/>
      <c r="CE91" s="66"/>
      <c r="CF91" s="66"/>
      <c r="CG91" s="66"/>
      <c r="CH91" s="66"/>
      <c r="CI91" s="66"/>
      <c r="CJ91" s="66"/>
      <c r="CK91" s="66"/>
      <c r="CL91" s="66"/>
      <c r="CM91" s="66"/>
      <c r="CN91" s="66"/>
      <c r="CO91" s="66"/>
      <c r="CP91" s="66"/>
      <c r="CQ91" s="66"/>
      <c r="CR91" s="66"/>
      <c r="CS91" s="66"/>
      <c r="CT91" s="66"/>
      <c r="CU91" s="66"/>
      <c r="CV91" s="66"/>
      <c r="CW91" s="66"/>
      <c r="CX91" s="66"/>
      <c r="CY91" s="66"/>
      <c r="CZ91" s="66"/>
      <c r="DA91" s="66"/>
      <c r="DB91" s="66"/>
      <c r="DC91" s="66"/>
      <c r="DD91" s="66"/>
      <c r="DE91" s="66"/>
      <c r="DF91" s="66"/>
      <c r="DG91" s="66"/>
      <c r="DH91" s="66"/>
      <c r="DI91" s="66"/>
      <c r="DJ91" s="66"/>
      <c r="DK91" s="66"/>
      <c r="DL91" s="66"/>
      <c r="DM91" s="66"/>
      <c r="DN91" s="66"/>
      <c r="DO91" s="66"/>
      <c r="DP91" s="66"/>
      <c r="DQ91" s="66"/>
      <c r="DR91" s="66"/>
      <c r="DS91" s="66"/>
      <c r="DT91" s="66"/>
      <c r="DU91" s="66"/>
      <c r="DV91" s="66"/>
      <c r="DW91" s="66"/>
      <c r="DX91" s="66"/>
      <c r="DY91" s="66"/>
      <c r="DZ91" s="66"/>
      <c r="EA91" s="66"/>
      <c r="EB91" s="66"/>
      <c r="EC91" s="66"/>
      <c r="ED91" s="66"/>
      <c r="EE91" s="66"/>
      <c r="EF91" s="66"/>
      <c r="EG91" s="66"/>
      <c r="EH91" s="66"/>
      <c r="EI91" s="66"/>
      <c r="EJ91" s="66"/>
      <c r="EK91" s="66"/>
      <c r="EL91" s="66"/>
      <c r="EM91" s="66"/>
      <c r="EN91" s="66"/>
      <c r="EO91" s="66"/>
      <c r="EP91" s="66"/>
      <c r="EQ91" s="66"/>
      <c r="ER91" s="66"/>
      <c r="ES91" s="66"/>
      <c r="ET91" s="66"/>
      <c r="EU91" s="66"/>
      <c r="EV91" s="66"/>
      <c r="EW91" s="66"/>
      <c r="EX91" s="66"/>
      <c r="EY91" s="66"/>
      <c r="EZ91" s="66"/>
      <c r="FA91" s="66"/>
      <c r="FB91" s="66"/>
      <c r="FC91" s="66"/>
      <c r="FD91" s="66"/>
      <c r="FE91" s="66"/>
      <c r="FF91" s="66"/>
      <c r="FG91" s="66"/>
      <c r="FH91" s="66"/>
      <c r="FI91" s="66"/>
      <c r="FJ91" s="66"/>
      <c r="FK91" s="66"/>
      <c r="FL91" s="66"/>
      <c r="FM91" s="66"/>
      <c r="FN91" s="66"/>
      <c r="FO91" s="66"/>
      <c r="FP91" s="66"/>
      <c r="FQ91" s="66"/>
      <c r="FR91" s="66"/>
      <c r="FS91" s="66"/>
      <c r="FT91" s="66"/>
      <c r="FU91" s="66"/>
      <c r="FV91" s="66"/>
      <c r="FW91" s="66"/>
      <c r="FX91" s="66"/>
      <c r="FY91" s="66"/>
      <c r="FZ91" s="66"/>
      <c r="GA91" s="66"/>
      <c r="GB91" s="66"/>
      <c r="GC91" s="66"/>
      <c r="GD91" s="66"/>
      <c r="GE91" s="66"/>
      <c r="GF91" s="66"/>
      <c r="GG91" s="66"/>
      <c r="GH91" s="66"/>
      <c r="GI91" s="66"/>
      <c r="GJ91" s="66"/>
      <c r="GK91" s="66"/>
      <c r="GL91" s="66"/>
      <c r="GM91" s="66"/>
      <c r="GN91" s="66"/>
      <c r="GO91" s="66"/>
      <c r="GP91" s="66"/>
      <c r="GQ91" s="66"/>
      <c r="GR91" s="66"/>
      <c r="GS91" s="66"/>
      <c r="GT91" s="66"/>
      <c r="GU91" s="66"/>
      <c r="GV91" s="66"/>
      <c r="GW91" s="66"/>
      <c r="GX91" s="66"/>
      <c r="GY91" s="66"/>
      <c r="GZ91" s="66"/>
      <c r="HA91" s="66"/>
      <c r="HB91" s="66"/>
      <c r="HC91" s="66"/>
      <c r="HD91" s="66"/>
      <c r="HE91" s="66"/>
      <c r="HF91" s="66"/>
      <c r="HG91" s="66"/>
      <c r="HH91" s="66"/>
      <c r="HI91" s="66"/>
      <c r="HJ91" s="66"/>
      <c r="HK91" s="66"/>
      <c r="HL91" s="66"/>
      <c r="HM91" s="66"/>
      <c r="HN91" s="66"/>
      <c r="HO91" s="66"/>
      <c r="HP91" s="66"/>
      <c r="HQ91" s="66"/>
      <c r="HR91" s="66"/>
      <c r="HS91" s="66"/>
      <c r="HT91" s="66"/>
      <c r="HU91" s="66"/>
      <c r="HV91" s="66"/>
      <c r="HW91" s="66"/>
      <c r="HX91" s="66"/>
      <c r="HY91" s="66"/>
      <c r="HZ91" s="66"/>
      <c r="IA91" s="66"/>
      <c r="IB91" s="66"/>
      <c r="IC91" s="66"/>
      <c r="ID91" s="66"/>
      <c r="IE91" s="66"/>
      <c r="IF91" s="66"/>
      <c r="IG91" s="66"/>
      <c r="IH91" s="66"/>
      <c r="II91" s="66"/>
      <c r="IJ91" s="66"/>
      <c r="IK91" s="66"/>
      <c r="IL91" s="66"/>
      <c r="IM91" s="66"/>
      <c r="IN91" s="66"/>
      <c r="IO91" s="66"/>
      <c r="IP91" s="66"/>
      <c r="IQ91" s="66"/>
      <c r="IR91" s="66"/>
    </row>
    <row r="92" customFormat="false" ht="22.5" hidden="false" customHeight="true" outlineLevel="0" collapsed="false">
      <c r="A92" s="66"/>
      <c r="B92" s="62" t="s">
        <v>280</v>
      </c>
      <c r="C92" s="63" t="s">
        <v>281</v>
      </c>
      <c r="D92" s="28" t="s">
        <v>103</v>
      </c>
      <c r="E92" s="64"/>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c r="CD92" s="66"/>
      <c r="CE92" s="66"/>
      <c r="CF92" s="66"/>
      <c r="CG92" s="66"/>
      <c r="CH92" s="66"/>
      <c r="CI92" s="66"/>
      <c r="CJ92" s="66"/>
      <c r="CK92" s="66"/>
      <c r="CL92" s="66"/>
      <c r="CM92" s="66"/>
      <c r="CN92" s="66"/>
      <c r="CO92" s="66"/>
      <c r="CP92" s="66"/>
      <c r="CQ92" s="66"/>
      <c r="CR92" s="66"/>
      <c r="CS92" s="66"/>
      <c r="CT92" s="66"/>
      <c r="CU92" s="66"/>
      <c r="CV92" s="66"/>
      <c r="CW92" s="66"/>
      <c r="CX92" s="66"/>
      <c r="CY92" s="66"/>
      <c r="CZ92" s="66"/>
      <c r="DA92" s="66"/>
      <c r="DB92" s="66"/>
      <c r="DC92" s="66"/>
      <c r="DD92" s="66"/>
      <c r="DE92" s="66"/>
      <c r="DF92" s="66"/>
      <c r="DG92" s="66"/>
      <c r="DH92" s="66"/>
      <c r="DI92" s="66"/>
      <c r="DJ92" s="66"/>
      <c r="DK92" s="66"/>
      <c r="DL92" s="66"/>
      <c r="DM92" s="66"/>
      <c r="DN92" s="66"/>
      <c r="DO92" s="66"/>
      <c r="DP92" s="66"/>
      <c r="DQ92" s="66"/>
      <c r="DR92" s="66"/>
      <c r="DS92" s="66"/>
      <c r="DT92" s="66"/>
      <c r="DU92" s="66"/>
      <c r="DV92" s="66"/>
      <c r="DW92" s="66"/>
      <c r="DX92" s="66"/>
      <c r="DY92" s="66"/>
      <c r="DZ92" s="66"/>
      <c r="EA92" s="66"/>
      <c r="EB92" s="66"/>
      <c r="EC92" s="66"/>
      <c r="ED92" s="66"/>
      <c r="EE92" s="66"/>
      <c r="EF92" s="66"/>
      <c r="EG92" s="66"/>
      <c r="EH92" s="66"/>
      <c r="EI92" s="66"/>
      <c r="EJ92" s="66"/>
      <c r="EK92" s="66"/>
      <c r="EL92" s="66"/>
      <c r="EM92" s="66"/>
      <c r="EN92" s="66"/>
      <c r="EO92" s="66"/>
      <c r="EP92" s="66"/>
      <c r="EQ92" s="66"/>
      <c r="ER92" s="66"/>
      <c r="ES92" s="66"/>
      <c r="ET92" s="66"/>
      <c r="EU92" s="66"/>
      <c r="EV92" s="66"/>
      <c r="EW92" s="66"/>
      <c r="EX92" s="66"/>
      <c r="EY92" s="66"/>
      <c r="EZ92" s="66"/>
      <c r="FA92" s="66"/>
      <c r="FB92" s="66"/>
      <c r="FC92" s="66"/>
      <c r="FD92" s="66"/>
      <c r="FE92" s="66"/>
      <c r="FF92" s="66"/>
      <c r="FG92" s="66"/>
      <c r="FH92" s="66"/>
      <c r="FI92" s="66"/>
      <c r="FJ92" s="66"/>
      <c r="FK92" s="66"/>
      <c r="FL92" s="66"/>
      <c r="FM92" s="66"/>
      <c r="FN92" s="66"/>
      <c r="FO92" s="66"/>
      <c r="FP92" s="66"/>
      <c r="FQ92" s="66"/>
      <c r="FR92" s="66"/>
      <c r="FS92" s="66"/>
      <c r="FT92" s="66"/>
      <c r="FU92" s="66"/>
      <c r="FV92" s="66"/>
      <c r="FW92" s="66"/>
      <c r="FX92" s="66"/>
      <c r="FY92" s="66"/>
      <c r="FZ92" s="66"/>
      <c r="GA92" s="66"/>
      <c r="GB92" s="66"/>
      <c r="GC92" s="66"/>
      <c r="GD92" s="66"/>
      <c r="GE92" s="66"/>
      <c r="GF92" s="66"/>
      <c r="GG92" s="66"/>
      <c r="GH92" s="66"/>
      <c r="GI92" s="66"/>
      <c r="GJ92" s="66"/>
      <c r="GK92" s="66"/>
      <c r="GL92" s="66"/>
      <c r="GM92" s="66"/>
      <c r="GN92" s="66"/>
      <c r="GO92" s="66"/>
      <c r="GP92" s="66"/>
      <c r="GQ92" s="66"/>
      <c r="GR92" s="66"/>
      <c r="GS92" s="66"/>
      <c r="GT92" s="66"/>
      <c r="GU92" s="66"/>
      <c r="GV92" s="66"/>
      <c r="GW92" s="66"/>
      <c r="GX92" s="66"/>
      <c r="GY92" s="66"/>
      <c r="GZ92" s="66"/>
      <c r="HA92" s="66"/>
      <c r="HB92" s="66"/>
      <c r="HC92" s="66"/>
      <c r="HD92" s="66"/>
      <c r="HE92" s="66"/>
      <c r="HF92" s="66"/>
      <c r="HG92" s="66"/>
      <c r="HH92" s="66"/>
      <c r="HI92" s="66"/>
      <c r="HJ92" s="66"/>
      <c r="HK92" s="66"/>
      <c r="HL92" s="66"/>
      <c r="HM92" s="66"/>
      <c r="HN92" s="66"/>
      <c r="HO92" s="66"/>
      <c r="HP92" s="66"/>
      <c r="HQ92" s="66"/>
      <c r="HR92" s="66"/>
      <c r="HS92" s="66"/>
      <c r="HT92" s="66"/>
      <c r="HU92" s="66"/>
      <c r="HV92" s="66"/>
      <c r="HW92" s="66"/>
      <c r="HX92" s="66"/>
      <c r="HY92" s="66"/>
      <c r="HZ92" s="66"/>
      <c r="IA92" s="66"/>
      <c r="IB92" s="66"/>
      <c r="IC92" s="66"/>
      <c r="ID92" s="66"/>
      <c r="IE92" s="66"/>
      <c r="IF92" s="66"/>
      <c r="IG92" s="66"/>
      <c r="IH92" s="66"/>
      <c r="II92" s="66"/>
      <c r="IJ92" s="66"/>
      <c r="IK92" s="66"/>
      <c r="IL92" s="66"/>
      <c r="IM92" s="66"/>
      <c r="IN92" s="66"/>
      <c r="IO92" s="66"/>
      <c r="IP92" s="66"/>
      <c r="IQ92" s="66"/>
      <c r="IR92" s="66"/>
    </row>
    <row r="93" customFormat="false" ht="22.5" hidden="false" customHeight="true" outlineLevel="0" collapsed="false">
      <c r="A93" s="66"/>
      <c r="B93" s="62" t="s">
        <v>282</v>
      </c>
      <c r="C93" s="63" t="s">
        <v>283</v>
      </c>
      <c r="D93" s="28" t="s">
        <v>103</v>
      </c>
      <c r="E93" s="64"/>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c r="BV93" s="66"/>
      <c r="BW93" s="66"/>
      <c r="BX93" s="66"/>
      <c r="BY93" s="66"/>
      <c r="BZ93" s="66"/>
      <c r="CA93" s="66"/>
      <c r="CB93" s="66"/>
      <c r="CC93" s="66"/>
      <c r="CD93" s="66"/>
      <c r="CE93" s="66"/>
      <c r="CF93" s="66"/>
      <c r="CG93" s="66"/>
      <c r="CH93" s="66"/>
      <c r="CI93" s="66"/>
      <c r="CJ93" s="66"/>
      <c r="CK93" s="66"/>
      <c r="CL93" s="66"/>
      <c r="CM93" s="66"/>
      <c r="CN93" s="66"/>
      <c r="CO93" s="66"/>
      <c r="CP93" s="66"/>
      <c r="CQ93" s="66"/>
      <c r="CR93" s="66"/>
      <c r="CS93" s="66"/>
      <c r="CT93" s="66"/>
      <c r="CU93" s="66"/>
      <c r="CV93" s="66"/>
      <c r="CW93" s="66"/>
      <c r="CX93" s="66"/>
      <c r="CY93" s="66"/>
      <c r="CZ93" s="66"/>
      <c r="DA93" s="66"/>
      <c r="DB93" s="66"/>
      <c r="DC93" s="66"/>
      <c r="DD93" s="66"/>
      <c r="DE93" s="66"/>
      <c r="DF93" s="66"/>
      <c r="DG93" s="66"/>
      <c r="DH93" s="66"/>
      <c r="DI93" s="66"/>
      <c r="DJ93" s="66"/>
      <c r="DK93" s="66"/>
      <c r="DL93" s="66"/>
      <c r="DM93" s="66"/>
      <c r="DN93" s="66"/>
      <c r="DO93" s="66"/>
      <c r="DP93" s="66"/>
      <c r="DQ93" s="66"/>
      <c r="DR93" s="66"/>
      <c r="DS93" s="66"/>
      <c r="DT93" s="66"/>
      <c r="DU93" s="66"/>
      <c r="DV93" s="66"/>
      <c r="DW93" s="66"/>
      <c r="DX93" s="66"/>
      <c r="DY93" s="66"/>
      <c r="DZ93" s="66"/>
      <c r="EA93" s="66"/>
      <c r="EB93" s="66"/>
      <c r="EC93" s="66"/>
      <c r="ED93" s="66"/>
      <c r="EE93" s="66"/>
      <c r="EF93" s="66"/>
      <c r="EG93" s="66"/>
      <c r="EH93" s="66"/>
      <c r="EI93" s="66"/>
      <c r="EJ93" s="66"/>
      <c r="EK93" s="66"/>
      <c r="EL93" s="66"/>
      <c r="EM93" s="66"/>
      <c r="EN93" s="66"/>
      <c r="EO93" s="66"/>
      <c r="EP93" s="66"/>
      <c r="EQ93" s="66"/>
      <c r="ER93" s="66"/>
      <c r="ES93" s="66"/>
      <c r="ET93" s="66"/>
      <c r="EU93" s="66"/>
      <c r="EV93" s="66"/>
      <c r="EW93" s="66"/>
      <c r="EX93" s="66"/>
      <c r="EY93" s="66"/>
      <c r="EZ93" s="66"/>
      <c r="FA93" s="66"/>
      <c r="FB93" s="66"/>
      <c r="FC93" s="66"/>
      <c r="FD93" s="66"/>
      <c r="FE93" s="66"/>
      <c r="FF93" s="66"/>
      <c r="FG93" s="66"/>
      <c r="FH93" s="66"/>
      <c r="FI93" s="66"/>
      <c r="FJ93" s="66"/>
      <c r="FK93" s="66"/>
      <c r="FL93" s="66"/>
      <c r="FM93" s="66"/>
      <c r="FN93" s="66"/>
      <c r="FO93" s="66"/>
      <c r="FP93" s="66"/>
      <c r="FQ93" s="66"/>
      <c r="FR93" s="66"/>
      <c r="FS93" s="66"/>
      <c r="FT93" s="66"/>
      <c r="FU93" s="66"/>
      <c r="FV93" s="66"/>
      <c r="FW93" s="66"/>
      <c r="FX93" s="66"/>
      <c r="FY93" s="66"/>
      <c r="FZ93" s="66"/>
      <c r="GA93" s="66"/>
      <c r="GB93" s="66"/>
      <c r="GC93" s="66"/>
      <c r="GD93" s="66"/>
      <c r="GE93" s="66"/>
      <c r="GF93" s="66"/>
      <c r="GG93" s="66"/>
      <c r="GH93" s="66"/>
      <c r="GI93" s="66"/>
      <c r="GJ93" s="66"/>
      <c r="GK93" s="66"/>
      <c r="GL93" s="66"/>
      <c r="GM93" s="66"/>
      <c r="GN93" s="66"/>
      <c r="GO93" s="66"/>
      <c r="GP93" s="66"/>
      <c r="GQ93" s="66"/>
      <c r="GR93" s="66"/>
      <c r="GS93" s="66"/>
      <c r="GT93" s="66"/>
      <c r="GU93" s="66"/>
      <c r="GV93" s="66"/>
      <c r="GW93" s="66"/>
      <c r="GX93" s="66"/>
      <c r="GY93" s="66"/>
      <c r="GZ93" s="66"/>
      <c r="HA93" s="66"/>
      <c r="HB93" s="66"/>
      <c r="HC93" s="66"/>
      <c r="HD93" s="66"/>
      <c r="HE93" s="66"/>
      <c r="HF93" s="66"/>
      <c r="HG93" s="66"/>
      <c r="HH93" s="66"/>
      <c r="HI93" s="66"/>
      <c r="HJ93" s="66"/>
      <c r="HK93" s="66"/>
      <c r="HL93" s="66"/>
      <c r="HM93" s="66"/>
      <c r="HN93" s="66"/>
      <c r="HO93" s="66"/>
      <c r="HP93" s="66"/>
      <c r="HQ93" s="66"/>
      <c r="HR93" s="66"/>
      <c r="HS93" s="66"/>
      <c r="HT93" s="66"/>
      <c r="HU93" s="66"/>
      <c r="HV93" s="66"/>
      <c r="HW93" s="66"/>
      <c r="HX93" s="66"/>
      <c r="HY93" s="66"/>
      <c r="HZ93" s="66"/>
      <c r="IA93" s="66"/>
      <c r="IB93" s="66"/>
      <c r="IC93" s="66"/>
      <c r="ID93" s="66"/>
      <c r="IE93" s="66"/>
      <c r="IF93" s="66"/>
      <c r="IG93" s="66"/>
      <c r="IH93" s="66"/>
      <c r="II93" s="66"/>
      <c r="IJ93" s="66"/>
      <c r="IK93" s="66"/>
      <c r="IL93" s="66"/>
      <c r="IM93" s="66"/>
      <c r="IN93" s="66"/>
      <c r="IO93" s="66"/>
      <c r="IP93" s="66"/>
      <c r="IQ93" s="66"/>
      <c r="IR93" s="66"/>
    </row>
    <row r="94" customFormat="false" ht="22.5" hidden="false" customHeight="true" outlineLevel="0" collapsed="false">
      <c r="A94" s="66"/>
      <c r="B94" s="62" t="s">
        <v>284</v>
      </c>
      <c r="C94" s="63" t="s">
        <v>285</v>
      </c>
      <c r="D94" s="28" t="s">
        <v>103</v>
      </c>
      <c r="E94" s="64"/>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c r="CD94" s="66"/>
      <c r="CE94" s="66"/>
      <c r="CF94" s="66"/>
      <c r="CG94" s="66"/>
      <c r="CH94" s="66"/>
      <c r="CI94" s="66"/>
      <c r="CJ94" s="66"/>
      <c r="CK94" s="66"/>
      <c r="CL94" s="66"/>
      <c r="CM94" s="66"/>
      <c r="CN94" s="66"/>
      <c r="CO94" s="66"/>
      <c r="CP94" s="66"/>
      <c r="CQ94" s="66"/>
      <c r="CR94" s="66"/>
      <c r="CS94" s="66"/>
      <c r="CT94" s="66"/>
      <c r="CU94" s="66"/>
      <c r="CV94" s="66"/>
      <c r="CW94" s="66"/>
      <c r="CX94" s="66"/>
      <c r="CY94" s="66"/>
      <c r="CZ94" s="66"/>
      <c r="DA94" s="66"/>
      <c r="DB94" s="66"/>
      <c r="DC94" s="66"/>
      <c r="DD94" s="66"/>
      <c r="DE94" s="66"/>
      <c r="DF94" s="66"/>
      <c r="DG94" s="66"/>
      <c r="DH94" s="66"/>
      <c r="DI94" s="66"/>
      <c r="DJ94" s="66"/>
      <c r="DK94" s="66"/>
      <c r="DL94" s="66"/>
      <c r="DM94" s="66"/>
      <c r="DN94" s="66"/>
      <c r="DO94" s="66"/>
      <c r="DP94" s="66"/>
      <c r="DQ94" s="66"/>
      <c r="DR94" s="66"/>
      <c r="DS94" s="66"/>
      <c r="DT94" s="66"/>
      <c r="DU94" s="66"/>
      <c r="DV94" s="66"/>
      <c r="DW94" s="66"/>
      <c r="DX94" s="66"/>
      <c r="DY94" s="66"/>
      <c r="DZ94" s="66"/>
      <c r="EA94" s="66"/>
      <c r="EB94" s="66"/>
      <c r="EC94" s="66"/>
      <c r="ED94" s="66"/>
      <c r="EE94" s="66"/>
      <c r="EF94" s="66"/>
      <c r="EG94" s="66"/>
      <c r="EH94" s="66"/>
      <c r="EI94" s="66"/>
      <c r="EJ94" s="66"/>
      <c r="EK94" s="66"/>
      <c r="EL94" s="66"/>
      <c r="EM94" s="66"/>
      <c r="EN94" s="66"/>
      <c r="EO94" s="66"/>
      <c r="EP94" s="66"/>
      <c r="EQ94" s="66"/>
      <c r="ER94" s="66"/>
      <c r="ES94" s="66"/>
      <c r="ET94" s="66"/>
      <c r="EU94" s="66"/>
      <c r="EV94" s="66"/>
      <c r="EW94" s="66"/>
      <c r="EX94" s="66"/>
      <c r="EY94" s="66"/>
      <c r="EZ94" s="66"/>
      <c r="FA94" s="66"/>
      <c r="FB94" s="66"/>
      <c r="FC94" s="66"/>
      <c r="FD94" s="66"/>
      <c r="FE94" s="66"/>
      <c r="FF94" s="66"/>
      <c r="FG94" s="66"/>
      <c r="FH94" s="66"/>
      <c r="FI94" s="66"/>
      <c r="FJ94" s="66"/>
      <c r="FK94" s="66"/>
      <c r="FL94" s="66"/>
      <c r="FM94" s="66"/>
      <c r="FN94" s="66"/>
      <c r="FO94" s="66"/>
      <c r="FP94" s="66"/>
      <c r="FQ94" s="66"/>
      <c r="FR94" s="66"/>
      <c r="FS94" s="66"/>
      <c r="FT94" s="66"/>
      <c r="FU94" s="66"/>
      <c r="FV94" s="66"/>
      <c r="FW94" s="66"/>
      <c r="FX94" s="66"/>
      <c r="FY94" s="66"/>
      <c r="FZ94" s="66"/>
      <c r="GA94" s="66"/>
      <c r="GB94" s="66"/>
      <c r="GC94" s="66"/>
      <c r="GD94" s="66"/>
      <c r="GE94" s="66"/>
      <c r="GF94" s="66"/>
      <c r="GG94" s="66"/>
      <c r="GH94" s="66"/>
      <c r="GI94" s="66"/>
      <c r="GJ94" s="66"/>
      <c r="GK94" s="66"/>
      <c r="GL94" s="66"/>
      <c r="GM94" s="66"/>
      <c r="GN94" s="66"/>
      <c r="GO94" s="66"/>
      <c r="GP94" s="66"/>
      <c r="GQ94" s="66"/>
      <c r="GR94" s="66"/>
      <c r="GS94" s="66"/>
      <c r="GT94" s="66"/>
      <c r="GU94" s="66"/>
      <c r="GV94" s="66"/>
      <c r="GW94" s="66"/>
      <c r="GX94" s="66"/>
      <c r="GY94" s="66"/>
      <c r="GZ94" s="66"/>
      <c r="HA94" s="66"/>
      <c r="HB94" s="66"/>
      <c r="HC94" s="66"/>
      <c r="HD94" s="66"/>
      <c r="HE94" s="66"/>
      <c r="HF94" s="66"/>
      <c r="HG94" s="66"/>
      <c r="HH94" s="66"/>
      <c r="HI94" s="66"/>
      <c r="HJ94" s="66"/>
      <c r="HK94" s="66"/>
      <c r="HL94" s="66"/>
      <c r="HM94" s="66"/>
      <c r="HN94" s="66"/>
      <c r="HO94" s="66"/>
      <c r="HP94" s="66"/>
      <c r="HQ94" s="66"/>
      <c r="HR94" s="66"/>
      <c r="HS94" s="66"/>
      <c r="HT94" s="66"/>
      <c r="HU94" s="66"/>
      <c r="HV94" s="66"/>
      <c r="HW94" s="66"/>
      <c r="HX94" s="66"/>
      <c r="HY94" s="66"/>
      <c r="HZ94" s="66"/>
      <c r="IA94" s="66"/>
      <c r="IB94" s="66"/>
      <c r="IC94" s="66"/>
      <c r="ID94" s="66"/>
      <c r="IE94" s="66"/>
      <c r="IF94" s="66"/>
      <c r="IG94" s="66"/>
      <c r="IH94" s="66"/>
      <c r="II94" s="66"/>
      <c r="IJ94" s="66"/>
      <c r="IK94" s="66"/>
      <c r="IL94" s="66"/>
      <c r="IM94" s="66"/>
      <c r="IN94" s="66"/>
      <c r="IO94" s="66"/>
      <c r="IP94" s="66"/>
      <c r="IQ94" s="66"/>
      <c r="IR94" s="66"/>
    </row>
    <row r="95" customFormat="false" ht="22.5" hidden="false" customHeight="true" outlineLevel="0" collapsed="false">
      <c r="A95" s="66"/>
      <c r="B95" s="62" t="s">
        <v>286</v>
      </c>
      <c r="C95" s="63" t="s">
        <v>287</v>
      </c>
      <c r="D95" s="28" t="s">
        <v>103</v>
      </c>
      <c r="E95" s="64"/>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c r="CD95" s="66"/>
      <c r="CE95" s="66"/>
      <c r="CF95" s="66"/>
      <c r="CG95" s="66"/>
      <c r="CH95" s="66"/>
      <c r="CI95" s="66"/>
      <c r="CJ95" s="66"/>
      <c r="CK95" s="66"/>
      <c r="CL95" s="66"/>
      <c r="CM95" s="66"/>
      <c r="CN95" s="66"/>
      <c r="CO95" s="66"/>
      <c r="CP95" s="66"/>
      <c r="CQ95" s="66"/>
      <c r="CR95" s="66"/>
      <c r="CS95" s="66"/>
      <c r="CT95" s="66"/>
      <c r="CU95" s="66"/>
      <c r="CV95" s="66"/>
      <c r="CW95" s="66"/>
      <c r="CX95" s="66"/>
      <c r="CY95" s="66"/>
      <c r="CZ95" s="66"/>
      <c r="DA95" s="66"/>
      <c r="DB95" s="66"/>
      <c r="DC95" s="66"/>
      <c r="DD95" s="66"/>
      <c r="DE95" s="66"/>
      <c r="DF95" s="66"/>
      <c r="DG95" s="66"/>
      <c r="DH95" s="66"/>
      <c r="DI95" s="66"/>
      <c r="DJ95" s="66"/>
      <c r="DK95" s="66"/>
      <c r="DL95" s="66"/>
      <c r="DM95" s="66"/>
      <c r="DN95" s="66"/>
      <c r="DO95" s="66"/>
      <c r="DP95" s="66"/>
      <c r="DQ95" s="66"/>
      <c r="DR95" s="66"/>
      <c r="DS95" s="66"/>
      <c r="DT95" s="66"/>
      <c r="DU95" s="66"/>
      <c r="DV95" s="66"/>
      <c r="DW95" s="66"/>
      <c r="DX95" s="66"/>
      <c r="DY95" s="66"/>
      <c r="DZ95" s="66"/>
      <c r="EA95" s="66"/>
      <c r="EB95" s="66"/>
      <c r="EC95" s="66"/>
      <c r="ED95" s="66"/>
      <c r="EE95" s="66"/>
      <c r="EF95" s="66"/>
      <c r="EG95" s="66"/>
      <c r="EH95" s="66"/>
      <c r="EI95" s="66"/>
      <c r="EJ95" s="66"/>
      <c r="EK95" s="66"/>
      <c r="EL95" s="66"/>
      <c r="EM95" s="66"/>
      <c r="EN95" s="66"/>
      <c r="EO95" s="66"/>
      <c r="EP95" s="66"/>
      <c r="EQ95" s="66"/>
      <c r="ER95" s="66"/>
      <c r="ES95" s="66"/>
      <c r="ET95" s="66"/>
      <c r="EU95" s="66"/>
      <c r="EV95" s="66"/>
      <c r="EW95" s="66"/>
      <c r="EX95" s="66"/>
      <c r="EY95" s="66"/>
      <c r="EZ95" s="66"/>
      <c r="FA95" s="66"/>
      <c r="FB95" s="66"/>
      <c r="FC95" s="66"/>
      <c r="FD95" s="66"/>
      <c r="FE95" s="66"/>
      <c r="FF95" s="66"/>
      <c r="FG95" s="66"/>
      <c r="FH95" s="66"/>
      <c r="FI95" s="66"/>
      <c r="FJ95" s="66"/>
      <c r="FK95" s="66"/>
      <c r="FL95" s="66"/>
      <c r="FM95" s="66"/>
      <c r="FN95" s="66"/>
      <c r="FO95" s="66"/>
      <c r="FP95" s="66"/>
      <c r="FQ95" s="66"/>
      <c r="FR95" s="66"/>
      <c r="FS95" s="66"/>
      <c r="FT95" s="66"/>
      <c r="FU95" s="66"/>
      <c r="FV95" s="66"/>
      <c r="FW95" s="66"/>
      <c r="FX95" s="66"/>
      <c r="FY95" s="66"/>
      <c r="FZ95" s="66"/>
      <c r="GA95" s="66"/>
      <c r="GB95" s="66"/>
      <c r="GC95" s="66"/>
      <c r="GD95" s="66"/>
      <c r="GE95" s="66"/>
      <c r="GF95" s="66"/>
      <c r="GG95" s="66"/>
      <c r="GH95" s="66"/>
      <c r="GI95" s="66"/>
      <c r="GJ95" s="66"/>
      <c r="GK95" s="66"/>
      <c r="GL95" s="66"/>
      <c r="GM95" s="66"/>
      <c r="GN95" s="66"/>
      <c r="GO95" s="66"/>
      <c r="GP95" s="66"/>
      <c r="GQ95" s="66"/>
      <c r="GR95" s="66"/>
      <c r="GS95" s="66"/>
      <c r="GT95" s="66"/>
      <c r="GU95" s="66"/>
      <c r="GV95" s="66"/>
      <c r="GW95" s="66"/>
      <c r="GX95" s="66"/>
      <c r="GY95" s="66"/>
      <c r="GZ95" s="66"/>
      <c r="HA95" s="66"/>
      <c r="HB95" s="66"/>
      <c r="HC95" s="66"/>
      <c r="HD95" s="66"/>
      <c r="HE95" s="66"/>
      <c r="HF95" s="66"/>
      <c r="HG95" s="66"/>
      <c r="HH95" s="66"/>
      <c r="HI95" s="66"/>
      <c r="HJ95" s="66"/>
      <c r="HK95" s="66"/>
      <c r="HL95" s="66"/>
      <c r="HM95" s="66"/>
      <c r="HN95" s="66"/>
      <c r="HO95" s="66"/>
      <c r="HP95" s="66"/>
      <c r="HQ95" s="66"/>
      <c r="HR95" s="66"/>
      <c r="HS95" s="66"/>
      <c r="HT95" s="66"/>
      <c r="HU95" s="66"/>
      <c r="HV95" s="66"/>
      <c r="HW95" s="66"/>
      <c r="HX95" s="66"/>
      <c r="HY95" s="66"/>
      <c r="HZ95" s="66"/>
      <c r="IA95" s="66"/>
      <c r="IB95" s="66"/>
      <c r="IC95" s="66"/>
      <c r="ID95" s="66"/>
      <c r="IE95" s="66"/>
      <c r="IF95" s="66"/>
      <c r="IG95" s="66"/>
      <c r="IH95" s="66"/>
      <c r="II95" s="66"/>
      <c r="IJ95" s="66"/>
      <c r="IK95" s="66"/>
      <c r="IL95" s="66"/>
      <c r="IM95" s="66"/>
      <c r="IN95" s="66"/>
      <c r="IO95" s="66"/>
      <c r="IP95" s="66"/>
      <c r="IQ95" s="66"/>
      <c r="IR95" s="66"/>
    </row>
    <row r="96" customFormat="false" ht="22.5" hidden="false" customHeight="true" outlineLevel="0" collapsed="false">
      <c r="A96" s="66"/>
      <c r="B96" s="62" t="s">
        <v>288</v>
      </c>
      <c r="C96" s="63" t="s">
        <v>289</v>
      </c>
      <c r="D96" s="28" t="s">
        <v>103</v>
      </c>
      <c r="E96" s="64"/>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X96" s="66"/>
      <c r="BY96" s="66"/>
      <c r="BZ96" s="66"/>
      <c r="CA96" s="66"/>
      <c r="CB96" s="66"/>
      <c r="CC96" s="66"/>
      <c r="CD96" s="66"/>
      <c r="CE96" s="66"/>
      <c r="CF96" s="66"/>
      <c r="CG96" s="66"/>
      <c r="CH96" s="66"/>
      <c r="CI96" s="66"/>
      <c r="CJ96" s="66"/>
      <c r="CK96" s="66"/>
      <c r="CL96" s="66"/>
      <c r="CM96" s="66"/>
      <c r="CN96" s="66"/>
      <c r="CO96" s="66"/>
      <c r="CP96" s="66"/>
      <c r="CQ96" s="66"/>
      <c r="CR96" s="66"/>
      <c r="CS96" s="66"/>
      <c r="CT96" s="66"/>
      <c r="CU96" s="66"/>
      <c r="CV96" s="66"/>
      <c r="CW96" s="66"/>
      <c r="CX96" s="66"/>
      <c r="CY96" s="66"/>
      <c r="CZ96" s="66"/>
      <c r="DA96" s="66"/>
      <c r="DB96" s="66"/>
      <c r="DC96" s="66"/>
      <c r="DD96" s="66"/>
      <c r="DE96" s="66"/>
      <c r="DF96" s="66"/>
      <c r="DG96" s="66"/>
      <c r="DH96" s="66"/>
      <c r="DI96" s="66"/>
      <c r="DJ96" s="66"/>
      <c r="DK96" s="66"/>
      <c r="DL96" s="66"/>
      <c r="DM96" s="66"/>
      <c r="DN96" s="66"/>
      <c r="DO96" s="66"/>
      <c r="DP96" s="66"/>
      <c r="DQ96" s="66"/>
      <c r="DR96" s="66"/>
      <c r="DS96" s="66"/>
      <c r="DT96" s="66"/>
      <c r="DU96" s="66"/>
      <c r="DV96" s="66"/>
      <c r="DW96" s="66"/>
      <c r="DX96" s="66"/>
      <c r="DY96" s="66"/>
      <c r="DZ96" s="66"/>
      <c r="EA96" s="66"/>
      <c r="EB96" s="66"/>
      <c r="EC96" s="66"/>
      <c r="ED96" s="66"/>
      <c r="EE96" s="66"/>
      <c r="EF96" s="66"/>
      <c r="EG96" s="66"/>
      <c r="EH96" s="66"/>
      <c r="EI96" s="66"/>
      <c r="EJ96" s="66"/>
      <c r="EK96" s="66"/>
      <c r="EL96" s="66"/>
      <c r="EM96" s="66"/>
      <c r="EN96" s="66"/>
      <c r="EO96" s="66"/>
      <c r="EP96" s="66"/>
      <c r="EQ96" s="66"/>
      <c r="ER96" s="66"/>
      <c r="ES96" s="66"/>
      <c r="ET96" s="66"/>
      <c r="EU96" s="66"/>
      <c r="EV96" s="66"/>
      <c r="EW96" s="66"/>
      <c r="EX96" s="66"/>
      <c r="EY96" s="66"/>
      <c r="EZ96" s="66"/>
      <c r="FA96" s="66"/>
      <c r="FB96" s="66"/>
      <c r="FC96" s="66"/>
      <c r="FD96" s="66"/>
      <c r="FE96" s="66"/>
      <c r="FF96" s="66"/>
      <c r="FG96" s="66"/>
      <c r="FH96" s="66"/>
      <c r="FI96" s="66"/>
      <c r="FJ96" s="66"/>
      <c r="FK96" s="66"/>
      <c r="FL96" s="66"/>
      <c r="FM96" s="66"/>
      <c r="FN96" s="66"/>
      <c r="FO96" s="66"/>
      <c r="FP96" s="66"/>
      <c r="FQ96" s="66"/>
      <c r="FR96" s="66"/>
      <c r="FS96" s="66"/>
      <c r="FT96" s="66"/>
      <c r="FU96" s="66"/>
      <c r="FV96" s="66"/>
      <c r="FW96" s="66"/>
      <c r="FX96" s="66"/>
      <c r="FY96" s="66"/>
      <c r="FZ96" s="66"/>
      <c r="GA96" s="66"/>
      <c r="GB96" s="66"/>
      <c r="GC96" s="66"/>
      <c r="GD96" s="66"/>
      <c r="GE96" s="66"/>
      <c r="GF96" s="66"/>
      <c r="GG96" s="66"/>
      <c r="GH96" s="66"/>
      <c r="GI96" s="66"/>
      <c r="GJ96" s="66"/>
      <c r="GK96" s="66"/>
      <c r="GL96" s="66"/>
      <c r="GM96" s="66"/>
      <c r="GN96" s="66"/>
      <c r="GO96" s="66"/>
      <c r="GP96" s="66"/>
      <c r="GQ96" s="66"/>
      <c r="GR96" s="66"/>
      <c r="GS96" s="66"/>
      <c r="GT96" s="66"/>
      <c r="GU96" s="66"/>
      <c r="GV96" s="66"/>
      <c r="GW96" s="66"/>
      <c r="GX96" s="66"/>
      <c r="GY96" s="66"/>
      <c r="GZ96" s="66"/>
      <c r="HA96" s="66"/>
      <c r="HB96" s="66"/>
      <c r="HC96" s="66"/>
      <c r="HD96" s="66"/>
      <c r="HE96" s="66"/>
      <c r="HF96" s="66"/>
      <c r="HG96" s="66"/>
      <c r="HH96" s="66"/>
      <c r="HI96" s="66"/>
      <c r="HJ96" s="66"/>
      <c r="HK96" s="66"/>
      <c r="HL96" s="66"/>
      <c r="HM96" s="66"/>
      <c r="HN96" s="66"/>
      <c r="HO96" s="66"/>
      <c r="HP96" s="66"/>
      <c r="HQ96" s="66"/>
      <c r="HR96" s="66"/>
      <c r="HS96" s="66"/>
      <c r="HT96" s="66"/>
      <c r="HU96" s="66"/>
      <c r="HV96" s="66"/>
      <c r="HW96" s="66"/>
      <c r="HX96" s="66"/>
      <c r="HY96" s="66"/>
      <c r="HZ96" s="66"/>
      <c r="IA96" s="66"/>
      <c r="IB96" s="66"/>
      <c r="IC96" s="66"/>
      <c r="ID96" s="66"/>
      <c r="IE96" s="66"/>
      <c r="IF96" s="66"/>
      <c r="IG96" s="66"/>
      <c r="IH96" s="66"/>
      <c r="II96" s="66"/>
      <c r="IJ96" s="66"/>
      <c r="IK96" s="66"/>
      <c r="IL96" s="66"/>
      <c r="IM96" s="66"/>
      <c r="IN96" s="66"/>
      <c r="IO96" s="66"/>
      <c r="IP96" s="66"/>
      <c r="IQ96" s="66"/>
      <c r="IR96" s="66"/>
    </row>
    <row r="97" customFormat="false" ht="22.5" hidden="false" customHeight="true" outlineLevel="0" collapsed="false">
      <c r="A97" s="66"/>
      <c r="B97" s="62" t="s">
        <v>290</v>
      </c>
      <c r="C97" s="63" t="s">
        <v>291</v>
      </c>
      <c r="D97" s="28" t="s">
        <v>103</v>
      </c>
      <c r="E97" s="64"/>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6"/>
      <c r="BZ97" s="66"/>
      <c r="CA97" s="66"/>
      <c r="CB97" s="66"/>
      <c r="CC97" s="66"/>
      <c r="CD97" s="66"/>
      <c r="CE97" s="66"/>
      <c r="CF97" s="66"/>
      <c r="CG97" s="66"/>
      <c r="CH97" s="66"/>
      <c r="CI97" s="66"/>
      <c r="CJ97" s="66"/>
      <c r="CK97" s="66"/>
      <c r="CL97" s="66"/>
      <c r="CM97" s="66"/>
      <c r="CN97" s="66"/>
      <c r="CO97" s="66"/>
      <c r="CP97" s="66"/>
      <c r="CQ97" s="66"/>
      <c r="CR97" s="66"/>
      <c r="CS97" s="66"/>
      <c r="CT97" s="66"/>
      <c r="CU97" s="66"/>
      <c r="CV97" s="66"/>
      <c r="CW97" s="66"/>
      <c r="CX97" s="66"/>
      <c r="CY97" s="66"/>
      <c r="CZ97" s="66"/>
      <c r="DA97" s="66"/>
      <c r="DB97" s="66"/>
      <c r="DC97" s="66"/>
      <c r="DD97" s="66"/>
      <c r="DE97" s="66"/>
      <c r="DF97" s="66"/>
      <c r="DG97" s="66"/>
      <c r="DH97" s="66"/>
      <c r="DI97" s="66"/>
      <c r="DJ97" s="66"/>
      <c r="DK97" s="66"/>
      <c r="DL97" s="66"/>
      <c r="DM97" s="66"/>
      <c r="DN97" s="66"/>
      <c r="DO97" s="66"/>
      <c r="DP97" s="66"/>
      <c r="DQ97" s="66"/>
      <c r="DR97" s="66"/>
      <c r="DS97" s="66"/>
      <c r="DT97" s="66"/>
      <c r="DU97" s="66"/>
      <c r="DV97" s="66"/>
      <c r="DW97" s="66"/>
      <c r="DX97" s="66"/>
      <c r="DY97" s="66"/>
      <c r="DZ97" s="66"/>
      <c r="EA97" s="66"/>
      <c r="EB97" s="66"/>
      <c r="EC97" s="66"/>
      <c r="ED97" s="66"/>
      <c r="EE97" s="66"/>
      <c r="EF97" s="66"/>
      <c r="EG97" s="66"/>
      <c r="EH97" s="66"/>
      <c r="EI97" s="66"/>
      <c r="EJ97" s="66"/>
      <c r="EK97" s="66"/>
      <c r="EL97" s="66"/>
      <c r="EM97" s="66"/>
      <c r="EN97" s="66"/>
      <c r="EO97" s="66"/>
      <c r="EP97" s="66"/>
      <c r="EQ97" s="66"/>
      <c r="ER97" s="66"/>
      <c r="ES97" s="66"/>
      <c r="ET97" s="66"/>
      <c r="EU97" s="66"/>
      <c r="EV97" s="66"/>
      <c r="EW97" s="66"/>
      <c r="EX97" s="66"/>
      <c r="EY97" s="66"/>
      <c r="EZ97" s="66"/>
      <c r="FA97" s="66"/>
      <c r="FB97" s="66"/>
      <c r="FC97" s="66"/>
      <c r="FD97" s="66"/>
      <c r="FE97" s="66"/>
      <c r="FF97" s="66"/>
      <c r="FG97" s="66"/>
      <c r="FH97" s="66"/>
      <c r="FI97" s="66"/>
      <c r="FJ97" s="66"/>
      <c r="FK97" s="66"/>
      <c r="FL97" s="66"/>
      <c r="FM97" s="66"/>
      <c r="FN97" s="66"/>
      <c r="FO97" s="66"/>
      <c r="FP97" s="66"/>
      <c r="FQ97" s="66"/>
      <c r="FR97" s="66"/>
      <c r="FS97" s="66"/>
      <c r="FT97" s="66"/>
      <c r="FU97" s="66"/>
      <c r="FV97" s="66"/>
      <c r="FW97" s="66"/>
      <c r="FX97" s="66"/>
      <c r="FY97" s="66"/>
      <c r="FZ97" s="66"/>
      <c r="GA97" s="66"/>
      <c r="GB97" s="66"/>
      <c r="GC97" s="66"/>
      <c r="GD97" s="66"/>
      <c r="GE97" s="66"/>
      <c r="GF97" s="66"/>
      <c r="GG97" s="66"/>
      <c r="GH97" s="66"/>
      <c r="GI97" s="66"/>
      <c r="GJ97" s="66"/>
      <c r="GK97" s="66"/>
      <c r="GL97" s="66"/>
      <c r="GM97" s="66"/>
      <c r="GN97" s="66"/>
      <c r="GO97" s="66"/>
      <c r="GP97" s="66"/>
      <c r="GQ97" s="66"/>
      <c r="GR97" s="66"/>
      <c r="GS97" s="66"/>
      <c r="GT97" s="66"/>
      <c r="GU97" s="66"/>
      <c r="GV97" s="66"/>
      <c r="GW97" s="66"/>
      <c r="GX97" s="66"/>
      <c r="GY97" s="66"/>
      <c r="GZ97" s="66"/>
      <c r="HA97" s="66"/>
      <c r="HB97" s="66"/>
      <c r="HC97" s="66"/>
      <c r="HD97" s="66"/>
      <c r="HE97" s="66"/>
      <c r="HF97" s="66"/>
      <c r="HG97" s="66"/>
      <c r="HH97" s="66"/>
      <c r="HI97" s="66"/>
      <c r="HJ97" s="66"/>
      <c r="HK97" s="66"/>
      <c r="HL97" s="66"/>
      <c r="HM97" s="66"/>
      <c r="HN97" s="66"/>
      <c r="HO97" s="66"/>
      <c r="HP97" s="66"/>
      <c r="HQ97" s="66"/>
      <c r="HR97" s="66"/>
      <c r="HS97" s="66"/>
      <c r="HT97" s="66"/>
      <c r="HU97" s="66"/>
      <c r="HV97" s="66"/>
      <c r="HW97" s="66"/>
      <c r="HX97" s="66"/>
      <c r="HY97" s="66"/>
      <c r="HZ97" s="66"/>
      <c r="IA97" s="66"/>
      <c r="IB97" s="66"/>
      <c r="IC97" s="66"/>
      <c r="ID97" s="66"/>
      <c r="IE97" s="66"/>
      <c r="IF97" s="66"/>
      <c r="IG97" s="66"/>
      <c r="IH97" s="66"/>
      <c r="II97" s="66"/>
      <c r="IJ97" s="66"/>
      <c r="IK97" s="66"/>
      <c r="IL97" s="66"/>
      <c r="IM97" s="66"/>
      <c r="IN97" s="66"/>
      <c r="IO97" s="66"/>
      <c r="IP97" s="66"/>
      <c r="IQ97" s="66"/>
      <c r="IR97" s="66"/>
    </row>
    <row r="98" customFormat="false" ht="22.5" hidden="false" customHeight="true" outlineLevel="0" collapsed="false">
      <c r="A98" s="66"/>
      <c r="B98" s="62" t="s">
        <v>292</v>
      </c>
      <c r="C98" s="63" t="s">
        <v>293</v>
      </c>
      <c r="D98" s="28" t="s">
        <v>103</v>
      </c>
      <c r="E98" s="64"/>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66"/>
      <c r="CO98" s="66"/>
      <c r="CP98" s="66"/>
      <c r="CQ98" s="66"/>
      <c r="CR98" s="66"/>
      <c r="CS98" s="66"/>
      <c r="CT98" s="66"/>
      <c r="CU98" s="66"/>
      <c r="CV98" s="66"/>
      <c r="CW98" s="66"/>
      <c r="CX98" s="66"/>
      <c r="CY98" s="66"/>
      <c r="CZ98" s="66"/>
      <c r="DA98" s="66"/>
      <c r="DB98" s="66"/>
      <c r="DC98" s="66"/>
      <c r="DD98" s="66"/>
      <c r="DE98" s="66"/>
      <c r="DF98" s="66"/>
      <c r="DG98" s="66"/>
      <c r="DH98" s="66"/>
      <c r="DI98" s="66"/>
      <c r="DJ98" s="66"/>
      <c r="DK98" s="66"/>
      <c r="DL98" s="66"/>
      <c r="DM98" s="66"/>
      <c r="DN98" s="66"/>
      <c r="DO98" s="66"/>
      <c r="DP98" s="66"/>
      <c r="DQ98" s="66"/>
      <c r="DR98" s="66"/>
      <c r="DS98" s="66"/>
      <c r="DT98" s="66"/>
      <c r="DU98" s="66"/>
      <c r="DV98" s="66"/>
      <c r="DW98" s="66"/>
      <c r="DX98" s="66"/>
      <c r="DY98" s="66"/>
      <c r="DZ98" s="66"/>
      <c r="EA98" s="66"/>
      <c r="EB98" s="66"/>
      <c r="EC98" s="66"/>
      <c r="ED98" s="66"/>
      <c r="EE98" s="66"/>
      <c r="EF98" s="66"/>
      <c r="EG98" s="66"/>
      <c r="EH98" s="66"/>
      <c r="EI98" s="66"/>
      <c r="EJ98" s="66"/>
      <c r="EK98" s="66"/>
      <c r="EL98" s="66"/>
      <c r="EM98" s="66"/>
      <c r="EN98" s="66"/>
      <c r="EO98" s="66"/>
      <c r="EP98" s="66"/>
      <c r="EQ98" s="66"/>
      <c r="ER98" s="66"/>
      <c r="ES98" s="66"/>
      <c r="ET98" s="66"/>
      <c r="EU98" s="66"/>
      <c r="EV98" s="66"/>
      <c r="EW98" s="66"/>
      <c r="EX98" s="66"/>
      <c r="EY98" s="66"/>
      <c r="EZ98" s="66"/>
      <c r="FA98" s="66"/>
      <c r="FB98" s="66"/>
      <c r="FC98" s="66"/>
      <c r="FD98" s="66"/>
      <c r="FE98" s="66"/>
      <c r="FF98" s="66"/>
      <c r="FG98" s="66"/>
      <c r="FH98" s="66"/>
      <c r="FI98" s="66"/>
      <c r="FJ98" s="66"/>
      <c r="FK98" s="66"/>
      <c r="FL98" s="66"/>
      <c r="FM98" s="66"/>
      <c r="FN98" s="66"/>
      <c r="FO98" s="66"/>
      <c r="FP98" s="66"/>
      <c r="FQ98" s="66"/>
      <c r="FR98" s="66"/>
      <c r="FS98" s="66"/>
      <c r="FT98" s="66"/>
      <c r="FU98" s="66"/>
      <c r="FV98" s="66"/>
      <c r="FW98" s="66"/>
      <c r="FX98" s="66"/>
      <c r="FY98" s="66"/>
      <c r="FZ98" s="66"/>
      <c r="GA98" s="66"/>
      <c r="GB98" s="66"/>
      <c r="GC98" s="66"/>
      <c r="GD98" s="66"/>
      <c r="GE98" s="66"/>
      <c r="GF98" s="66"/>
      <c r="GG98" s="66"/>
      <c r="GH98" s="66"/>
      <c r="GI98" s="66"/>
      <c r="GJ98" s="66"/>
      <c r="GK98" s="66"/>
      <c r="GL98" s="66"/>
      <c r="GM98" s="66"/>
      <c r="GN98" s="66"/>
      <c r="GO98" s="66"/>
      <c r="GP98" s="66"/>
      <c r="GQ98" s="66"/>
      <c r="GR98" s="66"/>
      <c r="GS98" s="66"/>
      <c r="GT98" s="66"/>
      <c r="GU98" s="66"/>
      <c r="GV98" s="66"/>
      <c r="GW98" s="66"/>
      <c r="GX98" s="66"/>
      <c r="GY98" s="66"/>
      <c r="GZ98" s="66"/>
      <c r="HA98" s="66"/>
      <c r="HB98" s="66"/>
      <c r="HC98" s="66"/>
      <c r="HD98" s="66"/>
      <c r="HE98" s="66"/>
      <c r="HF98" s="66"/>
      <c r="HG98" s="66"/>
      <c r="HH98" s="66"/>
      <c r="HI98" s="66"/>
      <c r="HJ98" s="66"/>
      <c r="HK98" s="66"/>
      <c r="HL98" s="66"/>
      <c r="HM98" s="66"/>
      <c r="HN98" s="66"/>
      <c r="HO98" s="66"/>
      <c r="HP98" s="66"/>
      <c r="HQ98" s="66"/>
      <c r="HR98" s="66"/>
      <c r="HS98" s="66"/>
      <c r="HT98" s="66"/>
      <c r="HU98" s="66"/>
      <c r="HV98" s="66"/>
      <c r="HW98" s="66"/>
      <c r="HX98" s="66"/>
      <c r="HY98" s="66"/>
      <c r="HZ98" s="66"/>
      <c r="IA98" s="66"/>
      <c r="IB98" s="66"/>
      <c r="IC98" s="66"/>
      <c r="ID98" s="66"/>
      <c r="IE98" s="66"/>
      <c r="IF98" s="66"/>
      <c r="IG98" s="66"/>
      <c r="IH98" s="66"/>
      <c r="II98" s="66"/>
      <c r="IJ98" s="66"/>
      <c r="IK98" s="66"/>
      <c r="IL98" s="66"/>
      <c r="IM98" s="66"/>
      <c r="IN98" s="66"/>
      <c r="IO98" s="66"/>
      <c r="IP98" s="66"/>
      <c r="IQ98" s="66"/>
      <c r="IR98" s="66"/>
    </row>
    <row r="99" customFormat="false" ht="22.5" hidden="false" customHeight="true" outlineLevel="0" collapsed="false">
      <c r="A99" s="66"/>
      <c r="B99" s="62" t="s">
        <v>294</v>
      </c>
      <c r="C99" s="63" t="s">
        <v>295</v>
      </c>
      <c r="D99" s="28" t="s">
        <v>103</v>
      </c>
      <c r="E99" s="64"/>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66"/>
      <c r="CO99" s="66"/>
      <c r="CP99" s="66"/>
      <c r="CQ99" s="66"/>
      <c r="CR99" s="66"/>
      <c r="CS99" s="66"/>
      <c r="CT99" s="66"/>
      <c r="CU99" s="66"/>
      <c r="CV99" s="66"/>
      <c r="CW99" s="66"/>
      <c r="CX99" s="66"/>
      <c r="CY99" s="66"/>
      <c r="CZ99" s="66"/>
      <c r="DA99" s="66"/>
      <c r="DB99" s="66"/>
      <c r="DC99" s="66"/>
      <c r="DD99" s="66"/>
      <c r="DE99" s="66"/>
      <c r="DF99" s="66"/>
      <c r="DG99" s="66"/>
      <c r="DH99" s="66"/>
      <c r="DI99" s="66"/>
      <c r="DJ99" s="66"/>
      <c r="DK99" s="66"/>
      <c r="DL99" s="66"/>
      <c r="DM99" s="66"/>
      <c r="DN99" s="66"/>
      <c r="DO99" s="66"/>
      <c r="DP99" s="66"/>
      <c r="DQ99" s="66"/>
      <c r="DR99" s="66"/>
      <c r="DS99" s="66"/>
      <c r="DT99" s="66"/>
      <c r="DU99" s="66"/>
      <c r="DV99" s="66"/>
      <c r="DW99" s="66"/>
      <c r="DX99" s="66"/>
      <c r="DY99" s="66"/>
      <c r="DZ99" s="66"/>
      <c r="EA99" s="66"/>
      <c r="EB99" s="66"/>
      <c r="EC99" s="66"/>
      <c r="ED99" s="66"/>
      <c r="EE99" s="66"/>
      <c r="EF99" s="66"/>
      <c r="EG99" s="66"/>
      <c r="EH99" s="66"/>
      <c r="EI99" s="66"/>
      <c r="EJ99" s="66"/>
      <c r="EK99" s="66"/>
      <c r="EL99" s="66"/>
      <c r="EM99" s="66"/>
      <c r="EN99" s="66"/>
      <c r="EO99" s="66"/>
      <c r="EP99" s="66"/>
      <c r="EQ99" s="66"/>
      <c r="ER99" s="66"/>
      <c r="ES99" s="66"/>
      <c r="ET99" s="66"/>
      <c r="EU99" s="66"/>
      <c r="EV99" s="66"/>
      <c r="EW99" s="66"/>
      <c r="EX99" s="66"/>
      <c r="EY99" s="66"/>
      <c r="EZ99" s="66"/>
      <c r="FA99" s="66"/>
      <c r="FB99" s="66"/>
      <c r="FC99" s="66"/>
      <c r="FD99" s="66"/>
      <c r="FE99" s="66"/>
      <c r="FF99" s="66"/>
      <c r="FG99" s="66"/>
      <c r="FH99" s="66"/>
      <c r="FI99" s="66"/>
      <c r="FJ99" s="66"/>
      <c r="FK99" s="66"/>
      <c r="FL99" s="66"/>
      <c r="FM99" s="66"/>
      <c r="FN99" s="66"/>
      <c r="FO99" s="66"/>
      <c r="FP99" s="66"/>
      <c r="FQ99" s="66"/>
      <c r="FR99" s="66"/>
      <c r="FS99" s="66"/>
      <c r="FT99" s="66"/>
      <c r="FU99" s="66"/>
      <c r="FV99" s="66"/>
      <c r="FW99" s="66"/>
      <c r="FX99" s="66"/>
      <c r="FY99" s="66"/>
      <c r="FZ99" s="66"/>
      <c r="GA99" s="66"/>
      <c r="GB99" s="66"/>
      <c r="GC99" s="66"/>
      <c r="GD99" s="66"/>
      <c r="GE99" s="66"/>
      <c r="GF99" s="66"/>
      <c r="GG99" s="66"/>
      <c r="GH99" s="66"/>
      <c r="GI99" s="66"/>
      <c r="GJ99" s="66"/>
      <c r="GK99" s="66"/>
      <c r="GL99" s="66"/>
      <c r="GM99" s="66"/>
      <c r="GN99" s="66"/>
      <c r="GO99" s="66"/>
      <c r="GP99" s="66"/>
      <c r="GQ99" s="66"/>
      <c r="GR99" s="66"/>
      <c r="GS99" s="66"/>
      <c r="GT99" s="66"/>
      <c r="GU99" s="66"/>
      <c r="GV99" s="66"/>
      <c r="GW99" s="66"/>
      <c r="GX99" s="66"/>
      <c r="GY99" s="66"/>
      <c r="GZ99" s="66"/>
      <c r="HA99" s="66"/>
      <c r="HB99" s="66"/>
      <c r="HC99" s="66"/>
      <c r="HD99" s="66"/>
      <c r="HE99" s="66"/>
      <c r="HF99" s="66"/>
      <c r="HG99" s="66"/>
      <c r="HH99" s="66"/>
      <c r="HI99" s="66"/>
      <c r="HJ99" s="66"/>
      <c r="HK99" s="66"/>
      <c r="HL99" s="66"/>
      <c r="HM99" s="66"/>
      <c r="HN99" s="66"/>
      <c r="HO99" s="66"/>
      <c r="HP99" s="66"/>
      <c r="HQ99" s="66"/>
      <c r="HR99" s="66"/>
      <c r="HS99" s="66"/>
      <c r="HT99" s="66"/>
      <c r="HU99" s="66"/>
      <c r="HV99" s="66"/>
      <c r="HW99" s="66"/>
      <c r="HX99" s="66"/>
      <c r="HY99" s="66"/>
      <c r="HZ99" s="66"/>
      <c r="IA99" s="66"/>
      <c r="IB99" s="66"/>
      <c r="IC99" s="66"/>
      <c r="ID99" s="66"/>
      <c r="IE99" s="66"/>
      <c r="IF99" s="66"/>
      <c r="IG99" s="66"/>
      <c r="IH99" s="66"/>
      <c r="II99" s="66"/>
      <c r="IJ99" s="66"/>
      <c r="IK99" s="66"/>
      <c r="IL99" s="66"/>
      <c r="IM99" s="66"/>
      <c r="IN99" s="66"/>
      <c r="IO99" s="66"/>
      <c r="IP99" s="66"/>
      <c r="IQ99" s="66"/>
      <c r="IR99" s="66"/>
    </row>
    <row r="100" customFormat="false" ht="17.9" hidden="false" customHeight="false" outlineLevel="0" collapsed="false">
      <c r="A100" s="67"/>
      <c r="B100" s="68"/>
      <c r="C100" s="69"/>
      <c r="D100" s="40" t="n">
        <f aca="false">COUNTA(D3:D99)</f>
        <v>93</v>
      </c>
      <c r="E100" s="70" t="s">
        <v>296</v>
      </c>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c r="BK100" s="71"/>
      <c r="BL100" s="71"/>
      <c r="BM100" s="71"/>
      <c r="BN100" s="71"/>
      <c r="BO100" s="71"/>
      <c r="BP100" s="71"/>
      <c r="BQ100" s="71"/>
      <c r="BR100" s="71"/>
      <c r="BS100" s="71"/>
      <c r="BT100" s="71"/>
      <c r="BU100" s="71"/>
      <c r="BV100" s="71"/>
      <c r="BW100" s="71"/>
      <c r="BX100" s="71"/>
      <c r="BY100" s="71"/>
      <c r="BZ100" s="71"/>
      <c r="CA100" s="71"/>
      <c r="CB100" s="71"/>
      <c r="CC100" s="71"/>
      <c r="CD100" s="71"/>
      <c r="CE100" s="71"/>
      <c r="CF100" s="71"/>
      <c r="CG100" s="71"/>
      <c r="CH100" s="71"/>
      <c r="CI100" s="71"/>
      <c r="CJ100" s="71"/>
      <c r="CK100" s="71"/>
      <c r="CL100" s="71"/>
      <c r="CM100" s="71"/>
      <c r="CN100" s="71"/>
      <c r="CO100" s="71"/>
      <c r="CP100" s="71"/>
      <c r="CQ100" s="71"/>
      <c r="CR100" s="71"/>
      <c r="CS100" s="71"/>
      <c r="CT100" s="71"/>
      <c r="CU100" s="71"/>
      <c r="CV100" s="71"/>
      <c r="CW100" s="71"/>
      <c r="CX100" s="71"/>
      <c r="CY100" s="71"/>
      <c r="CZ100" s="71"/>
      <c r="DA100" s="71"/>
      <c r="DB100" s="71"/>
      <c r="DC100" s="71"/>
      <c r="DD100" s="71"/>
      <c r="DE100" s="71"/>
      <c r="DF100" s="71"/>
      <c r="DG100" s="71"/>
      <c r="DH100" s="71"/>
      <c r="DI100" s="71"/>
      <c r="DJ100" s="71"/>
      <c r="DK100" s="71"/>
      <c r="DL100" s="71"/>
      <c r="DM100" s="71"/>
      <c r="DN100" s="71"/>
      <c r="DO100" s="71"/>
      <c r="DP100" s="71"/>
      <c r="DQ100" s="71"/>
      <c r="DR100" s="71"/>
      <c r="DS100" s="71"/>
      <c r="DT100" s="71"/>
      <c r="DU100" s="71"/>
      <c r="DV100" s="71"/>
      <c r="DW100" s="71"/>
      <c r="DX100" s="71"/>
      <c r="DY100" s="71"/>
      <c r="DZ100" s="71"/>
      <c r="EA100" s="71"/>
      <c r="EB100" s="71"/>
      <c r="EC100" s="71"/>
      <c r="ED100" s="71"/>
      <c r="EE100" s="71"/>
      <c r="EF100" s="71"/>
      <c r="EG100" s="71"/>
      <c r="EH100" s="71"/>
      <c r="EI100" s="71"/>
      <c r="EJ100" s="71"/>
      <c r="EK100" s="71"/>
      <c r="EL100" s="71"/>
      <c r="EM100" s="71"/>
      <c r="EN100" s="71"/>
      <c r="EO100" s="71"/>
      <c r="EP100" s="71"/>
      <c r="EQ100" s="71"/>
      <c r="ER100" s="71"/>
      <c r="ES100" s="71"/>
      <c r="ET100" s="71"/>
      <c r="EU100" s="71"/>
      <c r="EV100" s="71"/>
      <c r="EW100" s="71"/>
      <c r="EX100" s="71"/>
      <c r="EY100" s="71"/>
      <c r="EZ100" s="71"/>
      <c r="FA100" s="71"/>
      <c r="FB100" s="71"/>
      <c r="FC100" s="71"/>
      <c r="FD100" s="71"/>
      <c r="FE100" s="71"/>
      <c r="FF100" s="71"/>
      <c r="FG100" s="71"/>
      <c r="FH100" s="71"/>
      <c r="FI100" s="71"/>
      <c r="FJ100" s="71"/>
      <c r="FK100" s="71"/>
      <c r="FL100" s="71"/>
      <c r="FM100" s="71"/>
      <c r="FN100" s="71"/>
      <c r="FO100" s="71"/>
      <c r="FP100" s="71"/>
      <c r="FQ100" s="71"/>
      <c r="FR100" s="71"/>
      <c r="FS100" s="71"/>
      <c r="FT100" s="71"/>
      <c r="FU100" s="71"/>
      <c r="FV100" s="71"/>
      <c r="FW100" s="71"/>
      <c r="FX100" s="71"/>
      <c r="FY100" s="71"/>
      <c r="FZ100" s="71"/>
      <c r="GA100" s="71"/>
      <c r="GB100" s="71"/>
      <c r="GC100" s="71"/>
      <c r="GD100" s="71"/>
      <c r="GE100" s="71"/>
      <c r="GF100" s="71"/>
      <c r="GG100" s="71"/>
      <c r="GH100" s="71"/>
      <c r="GI100" s="71"/>
      <c r="GJ100" s="71"/>
      <c r="GK100" s="71"/>
      <c r="GL100" s="71"/>
      <c r="GM100" s="71"/>
      <c r="GN100" s="71"/>
      <c r="GO100" s="71"/>
      <c r="GP100" s="71"/>
      <c r="GQ100" s="71"/>
      <c r="GR100" s="71"/>
      <c r="GS100" s="71"/>
      <c r="GT100" s="71"/>
      <c r="GU100" s="71"/>
      <c r="GV100" s="71"/>
      <c r="GW100" s="71"/>
      <c r="GX100" s="71"/>
      <c r="GY100" s="71"/>
      <c r="GZ100" s="71"/>
      <c r="HA100" s="71"/>
      <c r="HB100" s="71"/>
      <c r="HC100" s="71"/>
      <c r="HD100" s="71"/>
      <c r="HE100" s="71"/>
      <c r="HF100" s="71"/>
      <c r="HG100" s="71"/>
      <c r="HH100" s="71"/>
      <c r="HI100" s="71"/>
      <c r="HJ100" s="71"/>
      <c r="HK100" s="71"/>
      <c r="HL100" s="71"/>
      <c r="HM100" s="71"/>
      <c r="HN100" s="71"/>
      <c r="HO100" s="71"/>
      <c r="HP100" s="71"/>
      <c r="HQ100" s="71"/>
      <c r="HR100" s="71"/>
      <c r="HS100" s="71"/>
      <c r="HT100" s="71"/>
      <c r="HU100" s="71"/>
      <c r="HV100" s="71"/>
      <c r="HW100" s="71"/>
      <c r="HX100" s="71"/>
      <c r="HY100" s="71"/>
      <c r="HZ100" s="71"/>
      <c r="IA100" s="71"/>
      <c r="IB100" s="71"/>
      <c r="IC100" s="71"/>
      <c r="ID100" s="71"/>
      <c r="IE100" s="71"/>
      <c r="IF100" s="71"/>
      <c r="IG100" s="71"/>
      <c r="IH100" s="71"/>
      <c r="II100" s="71"/>
      <c r="IJ100" s="71"/>
      <c r="IK100" s="71"/>
      <c r="IL100" s="71"/>
      <c r="IM100" s="71"/>
      <c r="IN100" s="71"/>
      <c r="IO100" s="71"/>
      <c r="IP100" s="71"/>
      <c r="IQ100" s="71"/>
      <c r="IR100" s="71"/>
    </row>
    <row r="101" customFormat="false" ht="15.75" hidden="false" customHeight="false" outlineLevel="0" collapsed="false">
      <c r="A101" s="72"/>
      <c r="B101" s="72"/>
      <c r="C101" s="73"/>
      <c r="D101" s="68"/>
      <c r="E101" s="72"/>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c r="BK101" s="71"/>
      <c r="BL101" s="71"/>
      <c r="BM101" s="71"/>
      <c r="BN101" s="71"/>
      <c r="BO101" s="71"/>
      <c r="BP101" s="71"/>
      <c r="BQ101" s="71"/>
      <c r="BR101" s="71"/>
      <c r="BS101" s="71"/>
      <c r="BT101" s="71"/>
      <c r="BU101" s="71"/>
      <c r="BV101" s="71"/>
      <c r="BW101" s="71"/>
      <c r="BX101" s="71"/>
      <c r="BY101" s="71"/>
      <c r="BZ101" s="71"/>
      <c r="CA101" s="71"/>
      <c r="CB101" s="71"/>
      <c r="CC101" s="71"/>
      <c r="CD101" s="71"/>
      <c r="CE101" s="71"/>
      <c r="CF101" s="71"/>
      <c r="CG101" s="71"/>
      <c r="CH101" s="71"/>
      <c r="CI101" s="71"/>
      <c r="CJ101" s="71"/>
      <c r="CK101" s="71"/>
      <c r="CL101" s="71"/>
      <c r="CM101" s="71"/>
      <c r="CN101" s="71"/>
      <c r="CO101" s="71"/>
      <c r="CP101" s="71"/>
      <c r="CQ101" s="71"/>
      <c r="CR101" s="71"/>
      <c r="CS101" s="71"/>
      <c r="CT101" s="71"/>
      <c r="CU101" s="71"/>
      <c r="CV101" s="71"/>
      <c r="CW101" s="71"/>
      <c r="CX101" s="71"/>
      <c r="CY101" s="71"/>
      <c r="CZ101" s="71"/>
      <c r="DA101" s="71"/>
      <c r="DB101" s="71"/>
      <c r="DC101" s="71"/>
      <c r="DD101" s="71"/>
      <c r="DE101" s="71"/>
      <c r="DF101" s="71"/>
      <c r="DG101" s="71"/>
      <c r="DH101" s="71"/>
      <c r="DI101" s="71"/>
      <c r="DJ101" s="71"/>
      <c r="DK101" s="71"/>
      <c r="DL101" s="71"/>
      <c r="DM101" s="71"/>
      <c r="DN101" s="71"/>
      <c r="DO101" s="71"/>
      <c r="DP101" s="71"/>
      <c r="DQ101" s="71"/>
      <c r="DR101" s="71"/>
      <c r="DS101" s="71"/>
      <c r="DT101" s="71"/>
      <c r="DU101" s="71"/>
      <c r="DV101" s="71"/>
      <c r="DW101" s="71"/>
      <c r="DX101" s="71"/>
      <c r="DY101" s="71"/>
      <c r="DZ101" s="71"/>
      <c r="EA101" s="71"/>
      <c r="EB101" s="71"/>
      <c r="EC101" s="71"/>
      <c r="ED101" s="71"/>
      <c r="EE101" s="71"/>
      <c r="EF101" s="71"/>
      <c r="EG101" s="71"/>
      <c r="EH101" s="71"/>
      <c r="EI101" s="71"/>
      <c r="EJ101" s="71"/>
      <c r="EK101" s="71"/>
      <c r="EL101" s="71"/>
      <c r="EM101" s="71"/>
      <c r="EN101" s="71"/>
      <c r="EO101" s="71"/>
      <c r="EP101" s="71"/>
      <c r="EQ101" s="71"/>
      <c r="ER101" s="71"/>
      <c r="ES101" s="71"/>
      <c r="ET101" s="71"/>
      <c r="EU101" s="71"/>
      <c r="EV101" s="71"/>
      <c r="EW101" s="71"/>
      <c r="EX101" s="71"/>
      <c r="EY101" s="71"/>
      <c r="EZ101" s="71"/>
      <c r="FA101" s="71"/>
      <c r="FB101" s="71"/>
      <c r="FC101" s="71"/>
      <c r="FD101" s="71"/>
      <c r="FE101" s="71"/>
      <c r="FF101" s="71"/>
      <c r="FG101" s="71"/>
      <c r="FH101" s="71"/>
      <c r="FI101" s="71"/>
      <c r="FJ101" s="71"/>
      <c r="FK101" s="71"/>
      <c r="FL101" s="71"/>
      <c r="FM101" s="71"/>
      <c r="FN101" s="71"/>
      <c r="FO101" s="71"/>
      <c r="FP101" s="71"/>
      <c r="FQ101" s="71"/>
      <c r="FR101" s="71"/>
      <c r="FS101" s="71"/>
      <c r="FT101" s="71"/>
      <c r="FU101" s="71"/>
      <c r="FV101" s="71"/>
      <c r="FW101" s="71"/>
      <c r="FX101" s="71"/>
      <c r="FY101" s="71"/>
      <c r="FZ101" s="71"/>
      <c r="GA101" s="71"/>
      <c r="GB101" s="71"/>
      <c r="GC101" s="71"/>
      <c r="GD101" s="71"/>
      <c r="GE101" s="71"/>
      <c r="GF101" s="71"/>
      <c r="GG101" s="71"/>
      <c r="GH101" s="71"/>
      <c r="GI101" s="71"/>
      <c r="GJ101" s="71"/>
      <c r="GK101" s="71"/>
      <c r="GL101" s="71"/>
      <c r="GM101" s="71"/>
      <c r="GN101" s="71"/>
      <c r="GO101" s="71"/>
      <c r="GP101" s="71"/>
      <c r="GQ101" s="71"/>
      <c r="GR101" s="71"/>
      <c r="GS101" s="71"/>
      <c r="GT101" s="71"/>
      <c r="GU101" s="71"/>
      <c r="GV101" s="71"/>
      <c r="GW101" s="71"/>
      <c r="GX101" s="71"/>
      <c r="GY101" s="71"/>
      <c r="GZ101" s="71"/>
      <c r="HA101" s="71"/>
      <c r="HB101" s="71"/>
      <c r="HC101" s="71"/>
      <c r="HD101" s="71"/>
      <c r="HE101" s="71"/>
      <c r="HF101" s="71"/>
      <c r="HG101" s="71"/>
      <c r="HH101" s="71"/>
      <c r="HI101" s="71"/>
      <c r="HJ101" s="71"/>
      <c r="HK101" s="71"/>
      <c r="HL101" s="71"/>
      <c r="HM101" s="71"/>
      <c r="HN101" s="71"/>
      <c r="HO101" s="71"/>
      <c r="HP101" s="71"/>
      <c r="HQ101" s="71"/>
      <c r="HR101" s="71"/>
      <c r="HS101" s="71"/>
      <c r="HT101" s="71"/>
      <c r="HU101" s="71"/>
      <c r="HV101" s="71"/>
      <c r="HW101" s="71"/>
      <c r="HX101" s="71"/>
      <c r="HY101" s="71"/>
      <c r="HZ101" s="71"/>
      <c r="IA101" s="71"/>
      <c r="IB101" s="71"/>
      <c r="IC101" s="71"/>
      <c r="ID101" s="71"/>
      <c r="IE101" s="71"/>
      <c r="IF101" s="71"/>
      <c r="IG101" s="71"/>
      <c r="IH101" s="71"/>
      <c r="II101" s="71"/>
      <c r="IJ101" s="71"/>
      <c r="IK101" s="71"/>
      <c r="IL101" s="71"/>
      <c r="IM101" s="71"/>
      <c r="IN101" s="71"/>
      <c r="IO101" s="71"/>
      <c r="IP101" s="71"/>
      <c r="IQ101" s="71"/>
      <c r="IR101" s="71"/>
    </row>
    <row r="102" customFormat="false" ht="15.75" hidden="false" customHeight="false" outlineLevel="0" collapsed="false">
      <c r="A102" s="72"/>
      <c r="B102" s="72"/>
      <c r="C102" s="73"/>
      <c r="D102" s="68"/>
      <c r="E102" s="72"/>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c r="BL102" s="71"/>
      <c r="BM102" s="71"/>
      <c r="BN102" s="71"/>
      <c r="BO102" s="71"/>
      <c r="BP102" s="71"/>
      <c r="BQ102" s="71"/>
      <c r="BR102" s="71"/>
      <c r="BS102" s="71"/>
      <c r="BT102" s="71"/>
      <c r="BU102" s="71"/>
      <c r="BV102" s="71"/>
      <c r="BW102" s="71"/>
      <c r="BX102" s="71"/>
      <c r="BY102" s="71"/>
      <c r="BZ102" s="71"/>
      <c r="CA102" s="71"/>
      <c r="CB102" s="71"/>
      <c r="CC102" s="71"/>
      <c r="CD102" s="71"/>
      <c r="CE102" s="71"/>
      <c r="CF102" s="71"/>
      <c r="CG102" s="71"/>
      <c r="CH102" s="71"/>
      <c r="CI102" s="71"/>
      <c r="CJ102" s="71"/>
      <c r="CK102" s="71"/>
      <c r="CL102" s="71"/>
      <c r="CM102" s="71"/>
      <c r="CN102" s="71"/>
      <c r="CO102" s="71"/>
      <c r="CP102" s="71"/>
      <c r="CQ102" s="71"/>
      <c r="CR102" s="71"/>
      <c r="CS102" s="71"/>
      <c r="CT102" s="71"/>
      <c r="CU102" s="71"/>
      <c r="CV102" s="71"/>
      <c r="CW102" s="71"/>
      <c r="CX102" s="71"/>
      <c r="CY102" s="71"/>
      <c r="CZ102" s="71"/>
      <c r="DA102" s="71"/>
      <c r="DB102" s="71"/>
      <c r="DC102" s="71"/>
      <c r="DD102" s="71"/>
      <c r="DE102" s="71"/>
      <c r="DF102" s="71"/>
      <c r="DG102" s="71"/>
      <c r="DH102" s="71"/>
      <c r="DI102" s="71"/>
      <c r="DJ102" s="71"/>
      <c r="DK102" s="71"/>
      <c r="DL102" s="71"/>
      <c r="DM102" s="71"/>
      <c r="DN102" s="71"/>
      <c r="DO102" s="71"/>
      <c r="DP102" s="71"/>
      <c r="DQ102" s="71"/>
      <c r="DR102" s="71"/>
      <c r="DS102" s="71"/>
      <c r="DT102" s="71"/>
      <c r="DU102" s="71"/>
      <c r="DV102" s="71"/>
      <c r="DW102" s="71"/>
      <c r="DX102" s="71"/>
      <c r="DY102" s="71"/>
      <c r="DZ102" s="71"/>
      <c r="EA102" s="71"/>
      <c r="EB102" s="71"/>
      <c r="EC102" s="71"/>
      <c r="ED102" s="71"/>
      <c r="EE102" s="71"/>
      <c r="EF102" s="71"/>
      <c r="EG102" s="71"/>
      <c r="EH102" s="71"/>
      <c r="EI102" s="71"/>
      <c r="EJ102" s="71"/>
      <c r="EK102" s="71"/>
      <c r="EL102" s="71"/>
      <c r="EM102" s="71"/>
      <c r="EN102" s="71"/>
      <c r="EO102" s="71"/>
      <c r="EP102" s="71"/>
      <c r="EQ102" s="71"/>
      <c r="ER102" s="71"/>
      <c r="ES102" s="71"/>
      <c r="ET102" s="71"/>
      <c r="EU102" s="71"/>
      <c r="EV102" s="71"/>
      <c r="EW102" s="71"/>
      <c r="EX102" s="71"/>
      <c r="EY102" s="71"/>
      <c r="EZ102" s="71"/>
      <c r="FA102" s="71"/>
      <c r="FB102" s="71"/>
      <c r="FC102" s="71"/>
      <c r="FD102" s="71"/>
      <c r="FE102" s="71"/>
      <c r="FF102" s="71"/>
      <c r="FG102" s="71"/>
      <c r="FH102" s="71"/>
      <c r="FI102" s="71"/>
      <c r="FJ102" s="71"/>
      <c r="FK102" s="71"/>
      <c r="FL102" s="71"/>
      <c r="FM102" s="71"/>
      <c r="FN102" s="71"/>
      <c r="FO102" s="71"/>
      <c r="FP102" s="71"/>
      <c r="FQ102" s="71"/>
      <c r="FR102" s="71"/>
      <c r="FS102" s="71"/>
      <c r="FT102" s="71"/>
      <c r="FU102" s="71"/>
      <c r="FV102" s="71"/>
      <c r="FW102" s="71"/>
      <c r="FX102" s="71"/>
      <c r="FY102" s="71"/>
      <c r="FZ102" s="71"/>
      <c r="GA102" s="71"/>
      <c r="GB102" s="71"/>
      <c r="GC102" s="71"/>
      <c r="GD102" s="71"/>
      <c r="GE102" s="71"/>
      <c r="GF102" s="71"/>
      <c r="GG102" s="71"/>
      <c r="GH102" s="71"/>
      <c r="GI102" s="71"/>
      <c r="GJ102" s="71"/>
      <c r="GK102" s="71"/>
      <c r="GL102" s="71"/>
      <c r="GM102" s="71"/>
      <c r="GN102" s="71"/>
      <c r="GO102" s="71"/>
      <c r="GP102" s="71"/>
      <c r="GQ102" s="71"/>
      <c r="GR102" s="71"/>
      <c r="GS102" s="71"/>
      <c r="GT102" s="71"/>
      <c r="GU102" s="71"/>
      <c r="GV102" s="71"/>
      <c r="GW102" s="71"/>
      <c r="GX102" s="71"/>
      <c r="GY102" s="71"/>
      <c r="GZ102" s="71"/>
      <c r="HA102" s="71"/>
      <c r="HB102" s="71"/>
      <c r="HC102" s="71"/>
      <c r="HD102" s="71"/>
      <c r="HE102" s="71"/>
      <c r="HF102" s="71"/>
      <c r="HG102" s="71"/>
      <c r="HH102" s="71"/>
      <c r="HI102" s="71"/>
      <c r="HJ102" s="71"/>
      <c r="HK102" s="71"/>
      <c r="HL102" s="71"/>
      <c r="HM102" s="71"/>
      <c r="HN102" s="71"/>
      <c r="HO102" s="71"/>
      <c r="HP102" s="71"/>
      <c r="HQ102" s="71"/>
      <c r="HR102" s="71"/>
      <c r="HS102" s="71"/>
      <c r="HT102" s="71"/>
      <c r="HU102" s="71"/>
      <c r="HV102" s="71"/>
      <c r="HW102" s="71"/>
      <c r="HX102" s="71"/>
      <c r="HY102" s="71"/>
      <c r="HZ102" s="71"/>
      <c r="IA102" s="71"/>
      <c r="IB102" s="71"/>
      <c r="IC102" s="71"/>
      <c r="ID102" s="71"/>
      <c r="IE102" s="71"/>
      <c r="IF102" s="71"/>
      <c r="IG102" s="71"/>
      <c r="IH102" s="71"/>
      <c r="II102" s="71"/>
      <c r="IJ102" s="71"/>
      <c r="IK102" s="71"/>
      <c r="IL102" s="71"/>
      <c r="IM102" s="71"/>
      <c r="IN102" s="71"/>
      <c r="IO102" s="71"/>
      <c r="IP102" s="71"/>
      <c r="IQ102" s="71"/>
      <c r="IR102" s="71"/>
    </row>
    <row r="103" customFormat="false" ht="15.75" hidden="false" customHeight="false" outlineLevel="0" collapsed="false">
      <c r="A103" s="72"/>
      <c r="B103" s="72"/>
      <c r="C103" s="73"/>
      <c r="D103" s="68"/>
      <c r="E103" s="72"/>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c r="BK103" s="71"/>
      <c r="BL103" s="71"/>
      <c r="BM103" s="71"/>
      <c r="BN103" s="71"/>
      <c r="BO103" s="71"/>
      <c r="BP103" s="71"/>
      <c r="BQ103" s="71"/>
      <c r="BR103" s="71"/>
      <c r="BS103" s="71"/>
      <c r="BT103" s="71"/>
      <c r="BU103" s="71"/>
      <c r="BV103" s="71"/>
      <c r="BW103" s="71"/>
      <c r="BX103" s="71"/>
      <c r="BY103" s="71"/>
      <c r="BZ103" s="71"/>
      <c r="CA103" s="71"/>
      <c r="CB103" s="71"/>
      <c r="CC103" s="71"/>
      <c r="CD103" s="71"/>
      <c r="CE103" s="71"/>
      <c r="CF103" s="71"/>
      <c r="CG103" s="71"/>
      <c r="CH103" s="71"/>
      <c r="CI103" s="71"/>
      <c r="CJ103" s="71"/>
      <c r="CK103" s="71"/>
      <c r="CL103" s="71"/>
      <c r="CM103" s="71"/>
      <c r="CN103" s="71"/>
      <c r="CO103" s="71"/>
      <c r="CP103" s="71"/>
      <c r="CQ103" s="71"/>
      <c r="CR103" s="71"/>
      <c r="CS103" s="71"/>
      <c r="CT103" s="71"/>
      <c r="CU103" s="71"/>
      <c r="CV103" s="71"/>
      <c r="CW103" s="71"/>
      <c r="CX103" s="71"/>
      <c r="CY103" s="71"/>
      <c r="CZ103" s="71"/>
      <c r="DA103" s="71"/>
      <c r="DB103" s="71"/>
      <c r="DC103" s="71"/>
      <c r="DD103" s="71"/>
      <c r="DE103" s="71"/>
      <c r="DF103" s="71"/>
      <c r="DG103" s="71"/>
      <c r="DH103" s="71"/>
      <c r="DI103" s="71"/>
      <c r="DJ103" s="71"/>
      <c r="DK103" s="71"/>
      <c r="DL103" s="71"/>
      <c r="DM103" s="71"/>
      <c r="DN103" s="71"/>
      <c r="DO103" s="71"/>
      <c r="DP103" s="71"/>
      <c r="DQ103" s="71"/>
      <c r="DR103" s="71"/>
      <c r="DS103" s="71"/>
      <c r="DT103" s="71"/>
      <c r="DU103" s="71"/>
      <c r="DV103" s="71"/>
      <c r="DW103" s="71"/>
      <c r="DX103" s="71"/>
      <c r="DY103" s="71"/>
      <c r="DZ103" s="71"/>
      <c r="EA103" s="71"/>
      <c r="EB103" s="71"/>
      <c r="EC103" s="71"/>
      <c r="ED103" s="71"/>
      <c r="EE103" s="71"/>
      <c r="EF103" s="71"/>
      <c r="EG103" s="71"/>
      <c r="EH103" s="71"/>
      <c r="EI103" s="71"/>
      <c r="EJ103" s="71"/>
      <c r="EK103" s="71"/>
      <c r="EL103" s="71"/>
      <c r="EM103" s="71"/>
      <c r="EN103" s="71"/>
      <c r="EO103" s="71"/>
      <c r="EP103" s="71"/>
      <c r="EQ103" s="71"/>
      <c r="ER103" s="71"/>
      <c r="ES103" s="71"/>
      <c r="ET103" s="71"/>
      <c r="EU103" s="71"/>
      <c r="EV103" s="71"/>
      <c r="EW103" s="71"/>
      <c r="EX103" s="71"/>
      <c r="EY103" s="71"/>
      <c r="EZ103" s="71"/>
      <c r="FA103" s="71"/>
      <c r="FB103" s="71"/>
      <c r="FC103" s="71"/>
      <c r="FD103" s="71"/>
      <c r="FE103" s="71"/>
      <c r="FF103" s="71"/>
      <c r="FG103" s="71"/>
      <c r="FH103" s="71"/>
      <c r="FI103" s="71"/>
      <c r="FJ103" s="71"/>
      <c r="FK103" s="71"/>
      <c r="FL103" s="71"/>
      <c r="FM103" s="71"/>
      <c r="FN103" s="71"/>
      <c r="FO103" s="71"/>
      <c r="FP103" s="71"/>
      <c r="FQ103" s="71"/>
      <c r="FR103" s="71"/>
      <c r="FS103" s="71"/>
      <c r="FT103" s="71"/>
      <c r="FU103" s="71"/>
      <c r="FV103" s="71"/>
      <c r="FW103" s="71"/>
      <c r="FX103" s="71"/>
      <c r="FY103" s="71"/>
      <c r="FZ103" s="71"/>
      <c r="GA103" s="71"/>
      <c r="GB103" s="71"/>
      <c r="GC103" s="71"/>
      <c r="GD103" s="71"/>
      <c r="GE103" s="71"/>
      <c r="GF103" s="71"/>
      <c r="GG103" s="71"/>
      <c r="GH103" s="71"/>
      <c r="GI103" s="71"/>
      <c r="GJ103" s="71"/>
      <c r="GK103" s="71"/>
      <c r="GL103" s="71"/>
      <c r="GM103" s="71"/>
      <c r="GN103" s="71"/>
      <c r="GO103" s="71"/>
      <c r="GP103" s="71"/>
      <c r="GQ103" s="71"/>
      <c r="GR103" s="71"/>
      <c r="GS103" s="71"/>
      <c r="GT103" s="71"/>
      <c r="GU103" s="71"/>
      <c r="GV103" s="71"/>
      <c r="GW103" s="71"/>
      <c r="GX103" s="71"/>
      <c r="GY103" s="71"/>
      <c r="GZ103" s="71"/>
      <c r="HA103" s="71"/>
      <c r="HB103" s="71"/>
      <c r="HC103" s="71"/>
      <c r="HD103" s="71"/>
      <c r="HE103" s="71"/>
      <c r="HF103" s="71"/>
      <c r="HG103" s="71"/>
      <c r="HH103" s="71"/>
      <c r="HI103" s="71"/>
      <c r="HJ103" s="71"/>
      <c r="HK103" s="71"/>
      <c r="HL103" s="71"/>
      <c r="HM103" s="71"/>
      <c r="HN103" s="71"/>
      <c r="HO103" s="71"/>
      <c r="HP103" s="71"/>
      <c r="HQ103" s="71"/>
      <c r="HR103" s="71"/>
      <c r="HS103" s="71"/>
      <c r="HT103" s="71"/>
      <c r="HU103" s="71"/>
      <c r="HV103" s="71"/>
      <c r="HW103" s="71"/>
      <c r="HX103" s="71"/>
      <c r="HY103" s="71"/>
      <c r="HZ103" s="71"/>
      <c r="IA103" s="71"/>
      <c r="IB103" s="71"/>
      <c r="IC103" s="71"/>
      <c r="ID103" s="71"/>
      <c r="IE103" s="71"/>
      <c r="IF103" s="71"/>
      <c r="IG103" s="71"/>
      <c r="IH103" s="71"/>
      <c r="II103" s="71"/>
      <c r="IJ103" s="71"/>
      <c r="IK103" s="71"/>
      <c r="IL103" s="71"/>
      <c r="IM103" s="71"/>
      <c r="IN103" s="71"/>
      <c r="IO103" s="71"/>
      <c r="IP103" s="71"/>
      <c r="IQ103" s="71"/>
      <c r="IR103" s="71"/>
    </row>
    <row r="104" customFormat="false" ht="15.75" hidden="false" customHeight="false" outlineLevel="0" collapsed="false">
      <c r="A104" s="72"/>
      <c r="B104" s="72"/>
      <c r="C104" s="73"/>
      <c r="D104" s="68"/>
      <c r="E104" s="72"/>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c r="BK104" s="71"/>
      <c r="BL104" s="71"/>
      <c r="BM104" s="71"/>
      <c r="BN104" s="71"/>
      <c r="BO104" s="71"/>
      <c r="BP104" s="71"/>
      <c r="BQ104" s="71"/>
      <c r="BR104" s="71"/>
      <c r="BS104" s="71"/>
      <c r="BT104" s="71"/>
      <c r="BU104" s="71"/>
      <c r="BV104" s="71"/>
      <c r="BW104" s="71"/>
      <c r="BX104" s="71"/>
      <c r="BY104" s="71"/>
      <c r="BZ104" s="71"/>
      <c r="CA104" s="71"/>
      <c r="CB104" s="71"/>
      <c r="CC104" s="71"/>
      <c r="CD104" s="71"/>
      <c r="CE104" s="71"/>
      <c r="CF104" s="71"/>
      <c r="CG104" s="71"/>
      <c r="CH104" s="71"/>
      <c r="CI104" s="71"/>
      <c r="CJ104" s="71"/>
      <c r="CK104" s="71"/>
      <c r="CL104" s="71"/>
      <c r="CM104" s="71"/>
      <c r="CN104" s="71"/>
      <c r="CO104" s="71"/>
      <c r="CP104" s="71"/>
      <c r="CQ104" s="71"/>
      <c r="CR104" s="71"/>
      <c r="CS104" s="71"/>
      <c r="CT104" s="71"/>
      <c r="CU104" s="71"/>
      <c r="CV104" s="71"/>
      <c r="CW104" s="71"/>
      <c r="CX104" s="71"/>
      <c r="CY104" s="71"/>
      <c r="CZ104" s="71"/>
      <c r="DA104" s="71"/>
      <c r="DB104" s="71"/>
      <c r="DC104" s="71"/>
      <c r="DD104" s="71"/>
      <c r="DE104" s="71"/>
      <c r="DF104" s="71"/>
      <c r="DG104" s="71"/>
      <c r="DH104" s="71"/>
      <c r="DI104" s="71"/>
      <c r="DJ104" s="71"/>
      <c r="DK104" s="71"/>
      <c r="DL104" s="71"/>
      <c r="DM104" s="71"/>
      <c r="DN104" s="71"/>
      <c r="DO104" s="71"/>
      <c r="DP104" s="71"/>
      <c r="DQ104" s="71"/>
      <c r="DR104" s="71"/>
      <c r="DS104" s="71"/>
      <c r="DT104" s="71"/>
      <c r="DU104" s="71"/>
      <c r="DV104" s="71"/>
      <c r="DW104" s="71"/>
      <c r="DX104" s="71"/>
      <c r="DY104" s="71"/>
      <c r="DZ104" s="71"/>
      <c r="EA104" s="71"/>
      <c r="EB104" s="71"/>
      <c r="EC104" s="71"/>
      <c r="ED104" s="71"/>
      <c r="EE104" s="71"/>
      <c r="EF104" s="71"/>
      <c r="EG104" s="71"/>
      <c r="EH104" s="71"/>
      <c r="EI104" s="71"/>
      <c r="EJ104" s="71"/>
      <c r="EK104" s="71"/>
      <c r="EL104" s="71"/>
      <c r="EM104" s="71"/>
      <c r="EN104" s="71"/>
      <c r="EO104" s="71"/>
      <c r="EP104" s="71"/>
      <c r="EQ104" s="71"/>
      <c r="ER104" s="71"/>
      <c r="ES104" s="71"/>
      <c r="ET104" s="71"/>
      <c r="EU104" s="71"/>
      <c r="EV104" s="71"/>
      <c r="EW104" s="71"/>
      <c r="EX104" s="71"/>
      <c r="EY104" s="71"/>
      <c r="EZ104" s="71"/>
      <c r="FA104" s="71"/>
      <c r="FB104" s="71"/>
      <c r="FC104" s="71"/>
      <c r="FD104" s="71"/>
      <c r="FE104" s="71"/>
      <c r="FF104" s="71"/>
      <c r="FG104" s="71"/>
      <c r="FH104" s="71"/>
      <c r="FI104" s="71"/>
      <c r="FJ104" s="71"/>
      <c r="FK104" s="71"/>
      <c r="FL104" s="71"/>
      <c r="FM104" s="71"/>
      <c r="FN104" s="71"/>
      <c r="FO104" s="71"/>
      <c r="FP104" s="71"/>
      <c r="FQ104" s="71"/>
      <c r="FR104" s="71"/>
      <c r="FS104" s="71"/>
      <c r="FT104" s="71"/>
      <c r="FU104" s="71"/>
      <c r="FV104" s="71"/>
      <c r="FW104" s="71"/>
      <c r="FX104" s="71"/>
      <c r="FY104" s="71"/>
      <c r="FZ104" s="71"/>
      <c r="GA104" s="71"/>
      <c r="GB104" s="71"/>
      <c r="GC104" s="71"/>
      <c r="GD104" s="71"/>
      <c r="GE104" s="71"/>
      <c r="GF104" s="71"/>
      <c r="GG104" s="71"/>
      <c r="GH104" s="71"/>
      <c r="GI104" s="71"/>
      <c r="GJ104" s="71"/>
      <c r="GK104" s="71"/>
      <c r="GL104" s="71"/>
      <c r="GM104" s="71"/>
      <c r="GN104" s="71"/>
      <c r="GO104" s="71"/>
      <c r="GP104" s="71"/>
      <c r="GQ104" s="71"/>
      <c r="GR104" s="71"/>
      <c r="GS104" s="71"/>
      <c r="GT104" s="71"/>
      <c r="GU104" s="71"/>
      <c r="GV104" s="71"/>
      <c r="GW104" s="71"/>
      <c r="GX104" s="71"/>
      <c r="GY104" s="71"/>
      <c r="GZ104" s="71"/>
      <c r="HA104" s="71"/>
      <c r="HB104" s="71"/>
      <c r="HC104" s="71"/>
      <c r="HD104" s="71"/>
      <c r="HE104" s="71"/>
      <c r="HF104" s="71"/>
      <c r="HG104" s="71"/>
      <c r="HH104" s="71"/>
      <c r="HI104" s="71"/>
      <c r="HJ104" s="71"/>
      <c r="HK104" s="71"/>
      <c r="HL104" s="71"/>
      <c r="HM104" s="71"/>
      <c r="HN104" s="71"/>
      <c r="HO104" s="71"/>
      <c r="HP104" s="71"/>
      <c r="HQ104" s="71"/>
      <c r="HR104" s="71"/>
      <c r="HS104" s="71"/>
      <c r="HT104" s="71"/>
      <c r="HU104" s="71"/>
      <c r="HV104" s="71"/>
      <c r="HW104" s="71"/>
      <c r="HX104" s="71"/>
      <c r="HY104" s="71"/>
      <c r="HZ104" s="71"/>
      <c r="IA104" s="71"/>
      <c r="IB104" s="71"/>
      <c r="IC104" s="71"/>
      <c r="ID104" s="71"/>
      <c r="IE104" s="71"/>
      <c r="IF104" s="71"/>
      <c r="IG104" s="71"/>
      <c r="IH104" s="71"/>
      <c r="II104" s="71"/>
      <c r="IJ104" s="71"/>
      <c r="IK104" s="71"/>
      <c r="IL104" s="71"/>
      <c r="IM104" s="71"/>
      <c r="IN104" s="71"/>
      <c r="IO104" s="71"/>
      <c r="IP104" s="71"/>
      <c r="IQ104" s="71"/>
      <c r="IR104" s="71"/>
    </row>
    <row r="105" customFormat="false" ht="15.75" hidden="false" customHeight="false" outlineLevel="0" collapsed="false">
      <c r="A105" s="72"/>
      <c r="B105" s="72"/>
      <c r="C105" s="73"/>
      <c r="D105" s="68"/>
      <c r="E105" s="72"/>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c r="BK105" s="71"/>
      <c r="BL105" s="71"/>
      <c r="BM105" s="71"/>
      <c r="BN105" s="71"/>
      <c r="BO105" s="71"/>
      <c r="BP105" s="71"/>
      <c r="BQ105" s="71"/>
      <c r="BR105" s="71"/>
      <c r="BS105" s="71"/>
      <c r="BT105" s="71"/>
      <c r="BU105" s="71"/>
      <c r="BV105" s="71"/>
      <c r="BW105" s="71"/>
      <c r="BX105" s="71"/>
      <c r="BY105" s="71"/>
      <c r="BZ105" s="71"/>
      <c r="CA105" s="71"/>
      <c r="CB105" s="71"/>
      <c r="CC105" s="71"/>
      <c r="CD105" s="71"/>
      <c r="CE105" s="71"/>
      <c r="CF105" s="71"/>
      <c r="CG105" s="71"/>
      <c r="CH105" s="71"/>
      <c r="CI105" s="71"/>
      <c r="CJ105" s="71"/>
      <c r="CK105" s="71"/>
      <c r="CL105" s="71"/>
      <c r="CM105" s="71"/>
      <c r="CN105" s="71"/>
      <c r="CO105" s="71"/>
      <c r="CP105" s="71"/>
      <c r="CQ105" s="71"/>
      <c r="CR105" s="71"/>
      <c r="CS105" s="71"/>
      <c r="CT105" s="71"/>
      <c r="CU105" s="71"/>
      <c r="CV105" s="71"/>
      <c r="CW105" s="71"/>
      <c r="CX105" s="71"/>
      <c r="CY105" s="71"/>
      <c r="CZ105" s="71"/>
      <c r="DA105" s="71"/>
      <c r="DB105" s="71"/>
      <c r="DC105" s="71"/>
      <c r="DD105" s="71"/>
      <c r="DE105" s="71"/>
      <c r="DF105" s="71"/>
      <c r="DG105" s="71"/>
      <c r="DH105" s="71"/>
      <c r="DI105" s="71"/>
      <c r="DJ105" s="71"/>
      <c r="DK105" s="71"/>
      <c r="DL105" s="71"/>
      <c r="DM105" s="71"/>
      <c r="DN105" s="71"/>
      <c r="DO105" s="71"/>
      <c r="DP105" s="71"/>
      <c r="DQ105" s="71"/>
      <c r="DR105" s="71"/>
      <c r="DS105" s="71"/>
      <c r="DT105" s="71"/>
      <c r="DU105" s="71"/>
      <c r="DV105" s="71"/>
      <c r="DW105" s="71"/>
      <c r="DX105" s="71"/>
      <c r="DY105" s="71"/>
      <c r="DZ105" s="71"/>
      <c r="EA105" s="71"/>
      <c r="EB105" s="71"/>
      <c r="EC105" s="71"/>
      <c r="ED105" s="71"/>
      <c r="EE105" s="71"/>
      <c r="EF105" s="71"/>
      <c r="EG105" s="71"/>
      <c r="EH105" s="71"/>
      <c r="EI105" s="71"/>
      <c r="EJ105" s="71"/>
      <c r="EK105" s="71"/>
      <c r="EL105" s="71"/>
      <c r="EM105" s="71"/>
      <c r="EN105" s="71"/>
      <c r="EO105" s="71"/>
      <c r="EP105" s="71"/>
      <c r="EQ105" s="71"/>
      <c r="ER105" s="71"/>
      <c r="ES105" s="71"/>
      <c r="ET105" s="71"/>
      <c r="EU105" s="71"/>
      <c r="EV105" s="71"/>
      <c r="EW105" s="71"/>
      <c r="EX105" s="71"/>
      <c r="EY105" s="71"/>
      <c r="EZ105" s="71"/>
      <c r="FA105" s="71"/>
      <c r="FB105" s="71"/>
      <c r="FC105" s="71"/>
      <c r="FD105" s="71"/>
      <c r="FE105" s="71"/>
      <c r="FF105" s="71"/>
      <c r="FG105" s="71"/>
      <c r="FH105" s="71"/>
      <c r="FI105" s="71"/>
      <c r="FJ105" s="71"/>
      <c r="FK105" s="71"/>
      <c r="FL105" s="71"/>
      <c r="FM105" s="71"/>
      <c r="FN105" s="71"/>
      <c r="FO105" s="71"/>
      <c r="FP105" s="71"/>
      <c r="FQ105" s="71"/>
      <c r="FR105" s="71"/>
      <c r="FS105" s="71"/>
      <c r="FT105" s="71"/>
      <c r="FU105" s="71"/>
      <c r="FV105" s="71"/>
      <c r="FW105" s="71"/>
      <c r="FX105" s="71"/>
      <c r="FY105" s="71"/>
      <c r="FZ105" s="71"/>
      <c r="GA105" s="71"/>
      <c r="GB105" s="71"/>
      <c r="GC105" s="71"/>
      <c r="GD105" s="71"/>
      <c r="GE105" s="71"/>
      <c r="GF105" s="71"/>
      <c r="GG105" s="71"/>
      <c r="GH105" s="71"/>
      <c r="GI105" s="71"/>
      <c r="GJ105" s="71"/>
      <c r="GK105" s="71"/>
      <c r="GL105" s="71"/>
      <c r="GM105" s="71"/>
      <c r="GN105" s="71"/>
      <c r="GO105" s="71"/>
      <c r="GP105" s="71"/>
      <c r="GQ105" s="71"/>
      <c r="GR105" s="71"/>
      <c r="GS105" s="71"/>
      <c r="GT105" s="71"/>
      <c r="GU105" s="71"/>
      <c r="GV105" s="71"/>
      <c r="GW105" s="71"/>
      <c r="GX105" s="71"/>
      <c r="GY105" s="71"/>
      <c r="GZ105" s="71"/>
      <c r="HA105" s="71"/>
      <c r="HB105" s="71"/>
      <c r="HC105" s="71"/>
      <c r="HD105" s="71"/>
      <c r="HE105" s="71"/>
      <c r="HF105" s="71"/>
      <c r="HG105" s="71"/>
      <c r="HH105" s="71"/>
      <c r="HI105" s="71"/>
      <c r="HJ105" s="71"/>
      <c r="HK105" s="71"/>
      <c r="HL105" s="71"/>
      <c r="HM105" s="71"/>
      <c r="HN105" s="71"/>
      <c r="HO105" s="71"/>
      <c r="HP105" s="71"/>
      <c r="HQ105" s="71"/>
      <c r="HR105" s="71"/>
      <c r="HS105" s="71"/>
      <c r="HT105" s="71"/>
      <c r="HU105" s="71"/>
      <c r="HV105" s="71"/>
      <c r="HW105" s="71"/>
      <c r="HX105" s="71"/>
      <c r="HY105" s="71"/>
      <c r="HZ105" s="71"/>
      <c r="IA105" s="71"/>
      <c r="IB105" s="71"/>
      <c r="IC105" s="71"/>
      <c r="ID105" s="71"/>
      <c r="IE105" s="71"/>
      <c r="IF105" s="71"/>
      <c r="IG105" s="71"/>
      <c r="IH105" s="71"/>
      <c r="II105" s="71"/>
      <c r="IJ105" s="71"/>
      <c r="IK105" s="71"/>
      <c r="IL105" s="71"/>
      <c r="IM105" s="71"/>
      <c r="IN105" s="71"/>
      <c r="IO105" s="71"/>
      <c r="IP105" s="71"/>
      <c r="IQ105" s="71"/>
      <c r="IR105" s="71"/>
    </row>
    <row r="106" customFormat="false" ht="15.75" hidden="false" customHeight="false" outlineLevel="0" collapsed="false">
      <c r="A106" s="72"/>
      <c r="B106" s="72"/>
      <c r="C106" s="73"/>
      <c r="D106" s="68"/>
      <c r="E106" s="72"/>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c r="BK106" s="71"/>
      <c r="BL106" s="71"/>
      <c r="BM106" s="71"/>
      <c r="BN106" s="71"/>
      <c r="BO106" s="71"/>
      <c r="BP106" s="71"/>
      <c r="BQ106" s="71"/>
      <c r="BR106" s="71"/>
      <c r="BS106" s="71"/>
      <c r="BT106" s="71"/>
      <c r="BU106" s="71"/>
      <c r="BV106" s="71"/>
      <c r="BW106" s="71"/>
      <c r="BX106" s="71"/>
      <c r="BY106" s="71"/>
      <c r="BZ106" s="71"/>
      <c r="CA106" s="71"/>
      <c r="CB106" s="71"/>
      <c r="CC106" s="71"/>
      <c r="CD106" s="71"/>
      <c r="CE106" s="71"/>
      <c r="CF106" s="71"/>
      <c r="CG106" s="71"/>
      <c r="CH106" s="71"/>
      <c r="CI106" s="71"/>
      <c r="CJ106" s="71"/>
      <c r="CK106" s="71"/>
      <c r="CL106" s="71"/>
      <c r="CM106" s="71"/>
      <c r="CN106" s="71"/>
      <c r="CO106" s="71"/>
      <c r="CP106" s="71"/>
      <c r="CQ106" s="71"/>
      <c r="CR106" s="71"/>
      <c r="CS106" s="71"/>
      <c r="CT106" s="71"/>
      <c r="CU106" s="71"/>
      <c r="CV106" s="71"/>
      <c r="CW106" s="71"/>
      <c r="CX106" s="71"/>
      <c r="CY106" s="71"/>
      <c r="CZ106" s="71"/>
      <c r="DA106" s="71"/>
      <c r="DB106" s="71"/>
      <c r="DC106" s="71"/>
      <c r="DD106" s="71"/>
      <c r="DE106" s="71"/>
      <c r="DF106" s="71"/>
      <c r="DG106" s="71"/>
      <c r="DH106" s="71"/>
      <c r="DI106" s="71"/>
      <c r="DJ106" s="71"/>
      <c r="DK106" s="71"/>
      <c r="DL106" s="71"/>
      <c r="DM106" s="71"/>
      <c r="DN106" s="71"/>
      <c r="DO106" s="71"/>
      <c r="DP106" s="71"/>
      <c r="DQ106" s="71"/>
      <c r="DR106" s="71"/>
      <c r="DS106" s="71"/>
      <c r="DT106" s="71"/>
      <c r="DU106" s="71"/>
      <c r="DV106" s="71"/>
      <c r="DW106" s="71"/>
      <c r="DX106" s="71"/>
      <c r="DY106" s="71"/>
      <c r="DZ106" s="71"/>
      <c r="EA106" s="71"/>
      <c r="EB106" s="71"/>
      <c r="EC106" s="71"/>
      <c r="ED106" s="71"/>
      <c r="EE106" s="71"/>
      <c r="EF106" s="71"/>
      <c r="EG106" s="71"/>
      <c r="EH106" s="71"/>
      <c r="EI106" s="71"/>
      <c r="EJ106" s="71"/>
      <c r="EK106" s="71"/>
      <c r="EL106" s="71"/>
      <c r="EM106" s="71"/>
      <c r="EN106" s="71"/>
      <c r="EO106" s="71"/>
      <c r="EP106" s="71"/>
      <c r="EQ106" s="71"/>
      <c r="ER106" s="71"/>
      <c r="ES106" s="71"/>
      <c r="ET106" s="71"/>
      <c r="EU106" s="71"/>
      <c r="EV106" s="71"/>
      <c r="EW106" s="71"/>
      <c r="EX106" s="71"/>
      <c r="EY106" s="71"/>
      <c r="EZ106" s="71"/>
      <c r="FA106" s="71"/>
      <c r="FB106" s="71"/>
      <c r="FC106" s="71"/>
      <c r="FD106" s="71"/>
      <c r="FE106" s="71"/>
      <c r="FF106" s="71"/>
      <c r="FG106" s="71"/>
      <c r="FH106" s="71"/>
      <c r="FI106" s="71"/>
      <c r="FJ106" s="71"/>
      <c r="FK106" s="71"/>
      <c r="FL106" s="71"/>
      <c r="FM106" s="71"/>
      <c r="FN106" s="71"/>
      <c r="FO106" s="71"/>
      <c r="FP106" s="71"/>
      <c r="FQ106" s="71"/>
      <c r="FR106" s="71"/>
      <c r="FS106" s="71"/>
      <c r="FT106" s="71"/>
      <c r="FU106" s="71"/>
      <c r="FV106" s="71"/>
      <c r="FW106" s="71"/>
      <c r="FX106" s="71"/>
      <c r="FY106" s="71"/>
      <c r="FZ106" s="71"/>
      <c r="GA106" s="71"/>
      <c r="GB106" s="71"/>
      <c r="GC106" s="71"/>
      <c r="GD106" s="71"/>
      <c r="GE106" s="71"/>
      <c r="GF106" s="71"/>
      <c r="GG106" s="71"/>
      <c r="GH106" s="71"/>
      <c r="GI106" s="71"/>
      <c r="GJ106" s="71"/>
      <c r="GK106" s="71"/>
      <c r="GL106" s="71"/>
      <c r="GM106" s="71"/>
      <c r="GN106" s="71"/>
      <c r="GO106" s="71"/>
      <c r="GP106" s="71"/>
      <c r="GQ106" s="71"/>
      <c r="GR106" s="71"/>
      <c r="GS106" s="71"/>
      <c r="GT106" s="71"/>
      <c r="GU106" s="71"/>
      <c r="GV106" s="71"/>
      <c r="GW106" s="71"/>
      <c r="GX106" s="71"/>
      <c r="GY106" s="71"/>
      <c r="GZ106" s="71"/>
      <c r="HA106" s="71"/>
      <c r="HB106" s="71"/>
      <c r="HC106" s="71"/>
      <c r="HD106" s="71"/>
      <c r="HE106" s="71"/>
      <c r="HF106" s="71"/>
      <c r="HG106" s="71"/>
      <c r="HH106" s="71"/>
      <c r="HI106" s="71"/>
      <c r="HJ106" s="71"/>
      <c r="HK106" s="71"/>
      <c r="HL106" s="71"/>
      <c r="HM106" s="71"/>
      <c r="HN106" s="71"/>
      <c r="HO106" s="71"/>
      <c r="HP106" s="71"/>
      <c r="HQ106" s="71"/>
      <c r="HR106" s="71"/>
      <c r="HS106" s="71"/>
      <c r="HT106" s="71"/>
      <c r="HU106" s="71"/>
      <c r="HV106" s="71"/>
      <c r="HW106" s="71"/>
      <c r="HX106" s="71"/>
      <c r="HY106" s="71"/>
      <c r="HZ106" s="71"/>
      <c r="IA106" s="71"/>
      <c r="IB106" s="71"/>
      <c r="IC106" s="71"/>
      <c r="ID106" s="71"/>
      <c r="IE106" s="71"/>
      <c r="IF106" s="71"/>
      <c r="IG106" s="71"/>
      <c r="IH106" s="71"/>
      <c r="II106" s="71"/>
      <c r="IJ106" s="71"/>
      <c r="IK106" s="71"/>
      <c r="IL106" s="71"/>
      <c r="IM106" s="71"/>
      <c r="IN106" s="71"/>
      <c r="IO106" s="71"/>
      <c r="IP106" s="71"/>
      <c r="IQ106" s="71"/>
      <c r="IR106" s="71"/>
    </row>
    <row r="107" customFormat="false" ht="15.75" hidden="false" customHeight="false" outlineLevel="0" collapsed="false">
      <c r="A107" s="72"/>
      <c r="B107" s="72"/>
      <c r="C107" s="73"/>
      <c r="D107" s="68"/>
      <c r="E107" s="72"/>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c r="BK107" s="71"/>
      <c r="BL107" s="71"/>
      <c r="BM107" s="71"/>
      <c r="BN107" s="71"/>
      <c r="BO107" s="71"/>
      <c r="BP107" s="71"/>
      <c r="BQ107" s="71"/>
      <c r="BR107" s="71"/>
      <c r="BS107" s="71"/>
      <c r="BT107" s="71"/>
      <c r="BU107" s="71"/>
      <c r="BV107" s="71"/>
      <c r="BW107" s="71"/>
      <c r="BX107" s="71"/>
      <c r="BY107" s="71"/>
      <c r="BZ107" s="71"/>
      <c r="CA107" s="71"/>
      <c r="CB107" s="71"/>
      <c r="CC107" s="71"/>
      <c r="CD107" s="71"/>
      <c r="CE107" s="71"/>
      <c r="CF107" s="71"/>
      <c r="CG107" s="71"/>
      <c r="CH107" s="71"/>
      <c r="CI107" s="71"/>
      <c r="CJ107" s="71"/>
      <c r="CK107" s="71"/>
      <c r="CL107" s="71"/>
      <c r="CM107" s="71"/>
      <c r="CN107" s="71"/>
      <c r="CO107" s="71"/>
      <c r="CP107" s="71"/>
      <c r="CQ107" s="71"/>
      <c r="CR107" s="71"/>
      <c r="CS107" s="71"/>
      <c r="CT107" s="71"/>
      <c r="CU107" s="71"/>
      <c r="CV107" s="71"/>
      <c r="CW107" s="71"/>
      <c r="CX107" s="71"/>
      <c r="CY107" s="71"/>
      <c r="CZ107" s="71"/>
      <c r="DA107" s="71"/>
      <c r="DB107" s="71"/>
      <c r="DC107" s="71"/>
      <c r="DD107" s="71"/>
      <c r="DE107" s="71"/>
      <c r="DF107" s="71"/>
      <c r="DG107" s="71"/>
      <c r="DH107" s="71"/>
      <c r="DI107" s="71"/>
      <c r="DJ107" s="71"/>
      <c r="DK107" s="71"/>
      <c r="DL107" s="71"/>
      <c r="DM107" s="71"/>
      <c r="DN107" s="71"/>
      <c r="DO107" s="71"/>
      <c r="DP107" s="71"/>
      <c r="DQ107" s="71"/>
      <c r="DR107" s="71"/>
      <c r="DS107" s="71"/>
      <c r="DT107" s="71"/>
      <c r="DU107" s="71"/>
      <c r="DV107" s="71"/>
      <c r="DW107" s="71"/>
      <c r="DX107" s="71"/>
      <c r="DY107" s="71"/>
      <c r="DZ107" s="71"/>
      <c r="EA107" s="71"/>
      <c r="EB107" s="71"/>
      <c r="EC107" s="71"/>
      <c r="ED107" s="71"/>
      <c r="EE107" s="71"/>
      <c r="EF107" s="71"/>
      <c r="EG107" s="71"/>
      <c r="EH107" s="71"/>
      <c r="EI107" s="71"/>
      <c r="EJ107" s="71"/>
      <c r="EK107" s="71"/>
      <c r="EL107" s="71"/>
      <c r="EM107" s="71"/>
      <c r="EN107" s="71"/>
      <c r="EO107" s="71"/>
      <c r="EP107" s="71"/>
      <c r="EQ107" s="71"/>
      <c r="ER107" s="71"/>
      <c r="ES107" s="71"/>
      <c r="ET107" s="71"/>
      <c r="EU107" s="71"/>
      <c r="EV107" s="71"/>
      <c r="EW107" s="71"/>
      <c r="EX107" s="71"/>
      <c r="EY107" s="71"/>
      <c r="EZ107" s="71"/>
      <c r="FA107" s="71"/>
      <c r="FB107" s="71"/>
      <c r="FC107" s="71"/>
      <c r="FD107" s="71"/>
      <c r="FE107" s="71"/>
      <c r="FF107" s="71"/>
      <c r="FG107" s="71"/>
      <c r="FH107" s="71"/>
      <c r="FI107" s="71"/>
      <c r="FJ107" s="71"/>
      <c r="FK107" s="71"/>
      <c r="FL107" s="71"/>
      <c r="FM107" s="71"/>
      <c r="FN107" s="71"/>
      <c r="FO107" s="71"/>
      <c r="FP107" s="71"/>
      <c r="FQ107" s="71"/>
      <c r="FR107" s="71"/>
      <c r="FS107" s="71"/>
      <c r="FT107" s="71"/>
      <c r="FU107" s="71"/>
      <c r="FV107" s="71"/>
      <c r="FW107" s="71"/>
      <c r="FX107" s="71"/>
      <c r="FY107" s="71"/>
      <c r="FZ107" s="71"/>
      <c r="GA107" s="71"/>
      <c r="GB107" s="71"/>
      <c r="GC107" s="71"/>
      <c r="GD107" s="71"/>
      <c r="GE107" s="71"/>
      <c r="GF107" s="71"/>
      <c r="GG107" s="71"/>
      <c r="GH107" s="71"/>
      <c r="GI107" s="71"/>
      <c r="GJ107" s="71"/>
      <c r="GK107" s="71"/>
      <c r="GL107" s="71"/>
      <c r="GM107" s="71"/>
      <c r="GN107" s="71"/>
      <c r="GO107" s="71"/>
      <c r="GP107" s="71"/>
      <c r="GQ107" s="71"/>
      <c r="GR107" s="71"/>
      <c r="GS107" s="71"/>
      <c r="GT107" s="71"/>
      <c r="GU107" s="71"/>
      <c r="GV107" s="71"/>
      <c r="GW107" s="71"/>
      <c r="GX107" s="71"/>
      <c r="GY107" s="71"/>
      <c r="GZ107" s="71"/>
      <c r="HA107" s="71"/>
      <c r="HB107" s="71"/>
      <c r="HC107" s="71"/>
      <c r="HD107" s="71"/>
      <c r="HE107" s="71"/>
      <c r="HF107" s="71"/>
      <c r="HG107" s="71"/>
      <c r="HH107" s="71"/>
      <c r="HI107" s="71"/>
      <c r="HJ107" s="71"/>
      <c r="HK107" s="71"/>
      <c r="HL107" s="71"/>
      <c r="HM107" s="71"/>
      <c r="HN107" s="71"/>
      <c r="HO107" s="71"/>
      <c r="HP107" s="71"/>
      <c r="HQ107" s="71"/>
      <c r="HR107" s="71"/>
      <c r="HS107" s="71"/>
      <c r="HT107" s="71"/>
      <c r="HU107" s="71"/>
      <c r="HV107" s="71"/>
      <c r="HW107" s="71"/>
      <c r="HX107" s="71"/>
      <c r="HY107" s="71"/>
      <c r="HZ107" s="71"/>
      <c r="IA107" s="71"/>
      <c r="IB107" s="71"/>
      <c r="IC107" s="71"/>
      <c r="ID107" s="71"/>
      <c r="IE107" s="71"/>
      <c r="IF107" s="71"/>
      <c r="IG107" s="71"/>
      <c r="IH107" s="71"/>
      <c r="II107" s="71"/>
      <c r="IJ107" s="71"/>
      <c r="IK107" s="71"/>
      <c r="IL107" s="71"/>
      <c r="IM107" s="71"/>
      <c r="IN107" s="71"/>
      <c r="IO107" s="71"/>
      <c r="IP107" s="71"/>
      <c r="IQ107" s="71"/>
      <c r="IR107" s="71"/>
    </row>
    <row r="108" customFormat="false" ht="15.75" hidden="false" customHeight="false" outlineLevel="0" collapsed="false">
      <c r="A108" s="72"/>
      <c r="B108" s="72"/>
      <c r="C108" s="73"/>
      <c r="D108" s="68"/>
      <c r="E108" s="72"/>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c r="BK108" s="71"/>
      <c r="BL108" s="71"/>
      <c r="BM108" s="71"/>
      <c r="BN108" s="71"/>
      <c r="BO108" s="71"/>
      <c r="BP108" s="71"/>
      <c r="BQ108" s="71"/>
      <c r="BR108" s="71"/>
      <c r="BS108" s="71"/>
      <c r="BT108" s="71"/>
      <c r="BU108" s="71"/>
      <c r="BV108" s="71"/>
      <c r="BW108" s="71"/>
      <c r="BX108" s="71"/>
      <c r="BY108" s="71"/>
      <c r="BZ108" s="71"/>
      <c r="CA108" s="71"/>
      <c r="CB108" s="71"/>
      <c r="CC108" s="71"/>
      <c r="CD108" s="71"/>
      <c r="CE108" s="71"/>
      <c r="CF108" s="71"/>
      <c r="CG108" s="71"/>
      <c r="CH108" s="71"/>
      <c r="CI108" s="71"/>
      <c r="CJ108" s="71"/>
      <c r="CK108" s="71"/>
      <c r="CL108" s="71"/>
      <c r="CM108" s="71"/>
      <c r="CN108" s="71"/>
      <c r="CO108" s="71"/>
      <c r="CP108" s="71"/>
      <c r="CQ108" s="71"/>
      <c r="CR108" s="71"/>
      <c r="CS108" s="71"/>
      <c r="CT108" s="71"/>
      <c r="CU108" s="71"/>
      <c r="CV108" s="71"/>
      <c r="CW108" s="71"/>
      <c r="CX108" s="71"/>
      <c r="CY108" s="71"/>
      <c r="CZ108" s="71"/>
      <c r="DA108" s="71"/>
      <c r="DB108" s="71"/>
      <c r="DC108" s="71"/>
      <c r="DD108" s="71"/>
      <c r="DE108" s="71"/>
      <c r="DF108" s="71"/>
      <c r="DG108" s="71"/>
      <c r="DH108" s="71"/>
      <c r="DI108" s="71"/>
      <c r="DJ108" s="71"/>
      <c r="DK108" s="71"/>
      <c r="DL108" s="71"/>
      <c r="DM108" s="71"/>
      <c r="DN108" s="71"/>
      <c r="DO108" s="71"/>
      <c r="DP108" s="71"/>
      <c r="DQ108" s="71"/>
      <c r="DR108" s="71"/>
      <c r="DS108" s="71"/>
      <c r="DT108" s="71"/>
      <c r="DU108" s="71"/>
      <c r="DV108" s="71"/>
      <c r="DW108" s="71"/>
      <c r="DX108" s="71"/>
      <c r="DY108" s="71"/>
      <c r="DZ108" s="71"/>
      <c r="EA108" s="71"/>
      <c r="EB108" s="71"/>
      <c r="EC108" s="71"/>
      <c r="ED108" s="71"/>
      <c r="EE108" s="71"/>
      <c r="EF108" s="71"/>
      <c r="EG108" s="71"/>
      <c r="EH108" s="71"/>
      <c r="EI108" s="71"/>
      <c r="EJ108" s="71"/>
      <c r="EK108" s="71"/>
      <c r="EL108" s="71"/>
      <c r="EM108" s="71"/>
      <c r="EN108" s="71"/>
      <c r="EO108" s="71"/>
      <c r="EP108" s="71"/>
      <c r="EQ108" s="71"/>
      <c r="ER108" s="71"/>
      <c r="ES108" s="71"/>
      <c r="ET108" s="71"/>
      <c r="EU108" s="71"/>
      <c r="EV108" s="71"/>
      <c r="EW108" s="71"/>
      <c r="EX108" s="71"/>
      <c r="EY108" s="71"/>
      <c r="EZ108" s="71"/>
      <c r="FA108" s="71"/>
      <c r="FB108" s="71"/>
      <c r="FC108" s="71"/>
      <c r="FD108" s="71"/>
      <c r="FE108" s="71"/>
      <c r="FF108" s="71"/>
      <c r="FG108" s="71"/>
      <c r="FH108" s="71"/>
      <c r="FI108" s="71"/>
      <c r="FJ108" s="71"/>
      <c r="FK108" s="71"/>
      <c r="FL108" s="71"/>
      <c r="FM108" s="71"/>
      <c r="FN108" s="71"/>
      <c r="FO108" s="71"/>
      <c r="FP108" s="71"/>
      <c r="FQ108" s="71"/>
      <c r="FR108" s="71"/>
      <c r="FS108" s="71"/>
      <c r="FT108" s="71"/>
      <c r="FU108" s="71"/>
      <c r="FV108" s="71"/>
      <c r="FW108" s="71"/>
      <c r="FX108" s="71"/>
      <c r="FY108" s="71"/>
      <c r="FZ108" s="71"/>
      <c r="GA108" s="71"/>
      <c r="GB108" s="71"/>
      <c r="GC108" s="71"/>
      <c r="GD108" s="71"/>
      <c r="GE108" s="71"/>
      <c r="GF108" s="71"/>
      <c r="GG108" s="71"/>
      <c r="GH108" s="71"/>
      <c r="GI108" s="71"/>
      <c r="GJ108" s="71"/>
      <c r="GK108" s="71"/>
      <c r="GL108" s="71"/>
      <c r="GM108" s="71"/>
      <c r="GN108" s="71"/>
      <c r="GO108" s="71"/>
      <c r="GP108" s="71"/>
      <c r="GQ108" s="71"/>
      <c r="GR108" s="71"/>
      <c r="GS108" s="71"/>
      <c r="GT108" s="71"/>
      <c r="GU108" s="71"/>
      <c r="GV108" s="71"/>
      <c r="GW108" s="71"/>
      <c r="GX108" s="71"/>
      <c r="GY108" s="71"/>
      <c r="GZ108" s="71"/>
      <c r="HA108" s="71"/>
      <c r="HB108" s="71"/>
      <c r="HC108" s="71"/>
      <c r="HD108" s="71"/>
      <c r="HE108" s="71"/>
      <c r="HF108" s="71"/>
      <c r="HG108" s="71"/>
      <c r="HH108" s="71"/>
      <c r="HI108" s="71"/>
      <c r="HJ108" s="71"/>
      <c r="HK108" s="71"/>
      <c r="HL108" s="71"/>
      <c r="HM108" s="71"/>
      <c r="HN108" s="71"/>
      <c r="HO108" s="71"/>
      <c r="HP108" s="71"/>
      <c r="HQ108" s="71"/>
      <c r="HR108" s="71"/>
      <c r="HS108" s="71"/>
      <c r="HT108" s="71"/>
      <c r="HU108" s="71"/>
      <c r="HV108" s="71"/>
      <c r="HW108" s="71"/>
      <c r="HX108" s="71"/>
      <c r="HY108" s="71"/>
      <c r="HZ108" s="71"/>
      <c r="IA108" s="71"/>
      <c r="IB108" s="71"/>
      <c r="IC108" s="71"/>
      <c r="ID108" s="71"/>
      <c r="IE108" s="71"/>
      <c r="IF108" s="71"/>
      <c r="IG108" s="71"/>
      <c r="IH108" s="71"/>
      <c r="II108" s="71"/>
      <c r="IJ108" s="71"/>
      <c r="IK108" s="71"/>
      <c r="IL108" s="71"/>
      <c r="IM108" s="71"/>
      <c r="IN108" s="71"/>
      <c r="IO108" s="71"/>
      <c r="IP108" s="71"/>
      <c r="IQ108" s="71"/>
      <c r="IR108" s="71"/>
    </row>
    <row r="109" customFormat="false" ht="15.75" hidden="false" customHeight="false" outlineLevel="0" collapsed="false">
      <c r="A109" s="72"/>
      <c r="B109" s="72"/>
      <c r="C109" s="73"/>
      <c r="D109" s="68"/>
      <c r="E109" s="72"/>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c r="BK109" s="71"/>
      <c r="BL109" s="71"/>
      <c r="BM109" s="71"/>
      <c r="BN109" s="71"/>
      <c r="BO109" s="71"/>
      <c r="BP109" s="71"/>
      <c r="BQ109" s="71"/>
      <c r="BR109" s="71"/>
      <c r="BS109" s="71"/>
      <c r="BT109" s="71"/>
      <c r="BU109" s="71"/>
      <c r="BV109" s="71"/>
      <c r="BW109" s="71"/>
      <c r="BX109" s="71"/>
      <c r="BY109" s="71"/>
      <c r="BZ109" s="71"/>
      <c r="CA109" s="71"/>
      <c r="CB109" s="71"/>
      <c r="CC109" s="71"/>
      <c r="CD109" s="71"/>
      <c r="CE109" s="71"/>
      <c r="CF109" s="71"/>
      <c r="CG109" s="71"/>
      <c r="CH109" s="71"/>
      <c r="CI109" s="71"/>
      <c r="CJ109" s="71"/>
      <c r="CK109" s="71"/>
      <c r="CL109" s="71"/>
      <c r="CM109" s="71"/>
      <c r="CN109" s="71"/>
      <c r="CO109" s="71"/>
      <c r="CP109" s="71"/>
      <c r="CQ109" s="71"/>
      <c r="CR109" s="71"/>
      <c r="CS109" s="71"/>
      <c r="CT109" s="71"/>
      <c r="CU109" s="71"/>
      <c r="CV109" s="71"/>
      <c r="CW109" s="71"/>
      <c r="CX109" s="71"/>
      <c r="CY109" s="71"/>
      <c r="CZ109" s="71"/>
      <c r="DA109" s="71"/>
      <c r="DB109" s="71"/>
      <c r="DC109" s="71"/>
      <c r="DD109" s="71"/>
      <c r="DE109" s="71"/>
      <c r="DF109" s="71"/>
      <c r="DG109" s="71"/>
      <c r="DH109" s="71"/>
      <c r="DI109" s="71"/>
      <c r="DJ109" s="71"/>
      <c r="DK109" s="71"/>
      <c r="DL109" s="71"/>
      <c r="DM109" s="71"/>
      <c r="DN109" s="71"/>
      <c r="DO109" s="71"/>
      <c r="DP109" s="71"/>
      <c r="DQ109" s="71"/>
      <c r="DR109" s="71"/>
      <c r="DS109" s="71"/>
      <c r="DT109" s="71"/>
      <c r="DU109" s="71"/>
      <c r="DV109" s="71"/>
      <c r="DW109" s="71"/>
      <c r="DX109" s="71"/>
      <c r="DY109" s="71"/>
      <c r="DZ109" s="71"/>
      <c r="EA109" s="71"/>
      <c r="EB109" s="71"/>
      <c r="EC109" s="71"/>
      <c r="ED109" s="71"/>
      <c r="EE109" s="71"/>
      <c r="EF109" s="71"/>
      <c r="EG109" s="71"/>
      <c r="EH109" s="71"/>
      <c r="EI109" s="71"/>
      <c r="EJ109" s="71"/>
      <c r="EK109" s="71"/>
      <c r="EL109" s="71"/>
      <c r="EM109" s="71"/>
      <c r="EN109" s="71"/>
      <c r="EO109" s="71"/>
      <c r="EP109" s="71"/>
      <c r="EQ109" s="71"/>
      <c r="ER109" s="71"/>
      <c r="ES109" s="71"/>
      <c r="ET109" s="71"/>
      <c r="EU109" s="71"/>
      <c r="EV109" s="71"/>
      <c r="EW109" s="71"/>
      <c r="EX109" s="71"/>
      <c r="EY109" s="71"/>
      <c r="EZ109" s="71"/>
      <c r="FA109" s="71"/>
      <c r="FB109" s="71"/>
      <c r="FC109" s="71"/>
      <c r="FD109" s="71"/>
      <c r="FE109" s="71"/>
      <c r="FF109" s="71"/>
      <c r="FG109" s="71"/>
      <c r="FH109" s="71"/>
      <c r="FI109" s="71"/>
      <c r="FJ109" s="71"/>
      <c r="FK109" s="71"/>
      <c r="FL109" s="71"/>
      <c r="FM109" s="71"/>
      <c r="FN109" s="71"/>
      <c r="FO109" s="71"/>
      <c r="FP109" s="71"/>
      <c r="FQ109" s="71"/>
      <c r="FR109" s="71"/>
      <c r="FS109" s="71"/>
      <c r="FT109" s="71"/>
      <c r="FU109" s="71"/>
      <c r="FV109" s="71"/>
      <c r="FW109" s="71"/>
      <c r="FX109" s="71"/>
      <c r="FY109" s="71"/>
      <c r="FZ109" s="71"/>
      <c r="GA109" s="71"/>
      <c r="GB109" s="71"/>
      <c r="GC109" s="71"/>
      <c r="GD109" s="71"/>
      <c r="GE109" s="71"/>
      <c r="GF109" s="71"/>
      <c r="GG109" s="71"/>
      <c r="GH109" s="71"/>
      <c r="GI109" s="71"/>
      <c r="GJ109" s="71"/>
      <c r="GK109" s="71"/>
      <c r="GL109" s="71"/>
      <c r="GM109" s="71"/>
      <c r="GN109" s="71"/>
      <c r="GO109" s="71"/>
      <c r="GP109" s="71"/>
      <c r="GQ109" s="71"/>
      <c r="GR109" s="71"/>
      <c r="GS109" s="71"/>
      <c r="GT109" s="71"/>
      <c r="GU109" s="71"/>
      <c r="GV109" s="71"/>
      <c r="GW109" s="71"/>
      <c r="GX109" s="71"/>
      <c r="GY109" s="71"/>
      <c r="GZ109" s="71"/>
      <c r="HA109" s="71"/>
      <c r="HB109" s="71"/>
      <c r="HC109" s="71"/>
      <c r="HD109" s="71"/>
      <c r="HE109" s="71"/>
      <c r="HF109" s="71"/>
      <c r="HG109" s="71"/>
      <c r="HH109" s="71"/>
      <c r="HI109" s="71"/>
      <c r="HJ109" s="71"/>
      <c r="HK109" s="71"/>
      <c r="HL109" s="71"/>
      <c r="HM109" s="71"/>
      <c r="HN109" s="71"/>
      <c r="HO109" s="71"/>
      <c r="HP109" s="71"/>
      <c r="HQ109" s="71"/>
      <c r="HR109" s="71"/>
      <c r="HS109" s="71"/>
      <c r="HT109" s="71"/>
      <c r="HU109" s="71"/>
      <c r="HV109" s="71"/>
      <c r="HW109" s="71"/>
      <c r="HX109" s="71"/>
      <c r="HY109" s="71"/>
      <c r="HZ109" s="71"/>
      <c r="IA109" s="71"/>
      <c r="IB109" s="71"/>
      <c r="IC109" s="71"/>
      <c r="ID109" s="71"/>
      <c r="IE109" s="71"/>
      <c r="IF109" s="71"/>
      <c r="IG109" s="71"/>
      <c r="IH109" s="71"/>
      <c r="II109" s="71"/>
      <c r="IJ109" s="71"/>
      <c r="IK109" s="71"/>
      <c r="IL109" s="71"/>
      <c r="IM109" s="71"/>
      <c r="IN109" s="71"/>
      <c r="IO109" s="71"/>
      <c r="IP109" s="71"/>
      <c r="IQ109" s="71"/>
      <c r="IR109" s="71"/>
    </row>
    <row r="110" customFormat="false" ht="15.75" hidden="false" customHeight="false" outlineLevel="0" collapsed="false">
      <c r="A110" s="72"/>
      <c r="B110" s="72"/>
      <c r="C110" s="73"/>
      <c r="D110" s="68"/>
      <c r="E110" s="72"/>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c r="BK110" s="71"/>
      <c r="BL110" s="71"/>
      <c r="BM110" s="71"/>
      <c r="BN110" s="71"/>
      <c r="BO110" s="71"/>
      <c r="BP110" s="71"/>
      <c r="BQ110" s="71"/>
      <c r="BR110" s="71"/>
      <c r="BS110" s="71"/>
      <c r="BT110" s="71"/>
      <c r="BU110" s="71"/>
      <c r="BV110" s="71"/>
      <c r="BW110" s="71"/>
      <c r="BX110" s="71"/>
      <c r="BY110" s="71"/>
      <c r="BZ110" s="71"/>
      <c r="CA110" s="71"/>
      <c r="CB110" s="71"/>
      <c r="CC110" s="71"/>
      <c r="CD110" s="71"/>
      <c r="CE110" s="71"/>
      <c r="CF110" s="71"/>
      <c r="CG110" s="71"/>
      <c r="CH110" s="71"/>
      <c r="CI110" s="71"/>
      <c r="CJ110" s="71"/>
      <c r="CK110" s="71"/>
      <c r="CL110" s="71"/>
      <c r="CM110" s="71"/>
      <c r="CN110" s="71"/>
      <c r="CO110" s="71"/>
      <c r="CP110" s="71"/>
      <c r="CQ110" s="71"/>
      <c r="CR110" s="71"/>
      <c r="CS110" s="71"/>
      <c r="CT110" s="71"/>
      <c r="CU110" s="71"/>
      <c r="CV110" s="71"/>
      <c r="CW110" s="71"/>
      <c r="CX110" s="71"/>
      <c r="CY110" s="71"/>
      <c r="CZ110" s="71"/>
      <c r="DA110" s="71"/>
      <c r="DB110" s="71"/>
      <c r="DC110" s="71"/>
      <c r="DD110" s="71"/>
      <c r="DE110" s="71"/>
      <c r="DF110" s="71"/>
      <c r="DG110" s="71"/>
      <c r="DH110" s="71"/>
      <c r="DI110" s="71"/>
      <c r="DJ110" s="71"/>
      <c r="DK110" s="71"/>
      <c r="DL110" s="71"/>
      <c r="DM110" s="71"/>
      <c r="DN110" s="71"/>
      <c r="DO110" s="71"/>
      <c r="DP110" s="71"/>
      <c r="DQ110" s="71"/>
      <c r="DR110" s="71"/>
      <c r="DS110" s="71"/>
      <c r="DT110" s="71"/>
      <c r="DU110" s="71"/>
      <c r="DV110" s="71"/>
      <c r="DW110" s="71"/>
      <c r="DX110" s="71"/>
      <c r="DY110" s="71"/>
      <c r="DZ110" s="71"/>
      <c r="EA110" s="71"/>
      <c r="EB110" s="71"/>
      <c r="EC110" s="71"/>
      <c r="ED110" s="71"/>
      <c r="EE110" s="71"/>
      <c r="EF110" s="71"/>
      <c r="EG110" s="71"/>
      <c r="EH110" s="71"/>
      <c r="EI110" s="71"/>
      <c r="EJ110" s="71"/>
      <c r="EK110" s="71"/>
      <c r="EL110" s="71"/>
      <c r="EM110" s="71"/>
      <c r="EN110" s="71"/>
      <c r="EO110" s="71"/>
      <c r="EP110" s="71"/>
      <c r="EQ110" s="71"/>
      <c r="ER110" s="71"/>
      <c r="ES110" s="71"/>
      <c r="ET110" s="71"/>
      <c r="EU110" s="71"/>
      <c r="EV110" s="71"/>
      <c r="EW110" s="71"/>
      <c r="EX110" s="71"/>
      <c r="EY110" s="71"/>
      <c r="EZ110" s="71"/>
      <c r="FA110" s="71"/>
      <c r="FB110" s="71"/>
      <c r="FC110" s="71"/>
      <c r="FD110" s="71"/>
      <c r="FE110" s="71"/>
      <c r="FF110" s="71"/>
      <c r="FG110" s="71"/>
      <c r="FH110" s="71"/>
      <c r="FI110" s="71"/>
      <c r="FJ110" s="71"/>
      <c r="FK110" s="71"/>
      <c r="FL110" s="71"/>
      <c r="FM110" s="71"/>
      <c r="FN110" s="71"/>
      <c r="FO110" s="71"/>
      <c r="FP110" s="71"/>
      <c r="FQ110" s="71"/>
      <c r="FR110" s="71"/>
      <c r="FS110" s="71"/>
      <c r="FT110" s="71"/>
      <c r="FU110" s="71"/>
      <c r="FV110" s="71"/>
      <c r="FW110" s="71"/>
      <c r="FX110" s="71"/>
      <c r="FY110" s="71"/>
      <c r="FZ110" s="71"/>
      <c r="GA110" s="71"/>
      <c r="GB110" s="71"/>
      <c r="GC110" s="71"/>
      <c r="GD110" s="71"/>
      <c r="GE110" s="71"/>
      <c r="GF110" s="71"/>
      <c r="GG110" s="71"/>
      <c r="GH110" s="71"/>
      <c r="GI110" s="71"/>
      <c r="GJ110" s="71"/>
      <c r="GK110" s="71"/>
      <c r="GL110" s="71"/>
      <c r="GM110" s="71"/>
      <c r="GN110" s="71"/>
      <c r="GO110" s="71"/>
      <c r="GP110" s="71"/>
      <c r="GQ110" s="71"/>
      <c r="GR110" s="71"/>
      <c r="GS110" s="71"/>
      <c r="GT110" s="71"/>
      <c r="GU110" s="71"/>
      <c r="GV110" s="71"/>
      <c r="GW110" s="71"/>
      <c r="GX110" s="71"/>
      <c r="GY110" s="71"/>
      <c r="GZ110" s="71"/>
      <c r="HA110" s="71"/>
      <c r="HB110" s="71"/>
      <c r="HC110" s="71"/>
      <c r="HD110" s="71"/>
      <c r="HE110" s="71"/>
      <c r="HF110" s="71"/>
      <c r="HG110" s="71"/>
      <c r="HH110" s="71"/>
      <c r="HI110" s="71"/>
      <c r="HJ110" s="71"/>
      <c r="HK110" s="71"/>
      <c r="HL110" s="71"/>
      <c r="HM110" s="71"/>
      <c r="HN110" s="71"/>
      <c r="HO110" s="71"/>
      <c r="HP110" s="71"/>
      <c r="HQ110" s="71"/>
      <c r="HR110" s="71"/>
      <c r="HS110" s="71"/>
      <c r="HT110" s="71"/>
      <c r="HU110" s="71"/>
      <c r="HV110" s="71"/>
      <c r="HW110" s="71"/>
      <c r="HX110" s="71"/>
      <c r="HY110" s="71"/>
      <c r="HZ110" s="71"/>
      <c r="IA110" s="71"/>
      <c r="IB110" s="71"/>
      <c r="IC110" s="71"/>
      <c r="ID110" s="71"/>
      <c r="IE110" s="71"/>
      <c r="IF110" s="71"/>
      <c r="IG110" s="71"/>
      <c r="IH110" s="71"/>
      <c r="II110" s="71"/>
      <c r="IJ110" s="71"/>
      <c r="IK110" s="71"/>
      <c r="IL110" s="71"/>
      <c r="IM110" s="71"/>
      <c r="IN110" s="71"/>
      <c r="IO110" s="71"/>
      <c r="IP110" s="71"/>
      <c r="IQ110" s="71"/>
      <c r="IR110" s="71"/>
    </row>
  </sheetData>
  <mergeCells count="5">
    <mergeCell ref="B1:E1"/>
    <mergeCell ref="C3:E3"/>
    <mergeCell ref="C41:E41"/>
    <mergeCell ref="C50:E50"/>
    <mergeCell ref="C65:E65"/>
  </mergeCells>
  <conditionalFormatting sqref="D66:D99">
    <cfRule type="containsText" priority="10" operator="containsText" aboveAverage="0" equalAverage="0" bottom="0" percent="0" rank="0" text="Initial" dxfId="262">
      <formula>NOT(ISERROR(SEARCH("Initial",D66)))</formula>
    </cfRule>
    <cfRule type="containsText" priority="11" operator="containsText" aboveAverage="0" equalAverage="0" bottom="0" percent="0" rank="0" text="Nonexistent" dxfId="263">
      <formula>NOT(ISERROR(SEARCH("Nonexistent",D66)))</formula>
    </cfRule>
    <cfRule type="expression" priority="12" aboveAverage="0" equalAverage="0" bottom="0" percent="0" rank="0" text="" dxfId="264">
      <formula>_xludf.style(VLOOKUP(D66,#ref!,2,0))</formula>
    </cfRule>
  </conditionalFormatting>
  <conditionalFormatting sqref="D51:D64">
    <cfRule type="containsText" priority="21" operator="containsText" aboveAverage="0" equalAverage="0" bottom="0" percent="0" rank="0" text="Initial" dxfId="273">
      <formula>NOT(ISERROR(SEARCH("Initial",D51)))</formula>
    </cfRule>
    <cfRule type="containsText" priority="22" operator="containsText" aboveAverage="0" equalAverage="0" bottom="0" percent="0" rank="0" text="Nonexistent" dxfId="274">
      <formula>NOT(ISERROR(SEARCH("Nonexistent",D51)))</formula>
    </cfRule>
    <cfRule type="expression" priority="23" aboveAverage="0" equalAverage="0" bottom="0" percent="0" rank="0" text="" dxfId="275">
      <formula>_xludf.style(VLOOKUP(D51,#ref!,2,0))</formula>
    </cfRule>
  </conditionalFormatting>
  <conditionalFormatting sqref="D4:D40">
    <cfRule type="containsText" priority="32" operator="containsText" aboveAverage="0" equalAverage="0" bottom="0" percent="0" rank="0" text="Initial" dxfId="284">
      <formula>NOT(ISERROR(SEARCH("Initial",D4)))</formula>
    </cfRule>
    <cfRule type="containsText" priority="33" operator="containsText" aboveAverage="0" equalAverage="0" bottom="0" percent="0" rank="0" text="Nonexistent" dxfId="285">
      <formula>NOT(ISERROR(SEARCH("Nonexistent",D4)))</formula>
    </cfRule>
    <cfRule type="expression" priority="34" aboveAverage="0" equalAverage="0" bottom="0" percent="0" rank="0" text="" dxfId="286">
      <formula>_xludf.style(VLOOKUP(D4,#ref!,2,0))</formula>
    </cfRule>
  </conditionalFormatting>
  <conditionalFormatting sqref="D48:D49">
    <cfRule type="containsText" priority="43" operator="containsText" aboveAverage="0" equalAverage="0" bottom="0" percent="0" rank="0" text="Initial" dxfId="295">
      <formula>NOT(ISERROR(SEARCH("Initial",D48)))</formula>
    </cfRule>
    <cfRule type="containsText" priority="44" operator="containsText" aboveAverage="0" equalAverage="0" bottom="0" percent="0" rank="0" text="Nonexistent" dxfId="296">
      <formula>NOT(ISERROR(SEARCH("Nonexistent",D48)))</formula>
    </cfRule>
    <cfRule type="expression" priority="45" aboveAverage="0" equalAverage="0" bottom="0" percent="0" rank="0" text="" dxfId="297">
      <formula>_xludf.style(VLOOKUP(D48,#ref!,2,0))</formula>
    </cfRule>
  </conditionalFormatting>
  <conditionalFormatting sqref="D42:D47">
    <cfRule type="containsText" priority="54" operator="containsText" aboveAverage="0" equalAverage="0" bottom="0" percent="0" rank="0" text="Initial" dxfId="306">
      <formula>NOT(ISERROR(SEARCH("Initial",D42)))</formula>
    </cfRule>
    <cfRule type="containsText" priority="55" operator="containsText" aboveAverage="0" equalAverage="0" bottom="0" percent="0" rank="0" text="Nonexistent" dxfId="307">
      <formula>NOT(ISERROR(SEARCH("Nonexistent",D42)))</formula>
    </cfRule>
    <cfRule type="expression" priority="56" aboveAverage="0" equalAverage="0" bottom="0" percent="0" rank="0" text="" dxfId="308">
      <formula>_xludf.style(VLOOKUP(D42,#ref!,2,0))</formula>
    </cfRule>
  </conditionalFormatting>
  <dataValidations count="1">
    <dataValidation allowBlank="true" errorStyle="stop" operator="equal" promptTitle="Select status" showDropDown="false" showErrorMessage="true" showInputMessage="true" sqref="D4:D40 D42:D49 D51:D64 D66:D99" type="list">
      <formula1>Metrics!$B$3:$B$10</formula1>
      <formula2>0</formula2>
    </dataValidation>
  </dataValidations>
  <printOptions headings="false" gridLines="true" gridLinesSet="true" horizontalCentered="false" verticalCentered="false"/>
  <pageMargins left="0.39375" right="0.295138888888889" top="0.295138888888889" bottom="0.315972222222222" header="0.511811023622047" footer="0.177083333333333"/>
  <pageSetup paperSize="9" scale="100" fitToWidth="1" fitToHeight="15" pageOrder="downThenOver" orientation="portrait" blackAndWhite="false" draft="false" cellComments="none" horizontalDpi="300" verticalDpi="300" copies="1"/>
  <headerFooter differentFirst="false" differentOddEven="false">
    <oddHeader/>
    <oddFooter>&amp;C&amp;D&amp;RPage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cellIs" priority="2" operator="equal" id="{DAF6C019-F5C2-40AF-A6F8-1026D3D8F79B}">
            <xm:f>'NIST CSF 2'!$B$10</xm:f>
            <x14:dxf>
              <font>
                <color rgb="FFFFFFFF"/>
              </font>
              <fill>
                <patternFill>
                  <bgColor theme="0" tint="-0.35"/>
                </patternFill>
              </fill>
            </x14:dxf>
          </x14:cfRule>
          <x14:cfRule type="cellIs" priority="3" operator="equal" id="{746EE42D-88B6-4DAC-BF8D-A6CD99E58760}">
            <xm:f>'NIST CSF 2'!$B$9</xm:f>
            <x14:dxf>
              <font>
                <color rgb="FFFFFFFF"/>
              </font>
              <fill>
                <patternFill>
                  <bgColor rgb="FF336600"/>
                </patternFill>
              </fill>
            </x14:dxf>
          </x14:cfRule>
          <x14:cfRule type="cellIs" priority="4" operator="equal" id="{65DB13A7-A28D-42C7-B1EF-B08B1D70E9FA}">
            <xm:f>'NIST CSF 2'!$B$8</xm:f>
            <x14:dxf>
              <font>
                <color rgb="FFFFFFFF"/>
              </font>
              <fill>
                <patternFill>
                  <bgColor rgb="FF92D050"/>
                </patternFill>
              </fill>
            </x14:dxf>
          </x14:cfRule>
          <x14:cfRule type="cellIs" priority="5" operator="equal" id="{CD28C2A6-1234-40A3-8A93-808560D9DAE4}">
            <xm:f>'NIST CSF 2'!$B$7</xm:f>
            <x14:dxf>
              <font>
                <color rgb="FFFFFFFF"/>
              </font>
              <fill>
                <patternFill>
                  <bgColor rgb="FFFFC000"/>
                </patternFill>
              </fill>
            </x14:dxf>
          </x14:cfRule>
          <x14:cfRule type="cellIs" priority="6" operator="equal" id="{A5E1F5DF-103E-4440-AB60-CA9E63A78450}">
            <xm:f>'NIST CSF 2'!$B$6</xm:f>
            <x14:dxf>
              <font>
                <color rgb="FFFFFFFF"/>
              </font>
              <fill>
                <patternFill>
                  <bgColor theme="2" tint="-0.5"/>
                </patternFill>
              </fill>
            </x14:dxf>
          </x14:cfRule>
          <x14:cfRule type="cellIs" priority="7" operator="equal" id="{7ED9D967-B6E9-42D0-A787-E21F909A571B}">
            <xm:f>'NIST CSF 2'!$B$5</xm:f>
            <x14:dxf>
              <font>
                <color rgb="FFFFFFFF"/>
              </font>
              <fill>
                <patternFill>
                  <bgColor rgb="FFC00000"/>
                </patternFill>
              </fill>
            </x14:dxf>
          </x14:cfRule>
          <x14:cfRule type="cellIs" priority="8" operator="equal" id="{8ED2B086-73B1-438C-AFF1-70EC409E30F7}">
            <xm:f>'NIST CSF 2'!$B$4</xm:f>
            <x14:dxf>
              <font>
                <color rgb="FFFFFFFF"/>
              </font>
              <fill>
                <patternFill>
                  <bgColor rgb="FFFF0000"/>
                </patternFill>
              </fill>
            </x14:dxf>
          </x14:cfRule>
          <x14:cfRule type="cellIs" priority="9" operator="equal" id="{867886F0-BDAE-4E6C-9B7F-CAFC6F689222}">
            <xm:f>'NIST CSF 2'!$B$3</xm:f>
            <x14:dxf>
              <font>
                <color rgb="FFD9D9D9"/>
              </font>
              <fill>
                <patternFill>
                  <bgColor theme="0"/>
                </patternFill>
              </fill>
            </x14:dxf>
          </x14:cfRule>
          <xm:sqref>D66:D99</xm:sqref>
        </x14:conditionalFormatting>
        <x14:conditionalFormatting xmlns:xm="http://schemas.microsoft.com/office/excel/2006/main">
          <x14:cfRule type="cellIs" priority="13" operator="equal" id="{289BF2D0-13C7-4425-9FC2-1DC47117BDA0}">
            <xm:f>'NIST CSF 2'!$B$10</xm:f>
            <x14:dxf>
              <font>
                <color rgb="FFFFFFFF"/>
              </font>
              <fill>
                <patternFill>
                  <bgColor theme="0" tint="-0.35"/>
                </patternFill>
              </fill>
            </x14:dxf>
          </x14:cfRule>
          <x14:cfRule type="cellIs" priority="14" operator="equal" id="{35B342B0-F7F1-463C-B520-5CE286C0962E}">
            <xm:f>'NIST CSF 2'!$B$9</xm:f>
            <x14:dxf>
              <font>
                <color rgb="FFFFFFFF"/>
              </font>
              <fill>
                <patternFill>
                  <bgColor rgb="FF336600"/>
                </patternFill>
              </fill>
            </x14:dxf>
          </x14:cfRule>
          <x14:cfRule type="cellIs" priority="15" operator="equal" id="{E19C26D3-DC92-4821-BE2F-4FCEB3F8FFF0}">
            <xm:f>'NIST CSF 2'!$B$8</xm:f>
            <x14:dxf>
              <font>
                <color rgb="FFFFFFFF"/>
              </font>
              <fill>
                <patternFill>
                  <bgColor rgb="FF92D050"/>
                </patternFill>
              </fill>
            </x14:dxf>
          </x14:cfRule>
          <x14:cfRule type="cellIs" priority="16" operator="equal" id="{C95F6D36-C66B-4594-BBBD-35422687C262}">
            <xm:f>'NIST CSF 2'!$B$7</xm:f>
            <x14:dxf>
              <font>
                <color rgb="FFFFFFFF"/>
              </font>
              <fill>
                <patternFill>
                  <bgColor rgb="FFFFC000"/>
                </patternFill>
              </fill>
            </x14:dxf>
          </x14:cfRule>
          <x14:cfRule type="cellIs" priority="17" operator="equal" id="{6390396A-5EEB-49BF-9FCC-EEC8369D7A96}">
            <xm:f>'NIST CSF 2'!$B$6</xm:f>
            <x14:dxf>
              <font>
                <color rgb="FFFFFFFF"/>
              </font>
              <fill>
                <patternFill>
                  <bgColor theme="2" tint="-0.5"/>
                </patternFill>
              </fill>
            </x14:dxf>
          </x14:cfRule>
          <x14:cfRule type="cellIs" priority="18" operator="equal" id="{73232621-B4A4-4998-BAE4-8762949C10E2}">
            <xm:f>'NIST CSF 2'!$B$5</xm:f>
            <x14:dxf>
              <font>
                <color rgb="FFFFFFFF"/>
              </font>
              <fill>
                <patternFill>
                  <bgColor rgb="FFC00000"/>
                </patternFill>
              </fill>
            </x14:dxf>
          </x14:cfRule>
          <x14:cfRule type="cellIs" priority="19" operator="equal" id="{73F810ED-87B0-4356-9969-1C319170B226}">
            <xm:f>'NIST CSF 2'!$B$4</xm:f>
            <x14:dxf>
              <font>
                <color rgb="FFFFFFFF"/>
              </font>
              <fill>
                <patternFill>
                  <bgColor rgb="FFFF0000"/>
                </patternFill>
              </fill>
            </x14:dxf>
          </x14:cfRule>
          <x14:cfRule type="cellIs" priority="20" operator="equal" id="{5589AD26-B33F-4FBF-8D7E-1AE0DFA4D780}">
            <xm:f>'NIST CSF 2'!$B$3</xm:f>
            <x14:dxf>
              <font>
                <color rgb="FFD9D9D9"/>
              </font>
              <fill>
                <patternFill>
                  <bgColor theme="0"/>
                </patternFill>
              </fill>
            </x14:dxf>
          </x14:cfRule>
          <xm:sqref>D51:D64</xm:sqref>
        </x14:conditionalFormatting>
        <x14:conditionalFormatting xmlns:xm="http://schemas.microsoft.com/office/excel/2006/main">
          <x14:cfRule type="cellIs" priority="24" operator="equal" id="{C279D728-6DE9-4FFF-9842-9E8419804862}">
            <xm:f>'NIST CSF 2'!$B$10</xm:f>
            <x14:dxf>
              <font>
                <color rgb="FFFFFFFF"/>
              </font>
              <fill>
                <patternFill>
                  <bgColor theme="0" tint="-0.35"/>
                </patternFill>
              </fill>
            </x14:dxf>
          </x14:cfRule>
          <x14:cfRule type="cellIs" priority="25" operator="equal" id="{B6BBBF97-B1C0-4F7E-B53B-4F538E80D120}">
            <xm:f>'NIST CSF 2'!$B$9</xm:f>
            <x14:dxf>
              <font>
                <color rgb="FFFFFFFF"/>
              </font>
              <fill>
                <patternFill>
                  <bgColor rgb="FF336600"/>
                </patternFill>
              </fill>
            </x14:dxf>
          </x14:cfRule>
          <x14:cfRule type="cellIs" priority="26" operator="equal" id="{26CF7915-72F5-4568-86C3-5A4547385672}">
            <xm:f>'NIST CSF 2'!$B$8</xm:f>
            <x14:dxf>
              <font>
                <color rgb="FFFFFFFF"/>
              </font>
              <fill>
                <patternFill>
                  <bgColor rgb="FF92D050"/>
                </patternFill>
              </fill>
            </x14:dxf>
          </x14:cfRule>
          <x14:cfRule type="cellIs" priority="27" operator="equal" id="{14D8A7E8-DC80-4DF0-81B3-578A30908FB0}">
            <xm:f>'NIST CSF 2'!$B$7</xm:f>
            <x14:dxf>
              <font>
                <color rgb="FFFFFFFF"/>
              </font>
              <fill>
                <patternFill>
                  <bgColor rgb="FFFFC000"/>
                </patternFill>
              </fill>
            </x14:dxf>
          </x14:cfRule>
          <x14:cfRule type="cellIs" priority="28" operator="equal" id="{A51B70CF-8A33-4CEC-8566-F48386237DE2}">
            <xm:f>'NIST CSF 2'!$B$6</xm:f>
            <x14:dxf>
              <font>
                <color rgb="FFFFFFFF"/>
              </font>
              <fill>
                <patternFill>
                  <bgColor theme="2" tint="-0.5"/>
                </patternFill>
              </fill>
            </x14:dxf>
          </x14:cfRule>
          <x14:cfRule type="cellIs" priority="29" operator="equal" id="{A02B7ED4-E050-472F-A2BF-64FC30A4ADBE}">
            <xm:f>'NIST CSF 2'!$B$5</xm:f>
            <x14:dxf>
              <font>
                <color rgb="FFFFFFFF"/>
              </font>
              <fill>
                <patternFill>
                  <bgColor rgb="FFC00000"/>
                </patternFill>
              </fill>
            </x14:dxf>
          </x14:cfRule>
          <x14:cfRule type="cellIs" priority="30" operator="equal" id="{3E4DE82F-83CB-45C9-BA7A-89E9744F58FA}">
            <xm:f>'NIST CSF 2'!$B$4</xm:f>
            <x14:dxf>
              <font>
                <color rgb="FFFFFFFF"/>
              </font>
              <fill>
                <patternFill>
                  <bgColor rgb="FFFF0000"/>
                </patternFill>
              </fill>
            </x14:dxf>
          </x14:cfRule>
          <x14:cfRule type="cellIs" priority="31" operator="equal" id="{299258BF-CB67-4FCE-9F67-DB5F9F5D8818}">
            <xm:f>'NIST CSF 2'!$B$3</xm:f>
            <x14:dxf>
              <font>
                <color rgb="FFD9D9D9"/>
              </font>
              <fill>
                <patternFill>
                  <bgColor theme="0"/>
                </patternFill>
              </fill>
            </x14:dxf>
          </x14:cfRule>
          <xm:sqref>D4:D40</xm:sqref>
        </x14:conditionalFormatting>
        <x14:conditionalFormatting xmlns:xm="http://schemas.microsoft.com/office/excel/2006/main">
          <x14:cfRule type="cellIs" priority="35" operator="equal" id="{CBB9DA9F-12A0-43B3-A42E-3258F97ADF33}">
            <xm:f>'NIST CSF 2'!$B$10</xm:f>
            <x14:dxf>
              <font>
                <color rgb="FFFFFFFF"/>
              </font>
              <fill>
                <patternFill>
                  <bgColor theme="0" tint="-0.35"/>
                </patternFill>
              </fill>
            </x14:dxf>
          </x14:cfRule>
          <x14:cfRule type="cellIs" priority="36" operator="equal" id="{C0241482-8F51-4589-8876-CF8C39518268}">
            <xm:f>'NIST CSF 2'!$B$9</xm:f>
            <x14:dxf>
              <font>
                <color rgb="FFFFFFFF"/>
              </font>
              <fill>
                <patternFill>
                  <bgColor rgb="FF336600"/>
                </patternFill>
              </fill>
            </x14:dxf>
          </x14:cfRule>
          <x14:cfRule type="cellIs" priority="37" operator="equal" id="{7864F1F8-70AD-455C-861D-12AB925E511F}">
            <xm:f>'NIST CSF 2'!$B$8</xm:f>
            <x14:dxf>
              <font>
                <color rgb="FFFFFFFF"/>
              </font>
              <fill>
                <patternFill>
                  <bgColor rgb="FF92D050"/>
                </patternFill>
              </fill>
            </x14:dxf>
          </x14:cfRule>
          <x14:cfRule type="cellIs" priority="38" operator="equal" id="{9D704B10-A618-4E85-B512-776F3C6821AA}">
            <xm:f>'NIST CSF 2'!$B$7</xm:f>
            <x14:dxf>
              <font>
                <color rgb="FFFFFFFF"/>
              </font>
              <fill>
                <patternFill>
                  <bgColor rgb="FFFFC000"/>
                </patternFill>
              </fill>
            </x14:dxf>
          </x14:cfRule>
          <x14:cfRule type="cellIs" priority="39" operator="equal" id="{21E84BC0-C35A-46A0-8E7B-5B985B33D3B3}">
            <xm:f>'NIST CSF 2'!$B$6</xm:f>
            <x14:dxf>
              <font>
                <color rgb="FFFFFFFF"/>
              </font>
              <fill>
                <patternFill>
                  <bgColor theme="2" tint="-0.5"/>
                </patternFill>
              </fill>
            </x14:dxf>
          </x14:cfRule>
          <x14:cfRule type="cellIs" priority="40" operator="equal" id="{11757F66-2F79-443B-A979-BCD9C05FC9C5}">
            <xm:f>'NIST CSF 2'!$B$5</xm:f>
            <x14:dxf>
              <font>
                <color rgb="FFFFFFFF"/>
              </font>
              <fill>
                <patternFill>
                  <bgColor rgb="FFC00000"/>
                </patternFill>
              </fill>
            </x14:dxf>
          </x14:cfRule>
          <x14:cfRule type="cellIs" priority="41" operator="equal" id="{E0ED83E0-A542-456E-8475-4E7D4B3B5092}">
            <xm:f>'NIST CSF 2'!$B$4</xm:f>
            <x14:dxf>
              <font>
                <color rgb="FFFFFFFF"/>
              </font>
              <fill>
                <patternFill>
                  <bgColor rgb="FFFF0000"/>
                </patternFill>
              </fill>
            </x14:dxf>
          </x14:cfRule>
          <x14:cfRule type="cellIs" priority="42" operator="equal" id="{40DD1F5C-A75D-464F-829B-51F71E1EDCC8}">
            <xm:f>'NIST CSF 2'!$B$3</xm:f>
            <x14:dxf>
              <font>
                <color rgb="FFD9D9D9"/>
              </font>
              <fill>
                <patternFill>
                  <bgColor theme="0"/>
                </patternFill>
              </fill>
            </x14:dxf>
          </x14:cfRule>
          <xm:sqref>D48:D49</xm:sqref>
        </x14:conditionalFormatting>
        <x14:conditionalFormatting xmlns:xm="http://schemas.microsoft.com/office/excel/2006/main">
          <x14:cfRule type="cellIs" priority="46" operator="equal" id="{90A4B481-4F7B-45A4-9B50-90576036C623}">
            <xm:f>'NIST CSF 2'!$B$10</xm:f>
            <x14:dxf>
              <font>
                <color rgb="FFFFFFFF"/>
              </font>
              <fill>
                <patternFill>
                  <bgColor theme="0" tint="-0.35"/>
                </patternFill>
              </fill>
            </x14:dxf>
          </x14:cfRule>
          <x14:cfRule type="cellIs" priority="47" operator="equal" id="{734689E9-6D1A-49CF-96B1-BF1FFCDE1F9A}">
            <xm:f>'NIST CSF 2'!$B$9</xm:f>
            <x14:dxf>
              <font>
                <color rgb="FFFFFFFF"/>
              </font>
              <fill>
                <patternFill>
                  <bgColor rgb="FF336600"/>
                </patternFill>
              </fill>
            </x14:dxf>
          </x14:cfRule>
          <x14:cfRule type="cellIs" priority="48" operator="equal" id="{B1E82D50-BFE4-455C-B417-5DC3DB893A30}">
            <xm:f>'NIST CSF 2'!$B$8</xm:f>
            <x14:dxf>
              <font>
                <color rgb="FFFFFFFF"/>
              </font>
              <fill>
                <patternFill>
                  <bgColor rgb="FF92D050"/>
                </patternFill>
              </fill>
            </x14:dxf>
          </x14:cfRule>
          <x14:cfRule type="cellIs" priority="49" operator="equal" id="{27BFEB1B-AF8E-447A-ACF9-8E4913EEC63B}">
            <xm:f>'NIST CSF 2'!$B$7</xm:f>
            <x14:dxf>
              <font>
                <color rgb="FFFFFFFF"/>
              </font>
              <fill>
                <patternFill>
                  <bgColor rgb="FFFFC000"/>
                </patternFill>
              </fill>
            </x14:dxf>
          </x14:cfRule>
          <x14:cfRule type="cellIs" priority="50" operator="equal" id="{228D9459-98D0-4933-ACCC-ABD5EA26C067}">
            <xm:f>'NIST CSF 2'!$B$6</xm:f>
            <x14:dxf>
              <font>
                <color rgb="FFFFFFFF"/>
              </font>
              <fill>
                <patternFill>
                  <bgColor theme="2" tint="-0.5"/>
                </patternFill>
              </fill>
            </x14:dxf>
          </x14:cfRule>
          <x14:cfRule type="cellIs" priority="51" operator="equal" id="{7944488B-9478-481A-8794-96D78C6A66B3}">
            <xm:f>'NIST CSF 2'!$B$5</xm:f>
            <x14:dxf>
              <font>
                <color rgb="FFFFFFFF"/>
              </font>
              <fill>
                <patternFill>
                  <bgColor rgb="FFC00000"/>
                </patternFill>
              </fill>
            </x14:dxf>
          </x14:cfRule>
          <x14:cfRule type="cellIs" priority="52" operator="equal" id="{EC8FB472-EDAA-4CA9-8B94-162450EE20FF}">
            <xm:f>'NIST CSF 2'!$B$4</xm:f>
            <x14:dxf>
              <font>
                <color rgb="FFFFFFFF"/>
              </font>
              <fill>
                <patternFill>
                  <bgColor rgb="FFFF0000"/>
                </patternFill>
              </fill>
            </x14:dxf>
          </x14:cfRule>
          <x14:cfRule type="cellIs" priority="53" operator="equal" id="{E65B40D3-1F51-4919-B645-DC40BAA49013}">
            <xm:f>'NIST CSF 2'!$B$3</xm:f>
            <x14:dxf>
              <font>
                <color rgb="FFD9D9D9"/>
              </font>
              <fill>
                <patternFill>
                  <bgColor theme="0"/>
                </patternFill>
              </fill>
            </x14:dxf>
          </x14:cfRule>
          <xm:sqref>D42:D47</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R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0" activePane="bottomRight" state="frozen"/>
      <selection pane="topLeft" activeCell="A1" activeCellId="0" sqref="A1"/>
      <selection pane="topRight" activeCell="B1" activeCellId="0" sqref="B1"/>
      <selection pane="bottomLeft" activeCell="A30" activeCellId="0" sqref="A30"/>
      <selection pane="bottomRight" activeCell="E87" activeCellId="0" sqref="E87"/>
    </sheetView>
  </sheetViews>
  <sheetFormatPr defaultColWidth="11.5703125" defaultRowHeight="12.75" zeroHeight="false" outlineLevelRow="0" outlineLevelCol="0"/>
  <cols>
    <col collapsed="false" customWidth="true" hidden="false" outlineLevel="0" max="1" min="1" style="51" width="1.57"/>
    <col collapsed="false" customWidth="true" hidden="false" outlineLevel="0" max="2" min="2" style="51" width="8.57"/>
    <col collapsed="false" customWidth="true" hidden="false" outlineLevel="0" max="3" min="3" style="52" width="65.29"/>
    <col collapsed="false" customWidth="true" hidden="false" outlineLevel="0" max="4" min="4" style="53" width="14.71"/>
    <col collapsed="false" customWidth="true" hidden="false" outlineLevel="0" max="5" min="5" style="51" width="75.29"/>
    <col collapsed="false" customWidth="true" hidden="false" outlineLevel="0" max="252" min="6" style="54" width="30.29"/>
  </cols>
  <sheetData>
    <row r="1" customFormat="false" ht="32.25" hidden="false" customHeight="true" outlineLevel="0" collapsed="false">
      <c r="A1" s="56"/>
      <c r="B1" s="57" t="s">
        <v>97</v>
      </c>
      <c r="C1" s="57"/>
      <c r="D1" s="57"/>
      <c r="E1" s="57"/>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c r="CE1" s="58"/>
      <c r="CF1" s="58"/>
      <c r="CG1" s="58"/>
      <c r="CH1" s="58"/>
      <c r="CI1" s="58"/>
      <c r="CJ1" s="58"/>
      <c r="CK1" s="58"/>
      <c r="CL1" s="58"/>
      <c r="CM1" s="58"/>
      <c r="CN1" s="58"/>
      <c r="CO1" s="58"/>
      <c r="CP1" s="58"/>
      <c r="CQ1" s="58"/>
      <c r="CR1" s="58"/>
      <c r="CS1" s="58"/>
      <c r="CT1" s="58"/>
      <c r="CU1" s="58"/>
      <c r="CV1" s="58"/>
      <c r="CW1" s="58"/>
      <c r="CX1" s="58"/>
      <c r="CY1" s="58"/>
      <c r="CZ1" s="58"/>
      <c r="DA1" s="58"/>
      <c r="DB1" s="58"/>
      <c r="DC1" s="58"/>
      <c r="DD1" s="58"/>
      <c r="DE1" s="58"/>
      <c r="DF1" s="58"/>
      <c r="DG1" s="58"/>
      <c r="DH1" s="58"/>
      <c r="DI1" s="58"/>
      <c r="DJ1" s="58"/>
      <c r="DK1" s="58"/>
      <c r="DL1" s="58"/>
      <c r="DM1" s="58"/>
      <c r="DN1" s="58"/>
      <c r="DO1" s="58"/>
      <c r="DP1" s="58"/>
      <c r="DQ1" s="58"/>
      <c r="DR1" s="58"/>
      <c r="DS1" s="58"/>
      <c r="DT1" s="58"/>
      <c r="DU1" s="58"/>
      <c r="DV1" s="58"/>
      <c r="DW1" s="58"/>
      <c r="DX1" s="58"/>
      <c r="DY1" s="58"/>
      <c r="DZ1" s="58"/>
      <c r="EA1" s="58"/>
      <c r="EB1" s="58"/>
      <c r="EC1" s="58"/>
      <c r="ED1" s="58"/>
      <c r="EE1" s="58"/>
      <c r="EF1" s="58"/>
      <c r="EG1" s="58"/>
      <c r="EH1" s="58"/>
      <c r="EI1" s="58"/>
      <c r="EJ1" s="58"/>
      <c r="EK1" s="58"/>
      <c r="EL1" s="58"/>
      <c r="EM1" s="58"/>
      <c r="EN1" s="58"/>
      <c r="EO1" s="58"/>
      <c r="EP1" s="58"/>
      <c r="EQ1" s="58"/>
      <c r="ER1" s="58"/>
      <c r="ES1" s="58"/>
      <c r="ET1" s="58"/>
      <c r="EU1" s="58"/>
      <c r="EV1" s="58"/>
      <c r="EW1" s="58"/>
      <c r="EX1" s="58"/>
      <c r="EY1" s="58"/>
      <c r="EZ1" s="58"/>
      <c r="FA1" s="58"/>
      <c r="FB1" s="58"/>
      <c r="FC1" s="58"/>
      <c r="FD1" s="58"/>
      <c r="FE1" s="58"/>
      <c r="FF1" s="58"/>
      <c r="FG1" s="58"/>
      <c r="FH1" s="58"/>
      <c r="FI1" s="58"/>
      <c r="FJ1" s="58"/>
      <c r="FK1" s="58"/>
      <c r="FL1" s="58"/>
      <c r="FM1" s="58"/>
      <c r="FN1" s="58"/>
      <c r="FO1" s="58"/>
      <c r="FP1" s="58"/>
      <c r="FQ1" s="58"/>
      <c r="FR1" s="58"/>
      <c r="FS1" s="58"/>
      <c r="FT1" s="58"/>
      <c r="FU1" s="58"/>
      <c r="FV1" s="58"/>
      <c r="FW1" s="58"/>
      <c r="FX1" s="58"/>
      <c r="FY1" s="58"/>
      <c r="FZ1" s="58"/>
      <c r="GA1" s="58"/>
      <c r="GB1" s="58"/>
      <c r="GC1" s="58"/>
      <c r="GD1" s="58"/>
      <c r="GE1" s="58"/>
      <c r="GF1" s="58"/>
      <c r="GG1" s="58"/>
      <c r="GH1" s="58"/>
      <c r="GI1" s="58"/>
      <c r="GJ1" s="58"/>
      <c r="GK1" s="58"/>
      <c r="GL1" s="58"/>
      <c r="GM1" s="58"/>
      <c r="GN1" s="58"/>
      <c r="GO1" s="58"/>
      <c r="GP1" s="58"/>
      <c r="GQ1" s="58"/>
      <c r="GR1" s="58"/>
      <c r="GS1" s="58"/>
      <c r="GT1" s="58"/>
      <c r="GU1" s="58"/>
      <c r="GV1" s="58"/>
      <c r="GW1" s="58"/>
      <c r="GX1" s="58"/>
      <c r="GY1" s="58"/>
      <c r="GZ1" s="58"/>
      <c r="HA1" s="58"/>
      <c r="HB1" s="58"/>
      <c r="HC1" s="58"/>
      <c r="HD1" s="58"/>
      <c r="HE1" s="58"/>
      <c r="HF1" s="58"/>
      <c r="HG1" s="58"/>
      <c r="HH1" s="58"/>
      <c r="HI1" s="58"/>
      <c r="HJ1" s="58"/>
      <c r="HK1" s="58"/>
      <c r="HL1" s="58"/>
      <c r="HM1" s="58"/>
      <c r="HN1" s="58"/>
      <c r="HO1" s="58"/>
      <c r="HP1" s="58"/>
      <c r="HQ1" s="58"/>
      <c r="HR1" s="58"/>
      <c r="HS1" s="58"/>
      <c r="HT1" s="58"/>
      <c r="HU1" s="58"/>
      <c r="HV1" s="58"/>
      <c r="HW1" s="58"/>
      <c r="HX1" s="58"/>
      <c r="HY1" s="58"/>
      <c r="HZ1" s="58"/>
      <c r="IA1" s="58"/>
      <c r="IB1" s="58"/>
      <c r="IC1" s="58"/>
      <c r="ID1" s="58"/>
      <c r="IE1" s="58"/>
      <c r="IF1" s="58"/>
      <c r="IG1" s="58"/>
      <c r="IH1" s="58"/>
      <c r="II1" s="58"/>
      <c r="IJ1" s="58"/>
      <c r="IK1" s="58"/>
      <c r="IL1" s="58"/>
      <c r="IM1" s="58"/>
      <c r="IN1" s="58"/>
      <c r="IO1" s="58"/>
      <c r="IP1" s="58"/>
      <c r="IQ1" s="58"/>
      <c r="IR1" s="58"/>
    </row>
    <row r="2" customFormat="false" ht="21.75" hidden="false" customHeight="true" outlineLevel="0" collapsed="false">
      <c r="A2" s="9"/>
      <c r="B2" s="59" t="s">
        <v>20</v>
      </c>
      <c r="C2" s="60" t="s">
        <v>98</v>
      </c>
      <c r="D2" s="13" t="s">
        <v>22</v>
      </c>
      <c r="E2" s="14" t="s">
        <v>23</v>
      </c>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row>
    <row r="3" customFormat="false" ht="31.5" hidden="false" customHeight="true" outlineLevel="0" collapsed="false">
      <c r="A3" s="15"/>
      <c r="B3" s="16" t="s">
        <v>99</v>
      </c>
      <c r="C3" s="61" t="s">
        <v>100</v>
      </c>
      <c r="D3" s="61"/>
      <c r="E3" s="61"/>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c r="GJ3" s="15"/>
      <c r="GK3" s="15"/>
      <c r="GL3" s="15"/>
      <c r="GM3" s="15"/>
      <c r="GN3" s="15"/>
      <c r="GO3" s="15"/>
      <c r="GP3" s="15"/>
      <c r="GQ3" s="15"/>
      <c r="GR3" s="15"/>
      <c r="GS3" s="15"/>
      <c r="GT3" s="15"/>
      <c r="GU3" s="15"/>
      <c r="GV3" s="15"/>
      <c r="GW3" s="15"/>
      <c r="GX3" s="15"/>
      <c r="GY3" s="15"/>
      <c r="GZ3" s="15"/>
      <c r="HA3" s="15"/>
      <c r="HB3" s="15"/>
      <c r="HC3" s="15"/>
      <c r="HD3" s="15"/>
      <c r="HE3" s="15"/>
      <c r="HF3" s="15"/>
      <c r="HG3" s="15"/>
      <c r="HH3" s="15"/>
      <c r="HI3" s="15"/>
      <c r="HJ3" s="15"/>
      <c r="HK3" s="15"/>
      <c r="HL3" s="15"/>
      <c r="HM3" s="15"/>
      <c r="HN3" s="15"/>
      <c r="HO3" s="15"/>
      <c r="HP3" s="15"/>
      <c r="HQ3" s="15"/>
      <c r="HR3" s="15"/>
      <c r="HS3" s="15"/>
      <c r="HT3" s="15"/>
      <c r="HU3" s="15"/>
      <c r="HV3" s="15"/>
      <c r="HW3" s="15"/>
      <c r="HX3" s="15"/>
      <c r="HY3" s="15"/>
      <c r="HZ3" s="15"/>
      <c r="IA3" s="15"/>
      <c r="IB3" s="15"/>
      <c r="IC3" s="15"/>
      <c r="ID3" s="15"/>
      <c r="IE3" s="15"/>
      <c r="IF3" s="15"/>
      <c r="IG3" s="15"/>
      <c r="IH3" s="15"/>
      <c r="II3" s="15"/>
      <c r="IJ3" s="15"/>
      <c r="IK3" s="15"/>
      <c r="IL3" s="15"/>
      <c r="IM3" s="15"/>
      <c r="IN3" s="15"/>
      <c r="IO3" s="15"/>
      <c r="IP3" s="15"/>
      <c r="IQ3" s="15"/>
      <c r="IR3" s="15"/>
    </row>
    <row r="4" customFormat="false" ht="22.5" hidden="false" customHeight="true" outlineLevel="0" collapsed="false">
      <c r="A4" s="25"/>
      <c r="B4" s="62" t="s">
        <v>101</v>
      </c>
      <c r="C4" s="63" t="s">
        <v>102</v>
      </c>
      <c r="D4" s="28" t="s">
        <v>103</v>
      </c>
      <c r="E4" s="64"/>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25"/>
      <c r="DR4" s="25"/>
      <c r="DS4" s="25"/>
      <c r="DT4" s="25"/>
      <c r="DU4" s="25"/>
      <c r="DV4" s="25"/>
      <c r="DW4" s="25"/>
      <c r="DX4" s="25"/>
      <c r="DY4" s="25"/>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EZ4" s="25"/>
      <c r="FA4" s="25"/>
      <c r="FB4" s="25"/>
      <c r="FC4" s="25"/>
      <c r="FD4" s="25"/>
      <c r="FE4" s="25"/>
      <c r="FF4" s="25"/>
      <c r="FG4" s="25"/>
      <c r="FH4" s="25"/>
      <c r="FI4" s="25"/>
      <c r="FJ4" s="25"/>
      <c r="FK4" s="25"/>
      <c r="FL4" s="25"/>
      <c r="FM4" s="25"/>
      <c r="FN4" s="25"/>
      <c r="FO4" s="25"/>
      <c r="FP4" s="25"/>
      <c r="FQ4" s="25"/>
      <c r="FR4" s="25"/>
      <c r="FS4" s="25"/>
      <c r="FT4" s="25"/>
      <c r="FU4" s="25"/>
      <c r="FV4" s="25"/>
      <c r="FW4" s="25"/>
      <c r="FX4" s="25"/>
      <c r="FY4" s="25"/>
      <c r="FZ4" s="25"/>
      <c r="GA4" s="25"/>
      <c r="GB4" s="25"/>
      <c r="GC4" s="25"/>
      <c r="GD4" s="25"/>
      <c r="GE4" s="25"/>
      <c r="GF4" s="25"/>
      <c r="GG4" s="25"/>
      <c r="GH4" s="25"/>
      <c r="GI4" s="25"/>
      <c r="GJ4" s="25"/>
      <c r="GK4" s="25"/>
      <c r="GL4" s="25"/>
      <c r="GM4" s="25"/>
      <c r="GN4" s="25"/>
      <c r="GO4" s="25"/>
      <c r="GP4" s="25"/>
      <c r="GQ4" s="25"/>
      <c r="GR4" s="25"/>
      <c r="GS4" s="25"/>
      <c r="GT4" s="25"/>
      <c r="GU4" s="25"/>
      <c r="GV4" s="25"/>
      <c r="GW4" s="25"/>
      <c r="GX4" s="25"/>
      <c r="GY4" s="25"/>
      <c r="GZ4" s="25"/>
      <c r="HA4" s="25"/>
      <c r="HB4" s="25"/>
      <c r="HC4" s="25"/>
      <c r="HD4" s="25"/>
      <c r="HE4" s="25"/>
      <c r="HF4" s="25"/>
      <c r="HG4" s="25"/>
      <c r="HH4" s="25"/>
      <c r="HI4" s="25"/>
      <c r="HJ4" s="25"/>
      <c r="HK4" s="25"/>
      <c r="HL4" s="25"/>
      <c r="HM4" s="25"/>
      <c r="HN4" s="25"/>
      <c r="HO4" s="25"/>
      <c r="HP4" s="25"/>
      <c r="HQ4" s="25"/>
      <c r="HR4" s="25"/>
      <c r="HS4" s="25"/>
      <c r="HT4" s="25"/>
      <c r="HU4" s="25"/>
      <c r="HV4" s="25"/>
      <c r="HW4" s="25"/>
      <c r="HX4" s="25"/>
      <c r="HY4" s="25"/>
      <c r="HZ4" s="25"/>
      <c r="IA4" s="25"/>
      <c r="IB4" s="25"/>
      <c r="IC4" s="25"/>
      <c r="ID4" s="25"/>
      <c r="IE4" s="25"/>
      <c r="IF4" s="25"/>
      <c r="IG4" s="25"/>
      <c r="IH4" s="25"/>
      <c r="II4" s="25"/>
      <c r="IJ4" s="25"/>
      <c r="IK4" s="25"/>
      <c r="IL4" s="25"/>
      <c r="IM4" s="25"/>
      <c r="IN4" s="25"/>
      <c r="IO4" s="25"/>
      <c r="IP4" s="25"/>
      <c r="IQ4" s="25"/>
      <c r="IR4" s="25"/>
    </row>
    <row r="5" customFormat="false" ht="22.5" hidden="false" customHeight="true" outlineLevel="0" collapsed="false">
      <c r="A5" s="25"/>
      <c r="B5" s="62" t="s">
        <v>104</v>
      </c>
      <c r="C5" s="63" t="s">
        <v>105</v>
      </c>
      <c r="D5" s="28" t="s">
        <v>103</v>
      </c>
      <c r="E5" s="64"/>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c r="DP5" s="25"/>
      <c r="DQ5" s="25"/>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c r="ET5" s="25"/>
      <c r="EU5" s="25"/>
      <c r="EV5" s="25"/>
      <c r="EW5" s="25"/>
      <c r="EX5" s="25"/>
      <c r="EY5" s="25"/>
      <c r="EZ5" s="25"/>
      <c r="FA5" s="25"/>
      <c r="FB5" s="25"/>
      <c r="FC5" s="25"/>
      <c r="FD5" s="25"/>
      <c r="FE5" s="25"/>
      <c r="FF5" s="25"/>
      <c r="FG5" s="25"/>
      <c r="FH5" s="25"/>
      <c r="FI5" s="25"/>
      <c r="FJ5" s="25"/>
      <c r="FK5" s="25"/>
      <c r="FL5" s="25"/>
      <c r="FM5" s="25"/>
      <c r="FN5" s="25"/>
      <c r="FO5" s="25"/>
      <c r="FP5" s="25"/>
      <c r="FQ5" s="25"/>
      <c r="FR5" s="25"/>
      <c r="FS5" s="25"/>
      <c r="FT5" s="25"/>
      <c r="FU5" s="25"/>
      <c r="FV5" s="25"/>
      <c r="FW5" s="25"/>
      <c r="FX5" s="25"/>
      <c r="FY5" s="25"/>
      <c r="FZ5" s="25"/>
      <c r="GA5" s="25"/>
      <c r="GB5" s="25"/>
      <c r="GC5" s="25"/>
      <c r="GD5" s="25"/>
      <c r="GE5" s="25"/>
      <c r="GF5" s="25"/>
      <c r="GG5" s="25"/>
      <c r="GH5" s="25"/>
      <c r="GI5" s="25"/>
      <c r="GJ5" s="25"/>
      <c r="GK5" s="25"/>
      <c r="GL5" s="25"/>
      <c r="GM5" s="25"/>
      <c r="GN5" s="25"/>
      <c r="GO5" s="25"/>
      <c r="GP5" s="25"/>
      <c r="GQ5" s="25"/>
      <c r="GR5" s="25"/>
      <c r="GS5" s="25"/>
      <c r="GT5" s="25"/>
      <c r="GU5" s="25"/>
      <c r="GV5" s="25"/>
      <c r="GW5" s="25"/>
      <c r="GX5" s="25"/>
      <c r="GY5" s="25"/>
      <c r="GZ5" s="25"/>
      <c r="HA5" s="25"/>
      <c r="HB5" s="25"/>
      <c r="HC5" s="25"/>
      <c r="HD5" s="25"/>
      <c r="HE5" s="25"/>
      <c r="HF5" s="25"/>
      <c r="HG5" s="25"/>
      <c r="HH5" s="25"/>
      <c r="HI5" s="25"/>
      <c r="HJ5" s="25"/>
      <c r="HK5" s="25"/>
      <c r="HL5" s="25"/>
      <c r="HM5" s="25"/>
      <c r="HN5" s="25"/>
      <c r="HO5" s="25"/>
      <c r="HP5" s="25"/>
      <c r="HQ5" s="25"/>
      <c r="HR5" s="25"/>
      <c r="HS5" s="25"/>
      <c r="HT5" s="25"/>
      <c r="HU5" s="25"/>
      <c r="HV5" s="25"/>
      <c r="HW5" s="25"/>
      <c r="HX5" s="25"/>
      <c r="HY5" s="25"/>
      <c r="HZ5" s="25"/>
      <c r="IA5" s="25"/>
      <c r="IB5" s="25"/>
      <c r="IC5" s="25"/>
      <c r="ID5" s="25"/>
      <c r="IE5" s="25"/>
      <c r="IF5" s="25"/>
      <c r="IG5" s="25"/>
      <c r="IH5" s="25"/>
      <c r="II5" s="25"/>
      <c r="IJ5" s="25"/>
      <c r="IK5" s="25"/>
      <c r="IL5" s="25"/>
      <c r="IM5" s="25"/>
      <c r="IN5" s="25"/>
      <c r="IO5" s="25"/>
      <c r="IP5" s="25"/>
      <c r="IQ5" s="25"/>
      <c r="IR5" s="25"/>
    </row>
    <row r="6" customFormat="false" ht="22.5" hidden="false" customHeight="true" outlineLevel="0" collapsed="false">
      <c r="A6" s="25"/>
      <c r="B6" s="62" t="s">
        <v>106</v>
      </c>
      <c r="C6" s="63" t="s">
        <v>107</v>
      </c>
      <c r="D6" s="28" t="s">
        <v>103</v>
      </c>
      <c r="E6" s="64"/>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c r="DE6" s="25"/>
      <c r="DF6" s="25"/>
      <c r="DG6" s="25"/>
      <c r="DH6" s="25"/>
      <c r="DI6" s="25"/>
      <c r="DJ6" s="25"/>
      <c r="DK6" s="25"/>
      <c r="DL6" s="25"/>
      <c r="DM6" s="25"/>
      <c r="DN6" s="25"/>
      <c r="DO6" s="25"/>
      <c r="DP6" s="25"/>
      <c r="DQ6" s="25"/>
      <c r="DR6" s="25"/>
      <c r="DS6" s="25"/>
      <c r="DT6" s="25"/>
      <c r="DU6" s="25"/>
      <c r="DV6" s="25"/>
      <c r="DW6" s="25"/>
      <c r="DX6" s="25"/>
      <c r="DY6" s="25"/>
      <c r="DZ6" s="25"/>
      <c r="EA6" s="25"/>
      <c r="EB6" s="25"/>
      <c r="EC6" s="25"/>
      <c r="ED6" s="25"/>
      <c r="EE6" s="25"/>
      <c r="EF6" s="25"/>
      <c r="EG6" s="25"/>
      <c r="EH6" s="25"/>
      <c r="EI6" s="25"/>
      <c r="EJ6" s="25"/>
      <c r="EK6" s="25"/>
      <c r="EL6" s="25"/>
      <c r="EM6" s="25"/>
      <c r="EN6" s="25"/>
      <c r="EO6" s="25"/>
      <c r="EP6" s="25"/>
      <c r="EQ6" s="25"/>
      <c r="ER6" s="25"/>
      <c r="ES6" s="25"/>
      <c r="ET6" s="25"/>
      <c r="EU6" s="25"/>
      <c r="EV6" s="25"/>
      <c r="EW6" s="25"/>
      <c r="EX6" s="25"/>
      <c r="EY6" s="25"/>
      <c r="EZ6" s="25"/>
      <c r="FA6" s="25"/>
      <c r="FB6" s="25"/>
      <c r="FC6" s="25"/>
      <c r="FD6" s="25"/>
      <c r="FE6" s="25"/>
      <c r="FF6" s="25"/>
      <c r="FG6" s="25"/>
      <c r="FH6" s="25"/>
      <c r="FI6" s="25"/>
      <c r="FJ6" s="25"/>
      <c r="FK6" s="25"/>
      <c r="FL6" s="25"/>
      <c r="FM6" s="25"/>
      <c r="FN6" s="25"/>
      <c r="FO6" s="25"/>
      <c r="FP6" s="25"/>
      <c r="FQ6" s="25"/>
      <c r="FR6" s="25"/>
      <c r="FS6" s="25"/>
      <c r="FT6" s="25"/>
      <c r="FU6" s="25"/>
      <c r="FV6" s="25"/>
      <c r="FW6" s="25"/>
      <c r="FX6" s="25"/>
      <c r="FY6" s="25"/>
      <c r="FZ6" s="25"/>
      <c r="GA6" s="25"/>
      <c r="GB6" s="25"/>
      <c r="GC6" s="25"/>
      <c r="GD6" s="25"/>
      <c r="GE6" s="25"/>
      <c r="GF6" s="25"/>
      <c r="GG6" s="25"/>
      <c r="GH6" s="25"/>
      <c r="GI6" s="25"/>
      <c r="GJ6" s="25"/>
      <c r="GK6" s="25"/>
      <c r="GL6" s="25"/>
      <c r="GM6" s="25"/>
      <c r="GN6" s="25"/>
      <c r="GO6" s="25"/>
      <c r="GP6" s="25"/>
      <c r="GQ6" s="25"/>
      <c r="GR6" s="25"/>
      <c r="GS6" s="25"/>
      <c r="GT6" s="25"/>
      <c r="GU6" s="25"/>
      <c r="GV6" s="25"/>
      <c r="GW6" s="25"/>
      <c r="GX6" s="25"/>
      <c r="GY6" s="25"/>
      <c r="GZ6" s="25"/>
      <c r="HA6" s="25"/>
      <c r="HB6" s="25"/>
      <c r="HC6" s="25"/>
      <c r="HD6" s="25"/>
      <c r="HE6" s="25"/>
      <c r="HF6" s="25"/>
      <c r="HG6" s="25"/>
      <c r="HH6" s="25"/>
      <c r="HI6" s="25"/>
      <c r="HJ6" s="25"/>
      <c r="HK6" s="25"/>
      <c r="HL6" s="25"/>
      <c r="HM6" s="25"/>
      <c r="HN6" s="25"/>
      <c r="HO6" s="25"/>
      <c r="HP6" s="25"/>
      <c r="HQ6" s="25"/>
      <c r="HR6" s="25"/>
      <c r="HS6" s="25"/>
      <c r="HT6" s="25"/>
      <c r="HU6" s="25"/>
      <c r="HV6" s="25"/>
      <c r="HW6" s="25"/>
      <c r="HX6" s="25"/>
      <c r="HY6" s="25"/>
      <c r="HZ6" s="25"/>
      <c r="IA6" s="25"/>
      <c r="IB6" s="25"/>
      <c r="IC6" s="25"/>
      <c r="ID6" s="25"/>
      <c r="IE6" s="25"/>
      <c r="IF6" s="25"/>
      <c r="IG6" s="25"/>
      <c r="IH6" s="25"/>
      <c r="II6" s="25"/>
      <c r="IJ6" s="25"/>
      <c r="IK6" s="25"/>
      <c r="IL6" s="25"/>
      <c r="IM6" s="25"/>
      <c r="IN6" s="25"/>
      <c r="IO6" s="25"/>
      <c r="IP6" s="25"/>
      <c r="IQ6" s="25"/>
      <c r="IR6" s="25"/>
    </row>
    <row r="7" customFormat="false" ht="22.5" hidden="false" customHeight="true" outlineLevel="0" collapsed="false">
      <c r="A7" s="25"/>
      <c r="B7" s="62" t="s">
        <v>108</v>
      </c>
      <c r="C7" s="63" t="s">
        <v>109</v>
      </c>
      <c r="D7" s="28" t="s">
        <v>103</v>
      </c>
      <c r="E7" s="64"/>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c r="DM7" s="25"/>
      <c r="DN7" s="25"/>
      <c r="DO7" s="25"/>
      <c r="DP7" s="25"/>
      <c r="DQ7" s="25"/>
      <c r="DR7" s="25"/>
      <c r="DS7" s="25"/>
      <c r="DT7" s="25"/>
      <c r="DU7" s="25"/>
      <c r="DV7" s="25"/>
      <c r="DW7" s="25"/>
      <c r="DX7" s="25"/>
      <c r="DY7" s="25"/>
      <c r="DZ7" s="25"/>
      <c r="EA7" s="25"/>
      <c r="EB7" s="25"/>
      <c r="EC7" s="25"/>
      <c r="ED7" s="25"/>
      <c r="EE7" s="25"/>
      <c r="EF7" s="25"/>
      <c r="EG7" s="25"/>
      <c r="EH7" s="25"/>
      <c r="EI7" s="25"/>
      <c r="EJ7" s="25"/>
      <c r="EK7" s="25"/>
      <c r="EL7" s="25"/>
      <c r="EM7" s="25"/>
      <c r="EN7" s="25"/>
      <c r="EO7" s="25"/>
      <c r="EP7" s="25"/>
      <c r="EQ7" s="25"/>
      <c r="ER7" s="25"/>
      <c r="ES7" s="25"/>
      <c r="ET7" s="25"/>
      <c r="EU7" s="25"/>
      <c r="EV7" s="25"/>
      <c r="EW7" s="25"/>
      <c r="EX7" s="25"/>
      <c r="EY7" s="25"/>
      <c r="EZ7" s="25"/>
      <c r="FA7" s="25"/>
      <c r="FB7" s="25"/>
      <c r="FC7" s="25"/>
      <c r="FD7" s="25"/>
      <c r="FE7" s="25"/>
      <c r="FF7" s="25"/>
      <c r="FG7" s="25"/>
      <c r="FH7" s="25"/>
      <c r="FI7" s="25"/>
      <c r="FJ7" s="25"/>
      <c r="FK7" s="25"/>
      <c r="FL7" s="25"/>
      <c r="FM7" s="25"/>
      <c r="FN7" s="25"/>
      <c r="FO7" s="25"/>
      <c r="FP7" s="25"/>
      <c r="FQ7" s="25"/>
      <c r="FR7" s="25"/>
      <c r="FS7" s="25"/>
      <c r="FT7" s="25"/>
      <c r="FU7" s="25"/>
      <c r="FV7" s="25"/>
      <c r="FW7" s="25"/>
      <c r="FX7" s="25"/>
      <c r="FY7" s="25"/>
      <c r="FZ7" s="25"/>
      <c r="GA7" s="25"/>
      <c r="GB7" s="25"/>
      <c r="GC7" s="25"/>
      <c r="GD7" s="25"/>
      <c r="GE7" s="25"/>
      <c r="GF7" s="25"/>
      <c r="GG7" s="25"/>
      <c r="GH7" s="25"/>
      <c r="GI7" s="25"/>
      <c r="GJ7" s="25"/>
      <c r="GK7" s="25"/>
      <c r="GL7" s="25"/>
      <c r="GM7" s="25"/>
      <c r="GN7" s="25"/>
      <c r="GO7" s="25"/>
      <c r="GP7" s="25"/>
      <c r="GQ7" s="25"/>
      <c r="GR7" s="25"/>
      <c r="GS7" s="25"/>
      <c r="GT7" s="25"/>
      <c r="GU7" s="25"/>
      <c r="GV7" s="25"/>
      <c r="GW7" s="25"/>
      <c r="GX7" s="25"/>
      <c r="GY7" s="25"/>
      <c r="GZ7" s="25"/>
      <c r="HA7" s="25"/>
      <c r="HB7" s="25"/>
      <c r="HC7" s="25"/>
      <c r="HD7" s="25"/>
      <c r="HE7" s="25"/>
      <c r="HF7" s="25"/>
      <c r="HG7" s="25"/>
      <c r="HH7" s="25"/>
      <c r="HI7" s="25"/>
      <c r="HJ7" s="25"/>
      <c r="HK7" s="25"/>
      <c r="HL7" s="25"/>
      <c r="HM7" s="25"/>
      <c r="HN7" s="25"/>
      <c r="HO7" s="25"/>
      <c r="HP7" s="25"/>
      <c r="HQ7" s="25"/>
      <c r="HR7" s="25"/>
      <c r="HS7" s="25"/>
      <c r="HT7" s="25"/>
      <c r="HU7" s="25"/>
      <c r="HV7" s="25"/>
      <c r="HW7" s="25"/>
      <c r="HX7" s="25"/>
      <c r="HY7" s="25"/>
      <c r="HZ7" s="25"/>
      <c r="IA7" s="25"/>
      <c r="IB7" s="25"/>
      <c r="IC7" s="25"/>
      <c r="ID7" s="25"/>
      <c r="IE7" s="25"/>
      <c r="IF7" s="25"/>
      <c r="IG7" s="25"/>
      <c r="IH7" s="25"/>
      <c r="II7" s="25"/>
      <c r="IJ7" s="25"/>
      <c r="IK7" s="25"/>
      <c r="IL7" s="25"/>
      <c r="IM7" s="25"/>
      <c r="IN7" s="25"/>
      <c r="IO7" s="25"/>
      <c r="IP7" s="25"/>
      <c r="IQ7" s="25"/>
      <c r="IR7" s="25"/>
    </row>
    <row r="8" customFormat="false" ht="22.5" hidden="false" customHeight="true" outlineLevel="0" collapsed="false">
      <c r="A8" s="25"/>
      <c r="B8" s="62" t="s">
        <v>110</v>
      </c>
      <c r="C8" s="63" t="s">
        <v>111</v>
      </c>
      <c r="D8" s="28" t="s">
        <v>103</v>
      </c>
      <c r="E8" s="64"/>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row>
    <row r="9" customFormat="false" ht="22.5" hidden="false" customHeight="true" outlineLevel="0" collapsed="false">
      <c r="A9" s="25"/>
      <c r="B9" s="62" t="s">
        <v>112</v>
      </c>
      <c r="C9" s="63" t="s">
        <v>113</v>
      </c>
      <c r="D9" s="28" t="s">
        <v>103</v>
      </c>
      <c r="E9" s="64"/>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row>
    <row r="10" customFormat="false" ht="22.5" hidden="false" customHeight="true" outlineLevel="0" collapsed="false">
      <c r="A10" s="25"/>
      <c r="B10" s="62" t="s">
        <v>114</v>
      </c>
      <c r="C10" s="63" t="s">
        <v>115</v>
      </c>
      <c r="D10" s="28" t="s">
        <v>103</v>
      </c>
      <c r="E10" s="64"/>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row>
    <row r="11" customFormat="false" ht="22.5" hidden="false" customHeight="true" outlineLevel="0" collapsed="false">
      <c r="A11" s="25"/>
      <c r="B11" s="62" t="s">
        <v>116</v>
      </c>
      <c r="C11" s="63" t="s">
        <v>117</v>
      </c>
      <c r="D11" s="28" t="s">
        <v>103</v>
      </c>
      <c r="E11" s="64"/>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row>
    <row r="12" customFormat="false" ht="22.5" hidden="false" customHeight="true" outlineLevel="0" collapsed="false">
      <c r="A12" s="25"/>
      <c r="B12" s="62" t="s">
        <v>118</v>
      </c>
      <c r="C12" s="63" t="s">
        <v>119</v>
      </c>
      <c r="D12" s="28" t="s">
        <v>103</v>
      </c>
      <c r="E12" s="64"/>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row>
    <row r="13" customFormat="false" ht="22.5" hidden="false" customHeight="true" outlineLevel="0" collapsed="false">
      <c r="A13" s="25"/>
      <c r="B13" s="62" t="s">
        <v>120</v>
      </c>
      <c r="C13" s="63" t="s">
        <v>121</v>
      </c>
      <c r="D13" s="28" t="s">
        <v>103</v>
      </c>
      <c r="E13" s="64"/>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row>
    <row r="14" customFormat="false" ht="22.5" hidden="false" customHeight="true" outlineLevel="0" collapsed="false">
      <c r="A14" s="25"/>
      <c r="B14" s="62" t="s">
        <v>122</v>
      </c>
      <c r="C14" s="63" t="s">
        <v>123</v>
      </c>
      <c r="D14" s="28" t="s">
        <v>103</v>
      </c>
      <c r="E14" s="64"/>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row>
    <row r="15" customFormat="false" ht="22.5" hidden="false" customHeight="true" outlineLevel="0" collapsed="false">
      <c r="A15" s="25"/>
      <c r="B15" s="62" t="s">
        <v>124</v>
      </c>
      <c r="C15" s="63" t="s">
        <v>125</v>
      </c>
      <c r="D15" s="28" t="s">
        <v>103</v>
      </c>
      <c r="E15" s="64"/>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row>
    <row r="16" customFormat="false" ht="22.5" hidden="false" customHeight="true" outlineLevel="0" collapsed="false">
      <c r="A16" s="25"/>
      <c r="B16" s="62" t="s">
        <v>126</v>
      </c>
      <c r="C16" s="63" t="s">
        <v>127</v>
      </c>
      <c r="D16" s="28" t="s">
        <v>103</v>
      </c>
      <c r="E16" s="64"/>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row>
    <row r="17" customFormat="false" ht="22.5" hidden="false" customHeight="true" outlineLevel="0" collapsed="false">
      <c r="A17" s="25"/>
      <c r="B17" s="62" t="s">
        <v>128</v>
      </c>
      <c r="C17" s="63" t="s">
        <v>129</v>
      </c>
      <c r="D17" s="28" t="s">
        <v>103</v>
      </c>
      <c r="E17" s="64"/>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row>
    <row r="18" customFormat="false" ht="22.5" hidden="false" customHeight="true" outlineLevel="0" collapsed="false">
      <c r="A18" s="25"/>
      <c r="B18" s="62" t="s">
        <v>130</v>
      </c>
      <c r="C18" s="63" t="s">
        <v>131</v>
      </c>
      <c r="D18" s="28" t="s">
        <v>103</v>
      </c>
      <c r="E18" s="64"/>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row>
    <row r="19" customFormat="false" ht="22.5" hidden="false" customHeight="true" outlineLevel="0" collapsed="false">
      <c r="A19" s="25"/>
      <c r="B19" s="62" t="s">
        <v>132</v>
      </c>
      <c r="C19" s="63" t="s">
        <v>133</v>
      </c>
      <c r="D19" s="28" t="s">
        <v>103</v>
      </c>
      <c r="E19" s="64"/>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row>
    <row r="20" customFormat="false" ht="22.5" hidden="false" customHeight="true" outlineLevel="0" collapsed="false">
      <c r="A20" s="25"/>
      <c r="B20" s="62" t="s">
        <v>134</v>
      </c>
      <c r="C20" s="63" t="s">
        <v>135</v>
      </c>
      <c r="D20" s="28" t="s">
        <v>103</v>
      </c>
      <c r="E20" s="64"/>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row>
    <row r="21" customFormat="false" ht="22.5" hidden="false" customHeight="true" outlineLevel="0" collapsed="false">
      <c r="A21" s="25"/>
      <c r="B21" s="62" t="s">
        <v>136</v>
      </c>
      <c r="C21" s="63" t="s">
        <v>137</v>
      </c>
      <c r="D21" s="28" t="s">
        <v>103</v>
      </c>
      <c r="E21" s="64"/>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row>
    <row r="22" customFormat="false" ht="22.5" hidden="false" customHeight="true" outlineLevel="0" collapsed="false">
      <c r="A22" s="25"/>
      <c r="B22" s="62" t="s">
        <v>138</v>
      </c>
      <c r="C22" s="63" t="s">
        <v>139</v>
      </c>
      <c r="D22" s="28" t="s">
        <v>103</v>
      </c>
      <c r="E22" s="64"/>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row>
    <row r="23" customFormat="false" ht="22.5" hidden="false" customHeight="true" outlineLevel="0" collapsed="false">
      <c r="A23" s="25"/>
      <c r="B23" s="62" t="s">
        <v>140</v>
      </c>
      <c r="C23" s="63" t="s">
        <v>141</v>
      </c>
      <c r="D23" s="28" t="s">
        <v>103</v>
      </c>
      <c r="E23" s="64"/>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row>
    <row r="24" customFormat="false" ht="34.3" hidden="false" customHeight="false" outlineLevel="0" collapsed="false">
      <c r="A24" s="25"/>
      <c r="B24" s="62" t="s">
        <v>142</v>
      </c>
      <c r="C24" s="65" t="s">
        <v>143</v>
      </c>
      <c r="D24" s="28" t="s">
        <v>103</v>
      </c>
      <c r="E24" s="64"/>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row>
    <row r="25" customFormat="false" ht="22.5" hidden="false" customHeight="true" outlineLevel="0" collapsed="false">
      <c r="A25" s="25"/>
      <c r="B25" s="62" t="s">
        <v>144</v>
      </c>
      <c r="C25" s="63" t="s">
        <v>145</v>
      </c>
      <c r="D25" s="28" t="s">
        <v>103</v>
      </c>
      <c r="E25" s="64"/>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row>
    <row r="26" customFormat="false" ht="22.5" hidden="false" customHeight="true" outlineLevel="0" collapsed="false">
      <c r="A26" s="25"/>
      <c r="B26" s="62" t="s">
        <v>146</v>
      </c>
      <c r="C26" s="63" t="s">
        <v>147</v>
      </c>
      <c r="D26" s="28" t="s">
        <v>103</v>
      </c>
      <c r="E26" s="64"/>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row>
    <row r="27" customFormat="false" ht="22.5" hidden="false" customHeight="true" outlineLevel="0" collapsed="false">
      <c r="A27" s="25"/>
      <c r="B27" s="62" t="s">
        <v>148</v>
      </c>
      <c r="C27" s="63" t="s">
        <v>149</v>
      </c>
      <c r="D27" s="28" t="s">
        <v>103</v>
      </c>
      <c r="E27" s="64"/>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row>
    <row r="28" customFormat="false" ht="22.5" hidden="false" customHeight="true" outlineLevel="0" collapsed="false">
      <c r="A28" s="25"/>
      <c r="B28" s="62" t="s">
        <v>150</v>
      </c>
      <c r="C28" s="63" t="s">
        <v>151</v>
      </c>
      <c r="D28" s="28" t="s">
        <v>103</v>
      </c>
      <c r="E28" s="64"/>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row>
    <row r="29" customFormat="false" ht="22.5" hidden="false" customHeight="true" outlineLevel="0" collapsed="false">
      <c r="A29" s="25"/>
      <c r="B29" s="62" t="s">
        <v>152</v>
      </c>
      <c r="C29" s="63" t="s">
        <v>153</v>
      </c>
      <c r="D29" s="28" t="s">
        <v>103</v>
      </c>
      <c r="E29" s="64"/>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row>
    <row r="30" customFormat="false" ht="22.5" hidden="false" customHeight="true" outlineLevel="0" collapsed="false">
      <c r="A30" s="25"/>
      <c r="B30" s="62" t="s">
        <v>154</v>
      </c>
      <c r="C30" s="63" t="s">
        <v>155</v>
      </c>
      <c r="D30" s="28" t="s">
        <v>103</v>
      </c>
      <c r="E30" s="64"/>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row>
    <row r="31" customFormat="false" ht="22.5" hidden="false" customHeight="true" outlineLevel="0" collapsed="false">
      <c r="A31" s="25"/>
      <c r="B31" s="62" t="s">
        <v>156</v>
      </c>
      <c r="C31" s="63" t="s">
        <v>157</v>
      </c>
      <c r="D31" s="28" t="s">
        <v>103</v>
      </c>
      <c r="E31" s="64"/>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row>
    <row r="32" customFormat="false" ht="22.5" hidden="false" customHeight="true" outlineLevel="0" collapsed="false">
      <c r="A32" s="25"/>
      <c r="B32" s="62" t="s">
        <v>158</v>
      </c>
      <c r="C32" s="63" t="s">
        <v>159</v>
      </c>
      <c r="D32" s="28" t="s">
        <v>103</v>
      </c>
      <c r="E32" s="64"/>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c r="FY32" s="25"/>
      <c r="FZ32" s="25"/>
      <c r="GA32" s="25"/>
      <c r="GB32" s="25"/>
      <c r="GC32" s="25"/>
      <c r="GD32" s="25"/>
      <c r="GE32" s="25"/>
      <c r="GF32" s="25"/>
      <c r="GG32" s="25"/>
      <c r="GH32" s="25"/>
      <c r="GI32" s="25"/>
      <c r="GJ32" s="25"/>
      <c r="GK32" s="25"/>
      <c r="GL32" s="25"/>
      <c r="GM32" s="25"/>
      <c r="GN32" s="25"/>
      <c r="GO32" s="25"/>
      <c r="GP32" s="25"/>
      <c r="GQ32" s="25"/>
      <c r="GR32" s="25"/>
      <c r="GS32" s="25"/>
      <c r="GT32" s="25"/>
      <c r="GU32" s="25"/>
      <c r="GV32" s="25"/>
      <c r="GW32" s="25"/>
      <c r="GX32" s="25"/>
      <c r="GY32" s="25"/>
      <c r="GZ32" s="25"/>
      <c r="HA32" s="25"/>
      <c r="HB32" s="25"/>
      <c r="HC32" s="25"/>
      <c r="HD32" s="25"/>
      <c r="HE32" s="25"/>
      <c r="HF32" s="25"/>
      <c r="HG32" s="25"/>
      <c r="HH32" s="25"/>
      <c r="HI32" s="25"/>
      <c r="HJ32" s="25"/>
      <c r="HK32" s="25"/>
      <c r="HL32" s="25"/>
      <c r="HM32" s="25"/>
      <c r="HN32" s="25"/>
      <c r="HO32" s="25"/>
      <c r="HP32" s="25"/>
      <c r="HQ32" s="25"/>
      <c r="HR32" s="25"/>
      <c r="HS32" s="25"/>
      <c r="HT32" s="25"/>
      <c r="HU32" s="25"/>
      <c r="HV32" s="25"/>
      <c r="HW32" s="25"/>
      <c r="HX32" s="25"/>
      <c r="HY32" s="25"/>
      <c r="HZ32" s="25"/>
      <c r="IA32" s="25"/>
      <c r="IB32" s="25"/>
      <c r="IC32" s="25"/>
      <c r="ID32" s="25"/>
      <c r="IE32" s="25"/>
      <c r="IF32" s="25"/>
      <c r="IG32" s="25"/>
      <c r="IH32" s="25"/>
      <c r="II32" s="25"/>
      <c r="IJ32" s="25"/>
      <c r="IK32" s="25"/>
      <c r="IL32" s="25"/>
      <c r="IM32" s="25"/>
      <c r="IN32" s="25"/>
      <c r="IO32" s="25"/>
      <c r="IP32" s="25"/>
      <c r="IQ32" s="25"/>
      <c r="IR32" s="25"/>
    </row>
    <row r="33" customFormat="false" ht="22.5" hidden="false" customHeight="true" outlineLevel="0" collapsed="false">
      <c r="A33" s="25"/>
      <c r="B33" s="62" t="s">
        <v>160</v>
      </c>
      <c r="C33" s="63" t="s">
        <v>161</v>
      </c>
      <c r="D33" s="28" t="s">
        <v>103</v>
      </c>
      <c r="E33" s="64"/>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c r="FY33" s="25"/>
      <c r="FZ33" s="25"/>
      <c r="GA33" s="25"/>
      <c r="GB33" s="25"/>
      <c r="GC33" s="25"/>
      <c r="GD33" s="25"/>
      <c r="GE33" s="25"/>
      <c r="GF33" s="25"/>
      <c r="GG33" s="25"/>
      <c r="GH33" s="25"/>
      <c r="GI33" s="25"/>
      <c r="GJ33" s="25"/>
      <c r="GK33" s="25"/>
      <c r="GL33" s="25"/>
      <c r="GM33" s="25"/>
      <c r="GN33" s="25"/>
      <c r="GO33" s="25"/>
      <c r="GP33" s="25"/>
      <c r="GQ33" s="25"/>
      <c r="GR33" s="25"/>
      <c r="GS33" s="25"/>
      <c r="GT33" s="25"/>
      <c r="GU33" s="25"/>
      <c r="GV33" s="25"/>
      <c r="GW33" s="25"/>
      <c r="GX33" s="25"/>
      <c r="GY33" s="25"/>
      <c r="GZ33" s="25"/>
      <c r="HA33" s="25"/>
      <c r="HB33" s="25"/>
      <c r="HC33" s="25"/>
      <c r="HD33" s="25"/>
      <c r="HE33" s="25"/>
      <c r="HF33" s="25"/>
      <c r="HG33" s="25"/>
      <c r="HH33" s="25"/>
      <c r="HI33" s="25"/>
      <c r="HJ33" s="25"/>
      <c r="HK33" s="25"/>
      <c r="HL33" s="25"/>
      <c r="HM33" s="25"/>
      <c r="HN33" s="25"/>
      <c r="HO33" s="25"/>
      <c r="HP33" s="25"/>
      <c r="HQ33" s="25"/>
      <c r="HR33" s="25"/>
      <c r="HS33" s="25"/>
      <c r="HT33" s="25"/>
      <c r="HU33" s="25"/>
      <c r="HV33" s="25"/>
      <c r="HW33" s="25"/>
      <c r="HX33" s="25"/>
      <c r="HY33" s="25"/>
      <c r="HZ33" s="25"/>
      <c r="IA33" s="25"/>
      <c r="IB33" s="25"/>
      <c r="IC33" s="25"/>
      <c r="ID33" s="25"/>
      <c r="IE33" s="25"/>
      <c r="IF33" s="25"/>
      <c r="IG33" s="25"/>
      <c r="IH33" s="25"/>
      <c r="II33" s="25"/>
      <c r="IJ33" s="25"/>
      <c r="IK33" s="25"/>
      <c r="IL33" s="25"/>
      <c r="IM33" s="25"/>
      <c r="IN33" s="25"/>
      <c r="IO33" s="25"/>
      <c r="IP33" s="25"/>
      <c r="IQ33" s="25"/>
      <c r="IR33" s="25"/>
    </row>
    <row r="34" customFormat="false" ht="22.5" hidden="false" customHeight="true" outlineLevel="0" collapsed="false">
      <c r="A34" s="25"/>
      <c r="B34" s="62" t="s">
        <v>162</v>
      </c>
      <c r="C34" s="63" t="s">
        <v>163</v>
      </c>
      <c r="D34" s="28" t="s">
        <v>103</v>
      </c>
      <c r="E34" s="64"/>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c r="FY34" s="25"/>
      <c r="FZ34" s="25"/>
      <c r="GA34" s="25"/>
      <c r="GB34" s="25"/>
      <c r="GC34" s="25"/>
      <c r="GD34" s="25"/>
      <c r="GE34" s="25"/>
      <c r="GF34" s="25"/>
      <c r="GG34" s="25"/>
      <c r="GH34" s="25"/>
      <c r="GI34" s="25"/>
      <c r="GJ34" s="25"/>
      <c r="GK34" s="25"/>
      <c r="GL34" s="25"/>
      <c r="GM34" s="25"/>
      <c r="GN34" s="25"/>
      <c r="GO34" s="25"/>
      <c r="GP34" s="25"/>
      <c r="GQ34" s="25"/>
      <c r="GR34" s="25"/>
      <c r="GS34" s="25"/>
      <c r="GT34" s="25"/>
      <c r="GU34" s="25"/>
      <c r="GV34" s="25"/>
      <c r="GW34" s="25"/>
      <c r="GX34" s="25"/>
      <c r="GY34" s="25"/>
      <c r="GZ34" s="25"/>
      <c r="HA34" s="25"/>
      <c r="HB34" s="25"/>
      <c r="HC34" s="25"/>
      <c r="HD34" s="25"/>
      <c r="HE34" s="25"/>
      <c r="HF34" s="25"/>
      <c r="HG34" s="25"/>
      <c r="HH34" s="25"/>
      <c r="HI34" s="25"/>
      <c r="HJ34" s="25"/>
      <c r="HK34" s="25"/>
      <c r="HL34" s="25"/>
      <c r="HM34" s="25"/>
      <c r="HN34" s="25"/>
      <c r="HO34" s="25"/>
      <c r="HP34" s="25"/>
      <c r="HQ34" s="25"/>
      <c r="HR34" s="25"/>
      <c r="HS34" s="25"/>
      <c r="HT34" s="25"/>
      <c r="HU34" s="25"/>
      <c r="HV34" s="25"/>
      <c r="HW34" s="25"/>
      <c r="HX34" s="25"/>
      <c r="HY34" s="25"/>
      <c r="HZ34" s="25"/>
      <c r="IA34" s="25"/>
      <c r="IB34" s="25"/>
      <c r="IC34" s="25"/>
      <c r="ID34" s="25"/>
      <c r="IE34" s="25"/>
      <c r="IF34" s="25"/>
      <c r="IG34" s="25"/>
      <c r="IH34" s="25"/>
      <c r="II34" s="25"/>
      <c r="IJ34" s="25"/>
      <c r="IK34" s="25"/>
      <c r="IL34" s="25"/>
      <c r="IM34" s="25"/>
      <c r="IN34" s="25"/>
      <c r="IO34" s="25"/>
      <c r="IP34" s="25"/>
      <c r="IQ34" s="25"/>
      <c r="IR34" s="25"/>
    </row>
    <row r="35" customFormat="false" ht="22.5" hidden="false" customHeight="true" outlineLevel="0" collapsed="false">
      <c r="A35" s="25"/>
      <c r="B35" s="62" t="s">
        <v>164</v>
      </c>
      <c r="C35" s="63" t="s">
        <v>165</v>
      </c>
      <c r="D35" s="28" t="s">
        <v>103</v>
      </c>
      <c r="E35" s="64"/>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5"/>
      <c r="EN35" s="25"/>
      <c r="EO35" s="25"/>
      <c r="EP35" s="25"/>
      <c r="EQ35" s="25"/>
      <c r="ER35" s="25"/>
      <c r="ES35" s="25"/>
      <c r="ET35" s="25"/>
      <c r="EU35" s="25"/>
      <c r="EV35" s="25"/>
      <c r="EW35" s="25"/>
      <c r="EX35" s="25"/>
      <c r="EY35" s="25"/>
      <c r="EZ35" s="25"/>
      <c r="FA35" s="25"/>
      <c r="FB35" s="25"/>
      <c r="FC35" s="25"/>
      <c r="FD35" s="25"/>
      <c r="FE35" s="25"/>
      <c r="FF35" s="25"/>
      <c r="FG35" s="25"/>
      <c r="FH35" s="25"/>
      <c r="FI35" s="25"/>
      <c r="FJ35" s="25"/>
      <c r="FK35" s="25"/>
      <c r="FL35" s="25"/>
      <c r="FM35" s="25"/>
      <c r="FN35" s="25"/>
      <c r="FO35" s="25"/>
      <c r="FP35" s="25"/>
      <c r="FQ35" s="25"/>
      <c r="FR35" s="25"/>
      <c r="FS35" s="25"/>
      <c r="FT35" s="25"/>
      <c r="FU35" s="25"/>
      <c r="FV35" s="25"/>
      <c r="FW35" s="25"/>
      <c r="FX35" s="25"/>
      <c r="FY35" s="25"/>
      <c r="FZ35" s="25"/>
      <c r="GA35" s="25"/>
      <c r="GB35" s="25"/>
      <c r="GC35" s="25"/>
      <c r="GD35" s="25"/>
      <c r="GE35" s="25"/>
      <c r="GF35" s="25"/>
      <c r="GG35" s="25"/>
      <c r="GH35" s="25"/>
      <c r="GI35" s="25"/>
      <c r="GJ35" s="25"/>
      <c r="GK35" s="25"/>
      <c r="GL35" s="25"/>
      <c r="GM35" s="25"/>
      <c r="GN35" s="25"/>
      <c r="GO35" s="25"/>
      <c r="GP35" s="25"/>
      <c r="GQ35" s="25"/>
      <c r="GR35" s="25"/>
      <c r="GS35" s="25"/>
      <c r="GT35" s="25"/>
      <c r="GU35" s="25"/>
      <c r="GV35" s="25"/>
      <c r="GW35" s="25"/>
      <c r="GX35" s="25"/>
      <c r="GY35" s="25"/>
      <c r="GZ35" s="25"/>
      <c r="HA35" s="25"/>
      <c r="HB35" s="25"/>
      <c r="HC35" s="25"/>
      <c r="HD35" s="25"/>
      <c r="HE35" s="25"/>
      <c r="HF35" s="25"/>
      <c r="HG35" s="25"/>
      <c r="HH35" s="25"/>
      <c r="HI35" s="25"/>
      <c r="HJ35" s="25"/>
      <c r="HK35" s="25"/>
      <c r="HL35" s="25"/>
      <c r="HM35" s="25"/>
      <c r="HN35" s="25"/>
      <c r="HO35" s="25"/>
      <c r="HP35" s="25"/>
      <c r="HQ35" s="25"/>
      <c r="HR35" s="25"/>
      <c r="HS35" s="25"/>
      <c r="HT35" s="25"/>
      <c r="HU35" s="25"/>
      <c r="HV35" s="25"/>
      <c r="HW35" s="25"/>
      <c r="HX35" s="25"/>
      <c r="HY35" s="25"/>
      <c r="HZ35" s="25"/>
      <c r="IA35" s="25"/>
      <c r="IB35" s="25"/>
      <c r="IC35" s="25"/>
      <c r="ID35" s="25"/>
      <c r="IE35" s="25"/>
      <c r="IF35" s="25"/>
      <c r="IG35" s="25"/>
      <c r="IH35" s="25"/>
      <c r="II35" s="25"/>
      <c r="IJ35" s="25"/>
      <c r="IK35" s="25"/>
      <c r="IL35" s="25"/>
      <c r="IM35" s="25"/>
      <c r="IN35" s="25"/>
      <c r="IO35" s="25"/>
      <c r="IP35" s="25"/>
      <c r="IQ35" s="25"/>
      <c r="IR35" s="25"/>
    </row>
    <row r="36" customFormat="false" ht="22.5" hidden="false" customHeight="true" outlineLevel="0" collapsed="false">
      <c r="A36" s="25"/>
      <c r="B36" s="62" t="s">
        <v>166</v>
      </c>
      <c r="C36" s="63" t="s">
        <v>167</v>
      </c>
      <c r="D36" s="28" t="s">
        <v>103</v>
      </c>
      <c r="E36" s="64"/>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5"/>
      <c r="EN36" s="25"/>
      <c r="EO36" s="25"/>
      <c r="EP36" s="25"/>
      <c r="EQ36" s="25"/>
      <c r="ER36" s="25"/>
      <c r="ES36" s="25"/>
      <c r="ET36" s="25"/>
      <c r="EU36" s="25"/>
      <c r="EV36" s="25"/>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c r="FY36" s="25"/>
      <c r="FZ36" s="25"/>
      <c r="GA36" s="25"/>
      <c r="GB36" s="25"/>
      <c r="GC36" s="25"/>
      <c r="GD36" s="25"/>
      <c r="GE36" s="25"/>
      <c r="GF36" s="25"/>
      <c r="GG36" s="25"/>
      <c r="GH36" s="25"/>
      <c r="GI36" s="25"/>
      <c r="GJ36" s="25"/>
      <c r="GK36" s="25"/>
      <c r="GL36" s="25"/>
      <c r="GM36" s="25"/>
      <c r="GN36" s="25"/>
      <c r="GO36" s="25"/>
      <c r="GP36" s="25"/>
      <c r="GQ36" s="25"/>
      <c r="GR36" s="25"/>
      <c r="GS36" s="25"/>
      <c r="GT36" s="25"/>
      <c r="GU36" s="25"/>
      <c r="GV36" s="25"/>
      <c r="GW36" s="25"/>
      <c r="GX36" s="25"/>
      <c r="GY36" s="25"/>
      <c r="GZ36" s="25"/>
      <c r="HA36" s="25"/>
      <c r="HB36" s="25"/>
      <c r="HC36" s="25"/>
      <c r="HD36" s="25"/>
      <c r="HE36" s="25"/>
      <c r="HF36" s="25"/>
      <c r="HG36" s="25"/>
      <c r="HH36" s="25"/>
      <c r="HI36" s="25"/>
      <c r="HJ36" s="25"/>
      <c r="HK36" s="25"/>
      <c r="HL36" s="25"/>
      <c r="HM36" s="25"/>
      <c r="HN36" s="25"/>
      <c r="HO36" s="25"/>
      <c r="HP36" s="25"/>
      <c r="HQ36" s="25"/>
      <c r="HR36" s="25"/>
      <c r="HS36" s="25"/>
      <c r="HT36" s="25"/>
      <c r="HU36" s="25"/>
      <c r="HV36" s="25"/>
      <c r="HW36" s="25"/>
      <c r="HX36" s="25"/>
      <c r="HY36" s="25"/>
      <c r="HZ36" s="25"/>
      <c r="IA36" s="25"/>
      <c r="IB36" s="25"/>
      <c r="IC36" s="25"/>
      <c r="ID36" s="25"/>
      <c r="IE36" s="25"/>
      <c r="IF36" s="25"/>
      <c r="IG36" s="25"/>
      <c r="IH36" s="25"/>
      <c r="II36" s="25"/>
      <c r="IJ36" s="25"/>
      <c r="IK36" s="25"/>
      <c r="IL36" s="25"/>
      <c r="IM36" s="25"/>
      <c r="IN36" s="25"/>
      <c r="IO36" s="25"/>
      <c r="IP36" s="25"/>
      <c r="IQ36" s="25"/>
      <c r="IR36" s="25"/>
    </row>
    <row r="37" customFormat="false" ht="22.5" hidden="false" customHeight="true" outlineLevel="0" collapsed="false">
      <c r="A37" s="25"/>
      <c r="B37" s="62" t="s">
        <v>168</v>
      </c>
      <c r="C37" s="63" t="s">
        <v>169</v>
      </c>
      <c r="D37" s="28" t="s">
        <v>103</v>
      </c>
      <c r="E37" s="64"/>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c r="FI37" s="25"/>
      <c r="FJ37" s="25"/>
      <c r="FK37" s="25"/>
      <c r="FL37" s="25"/>
      <c r="FM37" s="25"/>
      <c r="FN37" s="25"/>
      <c r="FO37" s="25"/>
      <c r="FP37" s="25"/>
      <c r="FQ37" s="25"/>
      <c r="FR37" s="25"/>
      <c r="FS37" s="25"/>
      <c r="FT37" s="25"/>
      <c r="FU37" s="25"/>
      <c r="FV37" s="25"/>
      <c r="FW37" s="25"/>
      <c r="FX37" s="25"/>
      <c r="FY37" s="25"/>
      <c r="FZ37" s="25"/>
      <c r="GA37" s="25"/>
      <c r="GB37" s="25"/>
      <c r="GC37" s="25"/>
      <c r="GD37" s="25"/>
      <c r="GE37" s="25"/>
      <c r="GF37" s="25"/>
      <c r="GG37" s="25"/>
      <c r="GH37" s="25"/>
      <c r="GI37" s="25"/>
      <c r="GJ37" s="25"/>
      <c r="GK37" s="25"/>
      <c r="GL37" s="25"/>
      <c r="GM37" s="25"/>
      <c r="GN37" s="25"/>
      <c r="GO37" s="25"/>
      <c r="GP37" s="25"/>
      <c r="GQ37" s="25"/>
      <c r="GR37" s="25"/>
      <c r="GS37" s="25"/>
      <c r="GT37" s="25"/>
      <c r="GU37" s="25"/>
      <c r="GV37" s="25"/>
      <c r="GW37" s="25"/>
      <c r="GX37" s="25"/>
      <c r="GY37" s="25"/>
      <c r="GZ37" s="25"/>
      <c r="HA37" s="25"/>
      <c r="HB37" s="25"/>
      <c r="HC37" s="25"/>
      <c r="HD37" s="25"/>
      <c r="HE37" s="25"/>
      <c r="HF37" s="25"/>
      <c r="HG37" s="25"/>
      <c r="HH37" s="25"/>
      <c r="HI37" s="25"/>
      <c r="HJ37" s="25"/>
      <c r="HK37" s="25"/>
      <c r="HL37" s="25"/>
      <c r="HM37" s="25"/>
      <c r="HN37" s="25"/>
      <c r="HO37" s="25"/>
      <c r="HP37" s="25"/>
      <c r="HQ37" s="25"/>
      <c r="HR37" s="25"/>
      <c r="HS37" s="25"/>
      <c r="HT37" s="25"/>
      <c r="HU37" s="25"/>
      <c r="HV37" s="25"/>
      <c r="HW37" s="25"/>
      <c r="HX37" s="25"/>
      <c r="HY37" s="25"/>
      <c r="HZ37" s="25"/>
      <c r="IA37" s="25"/>
      <c r="IB37" s="25"/>
      <c r="IC37" s="25"/>
      <c r="ID37" s="25"/>
      <c r="IE37" s="25"/>
      <c r="IF37" s="25"/>
      <c r="IG37" s="25"/>
      <c r="IH37" s="25"/>
      <c r="II37" s="25"/>
      <c r="IJ37" s="25"/>
      <c r="IK37" s="25"/>
      <c r="IL37" s="25"/>
      <c r="IM37" s="25"/>
      <c r="IN37" s="25"/>
      <c r="IO37" s="25"/>
      <c r="IP37" s="25"/>
      <c r="IQ37" s="25"/>
      <c r="IR37" s="25"/>
    </row>
    <row r="38" customFormat="false" ht="22.5" hidden="false" customHeight="true" outlineLevel="0" collapsed="false">
      <c r="A38" s="25"/>
      <c r="B38" s="62" t="s">
        <v>170</v>
      </c>
      <c r="C38" s="63" t="s">
        <v>171</v>
      </c>
      <c r="D38" s="28" t="s">
        <v>103</v>
      </c>
      <c r="E38" s="64"/>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5"/>
      <c r="HA38" s="25"/>
      <c r="HB38" s="25"/>
      <c r="HC38" s="25"/>
      <c r="HD38" s="25"/>
      <c r="HE38" s="25"/>
      <c r="HF38" s="25"/>
      <c r="HG38" s="25"/>
      <c r="HH38" s="25"/>
      <c r="HI38" s="25"/>
      <c r="HJ38" s="25"/>
      <c r="HK38" s="25"/>
      <c r="HL38" s="25"/>
      <c r="HM38" s="25"/>
      <c r="HN38" s="25"/>
      <c r="HO38" s="25"/>
      <c r="HP38" s="25"/>
      <c r="HQ38" s="25"/>
      <c r="HR38" s="25"/>
      <c r="HS38" s="25"/>
      <c r="HT38" s="25"/>
      <c r="HU38" s="25"/>
      <c r="HV38" s="25"/>
      <c r="HW38" s="25"/>
      <c r="HX38" s="25"/>
      <c r="HY38" s="25"/>
      <c r="HZ38" s="25"/>
      <c r="IA38" s="25"/>
      <c r="IB38" s="25"/>
      <c r="IC38" s="25"/>
      <c r="ID38" s="25"/>
      <c r="IE38" s="25"/>
      <c r="IF38" s="25"/>
      <c r="IG38" s="25"/>
      <c r="IH38" s="25"/>
      <c r="II38" s="25"/>
      <c r="IJ38" s="25"/>
      <c r="IK38" s="25"/>
      <c r="IL38" s="25"/>
      <c r="IM38" s="25"/>
      <c r="IN38" s="25"/>
      <c r="IO38" s="25"/>
      <c r="IP38" s="25"/>
      <c r="IQ38" s="25"/>
      <c r="IR38" s="25"/>
    </row>
    <row r="39" customFormat="false" ht="22.5" hidden="false" customHeight="true" outlineLevel="0" collapsed="false">
      <c r="A39" s="25"/>
      <c r="B39" s="62" t="s">
        <v>172</v>
      </c>
      <c r="C39" s="63" t="s">
        <v>173</v>
      </c>
      <c r="D39" s="28" t="s">
        <v>103</v>
      </c>
      <c r="E39" s="64"/>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c r="FY39" s="25"/>
      <c r="FZ39" s="25"/>
      <c r="GA39" s="25"/>
      <c r="GB39" s="25"/>
      <c r="GC39" s="25"/>
      <c r="GD39" s="25"/>
      <c r="GE39" s="25"/>
      <c r="GF39" s="25"/>
      <c r="GG39" s="25"/>
      <c r="GH39" s="25"/>
      <c r="GI39" s="25"/>
      <c r="GJ39" s="25"/>
      <c r="GK39" s="25"/>
      <c r="GL39" s="25"/>
      <c r="GM39" s="25"/>
      <c r="GN39" s="25"/>
      <c r="GO39" s="25"/>
      <c r="GP39" s="25"/>
      <c r="GQ39" s="25"/>
      <c r="GR39" s="25"/>
      <c r="GS39" s="25"/>
      <c r="GT39" s="25"/>
      <c r="GU39" s="25"/>
      <c r="GV39" s="25"/>
      <c r="GW39" s="25"/>
      <c r="GX39" s="25"/>
      <c r="GY39" s="25"/>
      <c r="GZ39" s="25"/>
      <c r="HA39" s="25"/>
      <c r="HB39" s="25"/>
      <c r="HC39" s="25"/>
      <c r="HD39" s="25"/>
      <c r="HE39" s="25"/>
      <c r="HF39" s="25"/>
      <c r="HG39" s="25"/>
      <c r="HH39" s="25"/>
      <c r="HI39" s="25"/>
      <c r="HJ39" s="25"/>
      <c r="HK39" s="25"/>
      <c r="HL39" s="25"/>
      <c r="HM39" s="25"/>
      <c r="HN39" s="25"/>
      <c r="HO39" s="25"/>
      <c r="HP39" s="25"/>
      <c r="HQ39" s="25"/>
      <c r="HR39" s="25"/>
      <c r="HS39" s="25"/>
      <c r="HT39" s="25"/>
      <c r="HU39" s="25"/>
      <c r="HV39" s="25"/>
      <c r="HW39" s="25"/>
      <c r="HX39" s="25"/>
      <c r="HY39" s="25"/>
      <c r="HZ39" s="25"/>
      <c r="IA39" s="25"/>
      <c r="IB39" s="25"/>
      <c r="IC39" s="25"/>
      <c r="ID39" s="25"/>
      <c r="IE39" s="25"/>
      <c r="IF39" s="25"/>
      <c r="IG39" s="25"/>
      <c r="IH39" s="25"/>
      <c r="II39" s="25"/>
      <c r="IJ39" s="25"/>
      <c r="IK39" s="25"/>
      <c r="IL39" s="25"/>
      <c r="IM39" s="25"/>
      <c r="IN39" s="25"/>
      <c r="IO39" s="25"/>
      <c r="IP39" s="25"/>
      <c r="IQ39" s="25"/>
      <c r="IR39" s="25"/>
    </row>
    <row r="40" customFormat="false" ht="22.5" hidden="false" customHeight="true" outlineLevel="0" collapsed="false">
      <c r="A40" s="25"/>
      <c r="B40" s="62" t="s">
        <v>174</v>
      </c>
      <c r="C40" s="63" t="s">
        <v>175</v>
      </c>
      <c r="D40" s="28" t="s">
        <v>103</v>
      </c>
      <c r="E40" s="64"/>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25"/>
      <c r="EJ40" s="25"/>
      <c r="EK40" s="25"/>
      <c r="EL40" s="25"/>
      <c r="EM40" s="25"/>
      <c r="EN40" s="25"/>
      <c r="EO40" s="25"/>
      <c r="EP40" s="25"/>
      <c r="EQ40" s="25"/>
      <c r="ER40" s="25"/>
      <c r="ES40" s="25"/>
      <c r="ET40" s="25"/>
      <c r="EU40" s="25"/>
      <c r="EV40" s="25"/>
      <c r="EW40" s="25"/>
      <c r="EX40" s="25"/>
      <c r="EY40" s="25"/>
      <c r="EZ40" s="25"/>
      <c r="FA40" s="25"/>
      <c r="FB40" s="25"/>
      <c r="FC40" s="25"/>
      <c r="FD40" s="25"/>
      <c r="FE40" s="25"/>
      <c r="FF40" s="25"/>
      <c r="FG40" s="25"/>
      <c r="FH40" s="25"/>
      <c r="FI40" s="25"/>
      <c r="FJ40" s="25"/>
      <c r="FK40" s="25"/>
      <c r="FL40" s="25"/>
      <c r="FM40" s="25"/>
      <c r="FN40" s="25"/>
      <c r="FO40" s="25"/>
      <c r="FP40" s="25"/>
      <c r="FQ40" s="25"/>
      <c r="FR40" s="25"/>
      <c r="FS40" s="25"/>
      <c r="FT40" s="25"/>
      <c r="FU40" s="25"/>
      <c r="FV40" s="25"/>
      <c r="FW40" s="25"/>
      <c r="FX40" s="25"/>
      <c r="FY40" s="25"/>
      <c r="FZ40" s="25"/>
      <c r="GA40" s="25"/>
      <c r="GB40" s="25"/>
      <c r="GC40" s="25"/>
      <c r="GD40" s="25"/>
      <c r="GE40" s="25"/>
      <c r="GF40" s="25"/>
      <c r="GG40" s="25"/>
      <c r="GH40" s="25"/>
      <c r="GI40" s="25"/>
      <c r="GJ40" s="25"/>
      <c r="GK40" s="25"/>
      <c r="GL40" s="25"/>
      <c r="GM40" s="25"/>
      <c r="GN40" s="25"/>
      <c r="GO40" s="25"/>
      <c r="GP40" s="25"/>
      <c r="GQ40" s="25"/>
      <c r="GR40" s="25"/>
      <c r="GS40" s="25"/>
      <c r="GT40" s="25"/>
      <c r="GU40" s="25"/>
      <c r="GV40" s="25"/>
      <c r="GW40" s="25"/>
      <c r="GX40" s="25"/>
      <c r="GY40" s="25"/>
      <c r="GZ40" s="25"/>
      <c r="HA40" s="25"/>
      <c r="HB40" s="25"/>
      <c r="HC40" s="25"/>
      <c r="HD40" s="25"/>
      <c r="HE40" s="25"/>
      <c r="HF40" s="25"/>
      <c r="HG40" s="25"/>
      <c r="HH40" s="25"/>
      <c r="HI40" s="25"/>
      <c r="HJ40" s="25"/>
      <c r="HK40" s="25"/>
      <c r="HL40" s="25"/>
      <c r="HM40" s="25"/>
      <c r="HN40" s="25"/>
      <c r="HO40" s="25"/>
      <c r="HP40" s="25"/>
      <c r="HQ40" s="25"/>
      <c r="HR40" s="25"/>
      <c r="HS40" s="25"/>
      <c r="HT40" s="25"/>
      <c r="HU40" s="25"/>
      <c r="HV40" s="25"/>
      <c r="HW40" s="25"/>
      <c r="HX40" s="25"/>
      <c r="HY40" s="25"/>
      <c r="HZ40" s="25"/>
      <c r="IA40" s="25"/>
      <c r="IB40" s="25"/>
      <c r="IC40" s="25"/>
      <c r="ID40" s="25"/>
      <c r="IE40" s="25"/>
      <c r="IF40" s="25"/>
      <c r="IG40" s="25"/>
      <c r="IH40" s="25"/>
      <c r="II40" s="25"/>
      <c r="IJ40" s="25"/>
      <c r="IK40" s="25"/>
      <c r="IL40" s="25"/>
      <c r="IM40" s="25"/>
      <c r="IN40" s="25"/>
      <c r="IO40" s="25"/>
      <c r="IP40" s="25"/>
      <c r="IQ40" s="25"/>
      <c r="IR40" s="25"/>
    </row>
    <row r="41" customFormat="false" ht="39" hidden="false" customHeight="true" outlineLevel="0" collapsed="false">
      <c r="A41" s="15"/>
      <c r="B41" s="16" t="s">
        <v>176</v>
      </c>
      <c r="C41" s="61" t="s">
        <v>177</v>
      </c>
      <c r="D41" s="61"/>
      <c r="E41" s="61"/>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c r="EU41" s="15"/>
      <c r="EV41" s="15"/>
      <c r="EW41" s="15"/>
      <c r="EX41" s="15"/>
      <c r="EY41" s="15"/>
      <c r="EZ41" s="15"/>
      <c r="FA41" s="15"/>
      <c r="FB41" s="15"/>
      <c r="FC41" s="15"/>
      <c r="FD41" s="15"/>
      <c r="FE41" s="15"/>
      <c r="FF41" s="15"/>
      <c r="FG41" s="15"/>
      <c r="FH41" s="15"/>
      <c r="FI41" s="15"/>
      <c r="FJ41" s="15"/>
      <c r="FK41" s="15"/>
      <c r="FL41" s="15"/>
      <c r="FM41" s="15"/>
      <c r="FN41" s="15"/>
      <c r="FO41" s="15"/>
      <c r="FP41" s="15"/>
      <c r="FQ41" s="15"/>
      <c r="FR41" s="15"/>
      <c r="FS41" s="15"/>
      <c r="FT41" s="15"/>
      <c r="FU41" s="15"/>
      <c r="FV41" s="15"/>
      <c r="FW41" s="15"/>
      <c r="FX41" s="15"/>
      <c r="FY41" s="15"/>
      <c r="FZ41" s="15"/>
      <c r="GA41" s="15"/>
      <c r="GB41" s="15"/>
      <c r="GC41" s="15"/>
      <c r="GD41" s="15"/>
      <c r="GE41" s="15"/>
      <c r="GF41" s="15"/>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c r="IG41" s="15"/>
      <c r="IH41" s="15"/>
      <c r="II41" s="15"/>
      <c r="IJ41" s="15"/>
      <c r="IK41" s="15"/>
      <c r="IL41" s="15"/>
      <c r="IM41" s="15"/>
      <c r="IN41" s="15"/>
      <c r="IO41" s="15"/>
      <c r="IP41" s="15"/>
      <c r="IQ41" s="15"/>
      <c r="IR41" s="15"/>
    </row>
    <row r="42" customFormat="false" ht="22.5" hidden="false" customHeight="true" outlineLevel="0" collapsed="false">
      <c r="A42" s="66"/>
      <c r="B42" s="62" t="s">
        <v>178</v>
      </c>
      <c r="C42" s="63" t="s">
        <v>179</v>
      </c>
      <c r="D42" s="28" t="s">
        <v>103</v>
      </c>
      <c r="E42" s="64"/>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6"/>
      <c r="BZ42" s="66"/>
      <c r="CA42" s="66"/>
      <c r="CB42" s="66"/>
      <c r="CC42" s="66"/>
      <c r="CD42" s="66"/>
      <c r="CE42" s="66"/>
      <c r="CF42" s="66"/>
      <c r="CG42" s="66"/>
      <c r="CH42" s="66"/>
      <c r="CI42" s="66"/>
      <c r="CJ42" s="66"/>
      <c r="CK42" s="66"/>
      <c r="CL42" s="66"/>
      <c r="CM42" s="66"/>
      <c r="CN42" s="66"/>
      <c r="CO42" s="66"/>
      <c r="CP42" s="66"/>
      <c r="CQ42" s="66"/>
      <c r="CR42" s="66"/>
      <c r="CS42" s="66"/>
      <c r="CT42" s="66"/>
      <c r="CU42" s="66"/>
      <c r="CV42" s="66"/>
      <c r="CW42" s="66"/>
      <c r="CX42" s="66"/>
      <c r="CY42" s="66"/>
      <c r="CZ42" s="66"/>
      <c r="DA42" s="66"/>
      <c r="DB42" s="66"/>
      <c r="DC42" s="66"/>
      <c r="DD42" s="66"/>
      <c r="DE42" s="66"/>
      <c r="DF42" s="66"/>
      <c r="DG42" s="66"/>
      <c r="DH42" s="66"/>
      <c r="DI42" s="66"/>
      <c r="DJ42" s="66"/>
      <c r="DK42" s="66"/>
      <c r="DL42" s="66"/>
      <c r="DM42" s="66"/>
      <c r="DN42" s="66"/>
      <c r="DO42" s="66"/>
      <c r="DP42" s="66"/>
      <c r="DQ42" s="66"/>
      <c r="DR42" s="66"/>
      <c r="DS42" s="66"/>
      <c r="DT42" s="66"/>
      <c r="DU42" s="66"/>
      <c r="DV42" s="66"/>
      <c r="DW42" s="66"/>
      <c r="DX42" s="66"/>
      <c r="DY42" s="66"/>
      <c r="DZ42" s="66"/>
      <c r="EA42" s="66"/>
      <c r="EB42" s="66"/>
      <c r="EC42" s="66"/>
      <c r="ED42" s="66"/>
      <c r="EE42" s="66"/>
      <c r="EF42" s="66"/>
      <c r="EG42" s="66"/>
      <c r="EH42" s="66"/>
      <c r="EI42" s="66"/>
      <c r="EJ42" s="66"/>
      <c r="EK42" s="66"/>
      <c r="EL42" s="66"/>
      <c r="EM42" s="66"/>
      <c r="EN42" s="66"/>
      <c r="EO42" s="66"/>
      <c r="EP42" s="66"/>
      <c r="EQ42" s="66"/>
      <c r="ER42" s="66"/>
      <c r="ES42" s="66"/>
      <c r="ET42" s="66"/>
      <c r="EU42" s="66"/>
      <c r="EV42" s="66"/>
      <c r="EW42" s="66"/>
      <c r="EX42" s="66"/>
      <c r="EY42" s="66"/>
      <c r="EZ42" s="66"/>
      <c r="FA42" s="66"/>
      <c r="FB42" s="66"/>
      <c r="FC42" s="66"/>
      <c r="FD42" s="66"/>
      <c r="FE42" s="66"/>
      <c r="FF42" s="66"/>
      <c r="FG42" s="66"/>
      <c r="FH42" s="66"/>
      <c r="FI42" s="66"/>
      <c r="FJ42" s="66"/>
      <c r="FK42" s="66"/>
      <c r="FL42" s="66"/>
      <c r="FM42" s="66"/>
      <c r="FN42" s="66"/>
      <c r="FO42" s="66"/>
      <c r="FP42" s="66"/>
      <c r="FQ42" s="66"/>
      <c r="FR42" s="66"/>
      <c r="FS42" s="66"/>
      <c r="FT42" s="66"/>
      <c r="FU42" s="66"/>
      <c r="FV42" s="66"/>
      <c r="FW42" s="66"/>
      <c r="FX42" s="66"/>
      <c r="FY42" s="66"/>
      <c r="FZ42" s="66"/>
      <c r="GA42" s="66"/>
      <c r="GB42" s="66"/>
      <c r="GC42" s="66"/>
      <c r="GD42" s="66"/>
      <c r="GE42" s="66"/>
      <c r="GF42" s="66"/>
      <c r="GG42" s="66"/>
      <c r="GH42" s="66"/>
      <c r="GI42" s="66"/>
      <c r="GJ42" s="66"/>
      <c r="GK42" s="66"/>
      <c r="GL42" s="66"/>
      <c r="GM42" s="66"/>
      <c r="GN42" s="66"/>
      <c r="GO42" s="66"/>
      <c r="GP42" s="66"/>
      <c r="GQ42" s="66"/>
      <c r="GR42" s="66"/>
      <c r="GS42" s="66"/>
      <c r="GT42" s="66"/>
      <c r="GU42" s="66"/>
      <c r="GV42" s="66"/>
      <c r="GW42" s="66"/>
      <c r="GX42" s="66"/>
      <c r="GY42" s="66"/>
      <c r="GZ42" s="66"/>
      <c r="HA42" s="66"/>
      <c r="HB42" s="66"/>
      <c r="HC42" s="66"/>
      <c r="HD42" s="66"/>
      <c r="HE42" s="66"/>
      <c r="HF42" s="66"/>
      <c r="HG42" s="66"/>
      <c r="HH42" s="66"/>
      <c r="HI42" s="66"/>
      <c r="HJ42" s="66"/>
      <c r="HK42" s="66"/>
      <c r="HL42" s="66"/>
      <c r="HM42" s="66"/>
      <c r="HN42" s="66"/>
      <c r="HO42" s="66"/>
      <c r="HP42" s="66"/>
      <c r="HQ42" s="66"/>
      <c r="HR42" s="66"/>
      <c r="HS42" s="66"/>
      <c r="HT42" s="66"/>
      <c r="HU42" s="66"/>
      <c r="HV42" s="66"/>
      <c r="HW42" s="66"/>
      <c r="HX42" s="66"/>
      <c r="HY42" s="66"/>
      <c r="HZ42" s="66"/>
      <c r="IA42" s="66"/>
      <c r="IB42" s="66"/>
      <c r="IC42" s="66"/>
      <c r="ID42" s="66"/>
      <c r="IE42" s="66"/>
      <c r="IF42" s="66"/>
      <c r="IG42" s="66"/>
      <c r="IH42" s="66"/>
      <c r="II42" s="66"/>
      <c r="IJ42" s="66"/>
      <c r="IK42" s="66"/>
      <c r="IL42" s="66"/>
      <c r="IM42" s="66"/>
      <c r="IN42" s="66"/>
      <c r="IO42" s="66"/>
      <c r="IP42" s="66"/>
      <c r="IQ42" s="66"/>
      <c r="IR42" s="66"/>
    </row>
    <row r="43" customFormat="false" ht="22.5" hidden="false" customHeight="true" outlineLevel="0" collapsed="false">
      <c r="A43" s="66"/>
      <c r="B43" s="62" t="s">
        <v>180</v>
      </c>
      <c r="C43" s="63" t="s">
        <v>181</v>
      </c>
      <c r="D43" s="28" t="s">
        <v>38</v>
      </c>
      <c r="E43" s="64"/>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66"/>
      <c r="CG43" s="66"/>
      <c r="CH43" s="66"/>
      <c r="CI43" s="66"/>
      <c r="CJ43" s="66"/>
      <c r="CK43" s="66"/>
      <c r="CL43" s="66"/>
      <c r="CM43" s="66"/>
      <c r="CN43" s="66"/>
      <c r="CO43" s="66"/>
      <c r="CP43" s="66"/>
      <c r="CQ43" s="66"/>
      <c r="CR43" s="66"/>
      <c r="CS43" s="66"/>
      <c r="CT43" s="66"/>
      <c r="CU43" s="66"/>
      <c r="CV43" s="66"/>
      <c r="CW43" s="66"/>
      <c r="CX43" s="66"/>
      <c r="CY43" s="66"/>
      <c r="CZ43" s="66"/>
      <c r="DA43" s="66"/>
      <c r="DB43" s="66"/>
      <c r="DC43" s="66"/>
      <c r="DD43" s="66"/>
      <c r="DE43" s="66"/>
      <c r="DF43" s="66"/>
      <c r="DG43" s="66"/>
      <c r="DH43" s="66"/>
      <c r="DI43" s="66"/>
      <c r="DJ43" s="66"/>
      <c r="DK43" s="66"/>
      <c r="DL43" s="66"/>
      <c r="DM43" s="66"/>
      <c r="DN43" s="66"/>
      <c r="DO43" s="66"/>
      <c r="DP43" s="66"/>
      <c r="DQ43" s="66"/>
      <c r="DR43" s="66"/>
      <c r="DS43" s="66"/>
      <c r="DT43" s="66"/>
      <c r="DU43" s="66"/>
      <c r="DV43" s="66"/>
      <c r="DW43" s="66"/>
      <c r="DX43" s="66"/>
      <c r="DY43" s="66"/>
      <c r="DZ43" s="66"/>
      <c r="EA43" s="66"/>
      <c r="EB43" s="66"/>
      <c r="EC43" s="66"/>
      <c r="ED43" s="66"/>
      <c r="EE43" s="66"/>
      <c r="EF43" s="66"/>
      <c r="EG43" s="66"/>
      <c r="EH43" s="66"/>
      <c r="EI43" s="66"/>
      <c r="EJ43" s="66"/>
      <c r="EK43" s="66"/>
      <c r="EL43" s="66"/>
      <c r="EM43" s="66"/>
      <c r="EN43" s="66"/>
      <c r="EO43" s="66"/>
      <c r="EP43" s="66"/>
      <c r="EQ43" s="66"/>
      <c r="ER43" s="66"/>
      <c r="ES43" s="66"/>
      <c r="ET43" s="66"/>
      <c r="EU43" s="66"/>
      <c r="EV43" s="66"/>
      <c r="EW43" s="66"/>
      <c r="EX43" s="66"/>
      <c r="EY43" s="66"/>
      <c r="EZ43" s="66"/>
      <c r="FA43" s="66"/>
      <c r="FB43" s="66"/>
      <c r="FC43" s="66"/>
      <c r="FD43" s="66"/>
      <c r="FE43" s="66"/>
      <c r="FF43" s="66"/>
      <c r="FG43" s="66"/>
      <c r="FH43" s="66"/>
      <c r="FI43" s="66"/>
      <c r="FJ43" s="66"/>
      <c r="FK43" s="66"/>
      <c r="FL43" s="66"/>
      <c r="FM43" s="66"/>
      <c r="FN43" s="66"/>
      <c r="FO43" s="66"/>
      <c r="FP43" s="66"/>
      <c r="FQ43" s="66"/>
      <c r="FR43" s="66"/>
      <c r="FS43" s="66"/>
      <c r="FT43" s="66"/>
      <c r="FU43" s="66"/>
      <c r="FV43" s="66"/>
      <c r="FW43" s="66"/>
      <c r="FX43" s="66"/>
      <c r="FY43" s="66"/>
      <c r="FZ43" s="66"/>
      <c r="GA43" s="66"/>
      <c r="GB43" s="66"/>
      <c r="GC43" s="66"/>
      <c r="GD43" s="66"/>
      <c r="GE43" s="66"/>
      <c r="GF43" s="66"/>
      <c r="GG43" s="66"/>
      <c r="GH43" s="66"/>
      <c r="GI43" s="66"/>
      <c r="GJ43" s="66"/>
      <c r="GK43" s="66"/>
      <c r="GL43" s="66"/>
      <c r="GM43" s="66"/>
      <c r="GN43" s="66"/>
      <c r="GO43" s="66"/>
      <c r="GP43" s="66"/>
      <c r="GQ43" s="66"/>
      <c r="GR43" s="66"/>
      <c r="GS43" s="66"/>
      <c r="GT43" s="66"/>
      <c r="GU43" s="66"/>
      <c r="GV43" s="66"/>
      <c r="GW43" s="66"/>
      <c r="GX43" s="66"/>
      <c r="GY43" s="66"/>
      <c r="GZ43" s="66"/>
      <c r="HA43" s="66"/>
      <c r="HB43" s="66"/>
      <c r="HC43" s="66"/>
      <c r="HD43" s="66"/>
      <c r="HE43" s="66"/>
      <c r="HF43" s="66"/>
      <c r="HG43" s="66"/>
      <c r="HH43" s="66"/>
      <c r="HI43" s="66"/>
      <c r="HJ43" s="66"/>
      <c r="HK43" s="66"/>
      <c r="HL43" s="66"/>
      <c r="HM43" s="66"/>
      <c r="HN43" s="66"/>
      <c r="HO43" s="66"/>
      <c r="HP43" s="66"/>
      <c r="HQ43" s="66"/>
      <c r="HR43" s="66"/>
      <c r="HS43" s="66"/>
      <c r="HT43" s="66"/>
      <c r="HU43" s="66"/>
      <c r="HV43" s="66"/>
      <c r="HW43" s="66"/>
      <c r="HX43" s="66"/>
      <c r="HY43" s="66"/>
      <c r="HZ43" s="66"/>
      <c r="IA43" s="66"/>
      <c r="IB43" s="66"/>
      <c r="IC43" s="66"/>
      <c r="ID43" s="66"/>
      <c r="IE43" s="66"/>
      <c r="IF43" s="66"/>
      <c r="IG43" s="66"/>
      <c r="IH43" s="66"/>
      <c r="II43" s="66"/>
      <c r="IJ43" s="66"/>
      <c r="IK43" s="66"/>
      <c r="IL43" s="66"/>
      <c r="IM43" s="66"/>
      <c r="IN43" s="66"/>
      <c r="IO43" s="66"/>
      <c r="IP43" s="66"/>
      <c r="IQ43" s="66"/>
      <c r="IR43" s="66"/>
    </row>
    <row r="44" customFormat="false" ht="22.5" hidden="false" customHeight="true" outlineLevel="0" collapsed="false">
      <c r="A44" s="66"/>
      <c r="B44" s="62" t="s">
        <v>182</v>
      </c>
      <c r="C44" s="63" t="s">
        <v>183</v>
      </c>
      <c r="D44" s="28" t="s">
        <v>27</v>
      </c>
      <c r="E44" s="64"/>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6"/>
      <c r="BX44" s="66"/>
      <c r="BY44" s="66"/>
      <c r="BZ44" s="66"/>
      <c r="CA44" s="66"/>
      <c r="CB44" s="66"/>
      <c r="CC44" s="66"/>
      <c r="CD44" s="66"/>
      <c r="CE44" s="66"/>
      <c r="CF44" s="66"/>
      <c r="CG44" s="66"/>
      <c r="CH44" s="66"/>
      <c r="CI44" s="66"/>
      <c r="CJ44" s="66"/>
      <c r="CK44" s="66"/>
      <c r="CL44" s="66"/>
      <c r="CM44" s="66"/>
      <c r="CN44" s="66"/>
      <c r="CO44" s="66"/>
      <c r="CP44" s="66"/>
      <c r="CQ44" s="66"/>
      <c r="CR44" s="66"/>
      <c r="CS44" s="66"/>
      <c r="CT44" s="66"/>
      <c r="CU44" s="66"/>
      <c r="CV44" s="66"/>
      <c r="CW44" s="66"/>
      <c r="CX44" s="66"/>
      <c r="CY44" s="66"/>
      <c r="CZ44" s="66"/>
      <c r="DA44" s="66"/>
      <c r="DB44" s="66"/>
      <c r="DC44" s="66"/>
      <c r="DD44" s="66"/>
      <c r="DE44" s="66"/>
      <c r="DF44" s="66"/>
      <c r="DG44" s="66"/>
      <c r="DH44" s="66"/>
      <c r="DI44" s="66"/>
      <c r="DJ44" s="66"/>
      <c r="DK44" s="66"/>
      <c r="DL44" s="66"/>
      <c r="DM44" s="66"/>
      <c r="DN44" s="66"/>
      <c r="DO44" s="66"/>
      <c r="DP44" s="66"/>
      <c r="DQ44" s="66"/>
      <c r="DR44" s="66"/>
      <c r="DS44" s="66"/>
      <c r="DT44" s="66"/>
      <c r="DU44" s="66"/>
      <c r="DV44" s="66"/>
      <c r="DW44" s="66"/>
      <c r="DX44" s="66"/>
      <c r="DY44" s="66"/>
      <c r="DZ44" s="66"/>
      <c r="EA44" s="66"/>
      <c r="EB44" s="66"/>
      <c r="EC44" s="66"/>
      <c r="ED44" s="66"/>
      <c r="EE44" s="66"/>
      <c r="EF44" s="66"/>
      <c r="EG44" s="66"/>
      <c r="EH44" s="66"/>
      <c r="EI44" s="66"/>
      <c r="EJ44" s="66"/>
      <c r="EK44" s="66"/>
      <c r="EL44" s="66"/>
      <c r="EM44" s="66"/>
      <c r="EN44" s="66"/>
      <c r="EO44" s="66"/>
      <c r="EP44" s="66"/>
      <c r="EQ44" s="66"/>
      <c r="ER44" s="66"/>
      <c r="ES44" s="66"/>
      <c r="ET44" s="66"/>
      <c r="EU44" s="66"/>
      <c r="EV44" s="66"/>
      <c r="EW44" s="66"/>
      <c r="EX44" s="66"/>
      <c r="EY44" s="66"/>
      <c r="EZ44" s="66"/>
      <c r="FA44" s="66"/>
      <c r="FB44" s="66"/>
      <c r="FC44" s="66"/>
      <c r="FD44" s="66"/>
      <c r="FE44" s="66"/>
      <c r="FF44" s="66"/>
      <c r="FG44" s="66"/>
      <c r="FH44" s="66"/>
      <c r="FI44" s="66"/>
      <c r="FJ44" s="66"/>
      <c r="FK44" s="66"/>
      <c r="FL44" s="66"/>
      <c r="FM44" s="66"/>
      <c r="FN44" s="66"/>
      <c r="FO44" s="66"/>
      <c r="FP44" s="66"/>
      <c r="FQ44" s="66"/>
      <c r="FR44" s="66"/>
      <c r="FS44" s="66"/>
      <c r="FT44" s="66"/>
      <c r="FU44" s="66"/>
      <c r="FV44" s="66"/>
      <c r="FW44" s="66"/>
      <c r="FX44" s="66"/>
      <c r="FY44" s="66"/>
      <c r="FZ44" s="66"/>
      <c r="GA44" s="66"/>
      <c r="GB44" s="66"/>
      <c r="GC44" s="66"/>
      <c r="GD44" s="66"/>
      <c r="GE44" s="66"/>
      <c r="GF44" s="66"/>
      <c r="GG44" s="66"/>
      <c r="GH44" s="66"/>
      <c r="GI44" s="66"/>
      <c r="GJ44" s="66"/>
      <c r="GK44" s="66"/>
      <c r="GL44" s="66"/>
      <c r="GM44" s="66"/>
      <c r="GN44" s="66"/>
      <c r="GO44" s="66"/>
      <c r="GP44" s="66"/>
      <c r="GQ44" s="66"/>
      <c r="GR44" s="66"/>
      <c r="GS44" s="66"/>
      <c r="GT44" s="66"/>
      <c r="GU44" s="66"/>
      <c r="GV44" s="66"/>
      <c r="GW44" s="66"/>
      <c r="GX44" s="66"/>
      <c r="GY44" s="66"/>
      <c r="GZ44" s="66"/>
      <c r="HA44" s="66"/>
      <c r="HB44" s="66"/>
      <c r="HC44" s="66"/>
      <c r="HD44" s="66"/>
      <c r="HE44" s="66"/>
      <c r="HF44" s="66"/>
      <c r="HG44" s="66"/>
      <c r="HH44" s="66"/>
      <c r="HI44" s="66"/>
      <c r="HJ44" s="66"/>
      <c r="HK44" s="66"/>
      <c r="HL44" s="66"/>
      <c r="HM44" s="66"/>
      <c r="HN44" s="66"/>
      <c r="HO44" s="66"/>
      <c r="HP44" s="66"/>
      <c r="HQ44" s="66"/>
      <c r="HR44" s="66"/>
      <c r="HS44" s="66"/>
      <c r="HT44" s="66"/>
      <c r="HU44" s="66"/>
      <c r="HV44" s="66"/>
      <c r="HW44" s="66"/>
      <c r="HX44" s="66"/>
      <c r="HY44" s="66"/>
      <c r="HZ44" s="66"/>
      <c r="IA44" s="66"/>
      <c r="IB44" s="66"/>
      <c r="IC44" s="66"/>
      <c r="ID44" s="66"/>
      <c r="IE44" s="66"/>
      <c r="IF44" s="66"/>
      <c r="IG44" s="66"/>
      <c r="IH44" s="66"/>
      <c r="II44" s="66"/>
      <c r="IJ44" s="66"/>
      <c r="IK44" s="66"/>
      <c r="IL44" s="66"/>
      <c r="IM44" s="66"/>
      <c r="IN44" s="66"/>
      <c r="IO44" s="66"/>
      <c r="IP44" s="66"/>
      <c r="IQ44" s="66"/>
      <c r="IR44" s="66"/>
    </row>
    <row r="45" customFormat="false" ht="22.5" hidden="false" customHeight="true" outlineLevel="0" collapsed="false">
      <c r="A45" s="66"/>
      <c r="B45" s="62" t="s">
        <v>184</v>
      </c>
      <c r="C45" s="63" t="s">
        <v>185</v>
      </c>
      <c r="D45" s="28" t="s">
        <v>31</v>
      </c>
      <c r="E45" s="64"/>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66"/>
      <c r="CO45" s="66"/>
      <c r="CP45" s="66"/>
      <c r="CQ45" s="66"/>
      <c r="CR45" s="66"/>
      <c r="CS45" s="66"/>
      <c r="CT45" s="66"/>
      <c r="CU45" s="66"/>
      <c r="CV45" s="66"/>
      <c r="CW45" s="66"/>
      <c r="CX45" s="66"/>
      <c r="CY45" s="66"/>
      <c r="CZ45" s="66"/>
      <c r="DA45" s="66"/>
      <c r="DB45" s="66"/>
      <c r="DC45" s="66"/>
      <c r="DD45" s="66"/>
      <c r="DE45" s="66"/>
      <c r="DF45" s="66"/>
      <c r="DG45" s="66"/>
      <c r="DH45" s="66"/>
      <c r="DI45" s="66"/>
      <c r="DJ45" s="66"/>
      <c r="DK45" s="66"/>
      <c r="DL45" s="66"/>
      <c r="DM45" s="66"/>
      <c r="DN45" s="66"/>
      <c r="DO45" s="66"/>
      <c r="DP45" s="66"/>
      <c r="DQ45" s="66"/>
      <c r="DR45" s="66"/>
      <c r="DS45" s="66"/>
      <c r="DT45" s="66"/>
      <c r="DU45" s="66"/>
      <c r="DV45" s="66"/>
      <c r="DW45" s="66"/>
      <c r="DX45" s="66"/>
      <c r="DY45" s="66"/>
      <c r="DZ45" s="66"/>
      <c r="EA45" s="66"/>
      <c r="EB45" s="66"/>
      <c r="EC45" s="66"/>
      <c r="ED45" s="66"/>
      <c r="EE45" s="66"/>
      <c r="EF45" s="66"/>
      <c r="EG45" s="66"/>
      <c r="EH45" s="66"/>
      <c r="EI45" s="66"/>
      <c r="EJ45" s="66"/>
      <c r="EK45" s="66"/>
      <c r="EL45" s="66"/>
      <c r="EM45" s="66"/>
      <c r="EN45" s="66"/>
      <c r="EO45" s="66"/>
      <c r="EP45" s="66"/>
      <c r="EQ45" s="66"/>
      <c r="ER45" s="66"/>
      <c r="ES45" s="66"/>
      <c r="ET45" s="66"/>
      <c r="EU45" s="66"/>
      <c r="EV45" s="66"/>
      <c r="EW45" s="66"/>
      <c r="EX45" s="66"/>
      <c r="EY45" s="66"/>
      <c r="EZ45" s="66"/>
      <c r="FA45" s="66"/>
      <c r="FB45" s="66"/>
      <c r="FC45" s="66"/>
      <c r="FD45" s="66"/>
      <c r="FE45" s="66"/>
      <c r="FF45" s="66"/>
      <c r="FG45" s="66"/>
      <c r="FH45" s="66"/>
      <c r="FI45" s="66"/>
      <c r="FJ45" s="66"/>
      <c r="FK45" s="66"/>
      <c r="FL45" s="66"/>
      <c r="FM45" s="66"/>
      <c r="FN45" s="66"/>
      <c r="FO45" s="66"/>
      <c r="FP45" s="66"/>
      <c r="FQ45" s="66"/>
      <c r="FR45" s="66"/>
      <c r="FS45" s="66"/>
      <c r="FT45" s="66"/>
      <c r="FU45" s="66"/>
      <c r="FV45" s="66"/>
      <c r="FW45" s="66"/>
      <c r="FX45" s="66"/>
      <c r="FY45" s="66"/>
      <c r="FZ45" s="66"/>
      <c r="GA45" s="66"/>
      <c r="GB45" s="66"/>
      <c r="GC45" s="66"/>
      <c r="GD45" s="66"/>
      <c r="GE45" s="66"/>
      <c r="GF45" s="66"/>
      <c r="GG45" s="66"/>
      <c r="GH45" s="66"/>
      <c r="GI45" s="66"/>
      <c r="GJ45" s="66"/>
      <c r="GK45" s="66"/>
      <c r="GL45" s="66"/>
      <c r="GM45" s="66"/>
      <c r="GN45" s="66"/>
      <c r="GO45" s="66"/>
      <c r="GP45" s="66"/>
      <c r="GQ45" s="66"/>
      <c r="GR45" s="66"/>
      <c r="GS45" s="66"/>
      <c r="GT45" s="66"/>
      <c r="GU45" s="66"/>
      <c r="GV45" s="66"/>
      <c r="GW45" s="66"/>
      <c r="GX45" s="66"/>
      <c r="GY45" s="66"/>
      <c r="GZ45" s="66"/>
      <c r="HA45" s="66"/>
      <c r="HB45" s="66"/>
      <c r="HC45" s="66"/>
      <c r="HD45" s="66"/>
      <c r="HE45" s="66"/>
      <c r="HF45" s="66"/>
      <c r="HG45" s="66"/>
      <c r="HH45" s="66"/>
      <c r="HI45" s="66"/>
      <c r="HJ45" s="66"/>
      <c r="HK45" s="66"/>
      <c r="HL45" s="66"/>
      <c r="HM45" s="66"/>
      <c r="HN45" s="66"/>
      <c r="HO45" s="66"/>
      <c r="HP45" s="66"/>
      <c r="HQ45" s="66"/>
      <c r="HR45" s="66"/>
      <c r="HS45" s="66"/>
      <c r="HT45" s="66"/>
      <c r="HU45" s="66"/>
      <c r="HV45" s="66"/>
      <c r="HW45" s="66"/>
      <c r="HX45" s="66"/>
      <c r="HY45" s="66"/>
      <c r="HZ45" s="66"/>
      <c r="IA45" s="66"/>
      <c r="IB45" s="66"/>
      <c r="IC45" s="66"/>
      <c r="ID45" s="66"/>
      <c r="IE45" s="66"/>
      <c r="IF45" s="66"/>
      <c r="IG45" s="66"/>
      <c r="IH45" s="66"/>
      <c r="II45" s="66"/>
      <c r="IJ45" s="66"/>
      <c r="IK45" s="66"/>
      <c r="IL45" s="66"/>
      <c r="IM45" s="66"/>
      <c r="IN45" s="66"/>
      <c r="IO45" s="66"/>
      <c r="IP45" s="66"/>
      <c r="IQ45" s="66"/>
      <c r="IR45" s="66"/>
    </row>
    <row r="46" customFormat="false" ht="22.5" hidden="false" customHeight="true" outlineLevel="0" collapsed="false">
      <c r="A46" s="66"/>
      <c r="B46" s="62" t="s">
        <v>186</v>
      </c>
      <c r="C46" s="63" t="s">
        <v>187</v>
      </c>
      <c r="D46" s="28" t="s">
        <v>42</v>
      </c>
      <c r="E46" s="64"/>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66"/>
      <c r="CO46" s="66"/>
      <c r="CP46" s="66"/>
      <c r="CQ46" s="66"/>
      <c r="CR46" s="66"/>
      <c r="CS46" s="66"/>
      <c r="CT46" s="66"/>
      <c r="CU46" s="66"/>
      <c r="CV46" s="66"/>
      <c r="CW46" s="66"/>
      <c r="CX46" s="66"/>
      <c r="CY46" s="66"/>
      <c r="CZ46" s="66"/>
      <c r="DA46" s="66"/>
      <c r="DB46" s="66"/>
      <c r="DC46" s="66"/>
      <c r="DD46" s="66"/>
      <c r="DE46" s="66"/>
      <c r="DF46" s="66"/>
      <c r="DG46" s="66"/>
      <c r="DH46" s="66"/>
      <c r="DI46" s="66"/>
      <c r="DJ46" s="66"/>
      <c r="DK46" s="66"/>
      <c r="DL46" s="66"/>
      <c r="DM46" s="66"/>
      <c r="DN46" s="66"/>
      <c r="DO46" s="66"/>
      <c r="DP46" s="66"/>
      <c r="DQ46" s="66"/>
      <c r="DR46" s="66"/>
      <c r="DS46" s="66"/>
      <c r="DT46" s="66"/>
      <c r="DU46" s="66"/>
      <c r="DV46" s="66"/>
      <c r="DW46" s="66"/>
      <c r="DX46" s="66"/>
      <c r="DY46" s="66"/>
      <c r="DZ46" s="66"/>
      <c r="EA46" s="66"/>
      <c r="EB46" s="66"/>
      <c r="EC46" s="66"/>
      <c r="ED46" s="66"/>
      <c r="EE46" s="66"/>
      <c r="EF46" s="66"/>
      <c r="EG46" s="66"/>
      <c r="EH46" s="66"/>
      <c r="EI46" s="66"/>
      <c r="EJ46" s="66"/>
      <c r="EK46" s="66"/>
      <c r="EL46" s="66"/>
      <c r="EM46" s="66"/>
      <c r="EN46" s="66"/>
      <c r="EO46" s="66"/>
      <c r="EP46" s="66"/>
      <c r="EQ46" s="66"/>
      <c r="ER46" s="66"/>
      <c r="ES46" s="66"/>
      <c r="ET46" s="66"/>
      <c r="EU46" s="66"/>
      <c r="EV46" s="66"/>
      <c r="EW46" s="66"/>
      <c r="EX46" s="66"/>
      <c r="EY46" s="66"/>
      <c r="EZ46" s="66"/>
      <c r="FA46" s="66"/>
      <c r="FB46" s="66"/>
      <c r="FC46" s="66"/>
      <c r="FD46" s="66"/>
      <c r="FE46" s="66"/>
      <c r="FF46" s="66"/>
      <c r="FG46" s="66"/>
      <c r="FH46" s="66"/>
      <c r="FI46" s="66"/>
      <c r="FJ46" s="66"/>
      <c r="FK46" s="66"/>
      <c r="FL46" s="66"/>
      <c r="FM46" s="66"/>
      <c r="FN46" s="66"/>
      <c r="FO46" s="66"/>
      <c r="FP46" s="66"/>
      <c r="FQ46" s="66"/>
      <c r="FR46" s="66"/>
      <c r="FS46" s="66"/>
      <c r="FT46" s="66"/>
      <c r="FU46" s="66"/>
      <c r="FV46" s="66"/>
      <c r="FW46" s="66"/>
      <c r="FX46" s="66"/>
      <c r="FY46" s="66"/>
      <c r="FZ46" s="66"/>
      <c r="GA46" s="66"/>
      <c r="GB46" s="66"/>
      <c r="GC46" s="66"/>
      <c r="GD46" s="66"/>
      <c r="GE46" s="66"/>
      <c r="GF46" s="66"/>
      <c r="GG46" s="66"/>
      <c r="GH46" s="66"/>
      <c r="GI46" s="66"/>
      <c r="GJ46" s="66"/>
      <c r="GK46" s="66"/>
      <c r="GL46" s="66"/>
      <c r="GM46" s="66"/>
      <c r="GN46" s="66"/>
      <c r="GO46" s="66"/>
      <c r="GP46" s="66"/>
      <c r="GQ46" s="66"/>
      <c r="GR46" s="66"/>
      <c r="GS46" s="66"/>
      <c r="GT46" s="66"/>
      <c r="GU46" s="66"/>
      <c r="GV46" s="66"/>
      <c r="GW46" s="66"/>
      <c r="GX46" s="66"/>
      <c r="GY46" s="66"/>
      <c r="GZ46" s="66"/>
      <c r="HA46" s="66"/>
      <c r="HB46" s="66"/>
      <c r="HC46" s="66"/>
      <c r="HD46" s="66"/>
      <c r="HE46" s="66"/>
      <c r="HF46" s="66"/>
      <c r="HG46" s="66"/>
      <c r="HH46" s="66"/>
      <c r="HI46" s="66"/>
      <c r="HJ46" s="66"/>
      <c r="HK46" s="66"/>
      <c r="HL46" s="66"/>
      <c r="HM46" s="66"/>
      <c r="HN46" s="66"/>
      <c r="HO46" s="66"/>
      <c r="HP46" s="66"/>
      <c r="HQ46" s="66"/>
      <c r="HR46" s="66"/>
      <c r="HS46" s="66"/>
      <c r="HT46" s="66"/>
      <c r="HU46" s="66"/>
      <c r="HV46" s="66"/>
      <c r="HW46" s="66"/>
      <c r="HX46" s="66"/>
      <c r="HY46" s="66"/>
      <c r="HZ46" s="66"/>
      <c r="IA46" s="66"/>
      <c r="IB46" s="66"/>
      <c r="IC46" s="66"/>
      <c r="ID46" s="66"/>
      <c r="IE46" s="66"/>
      <c r="IF46" s="66"/>
      <c r="IG46" s="66"/>
      <c r="IH46" s="66"/>
      <c r="II46" s="66"/>
      <c r="IJ46" s="66"/>
      <c r="IK46" s="66"/>
      <c r="IL46" s="66"/>
      <c r="IM46" s="66"/>
      <c r="IN46" s="66"/>
      <c r="IO46" s="66"/>
      <c r="IP46" s="66"/>
      <c r="IQ46" s="66"/>
      <c r="IR46" s="66"/>
    </row>
    <row r="47" customFormat="false" ht="22.5" hidden="false" customHeight="true" outlineLevel="0" collapsed="false">
      <c r="A47" s="66"/>
      <c r="B47" s="62" t="s">
        <v>188</v>
      </c>
      <c r="C47" s="63" t="s">
        <v>189</v>
      </c>
      <c r="D47" s="28" t="s">
        <v>190</v>
      </c>
      <c r="E47" s="64"/>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c r="CD47" s="66"/>
      <c r="CE47" s="66"/>
      <c r="CF47" s="66"/>
      <c r="CG47" s="66"/>
      <c r="CH47" s="66"/>
      <c r="CI47" s="66"/>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c r="DM47" s="66"/>
      <c r="DN47" s="66"/>
      <c r="DO47" s="66"/>
      <c r="DP47" s="66"/>
      <c r="DQ47" s="66"/>
      <c r="DR47" s="66"/>
      <c r="DS47" s="66"/>
      <c r="DT47" s="66"/>
      <c r="DU47" s="66"/>
      <c r="DV47" s="66"/>
      <c r="DW47" s="66"/>
      <c r="DX47" s="66"/>
      <c r="DY47" s="66"/>
      <c r="DZ47" s="66"/>
      <c r="EA47" s="66"/>
      <c r="EB47" s="66"/>
      <c r="EC47" s="66"/>
      <c r="ED47" s="66"/>
      <c r="EE47" s="66"/>
      <c r="EF47" s="66"/>
      <c r="EG47" s="66"/>
      <c r="EH47" s="66"/>
      <c r="EI47" s="66"/>
      <c r="EJ47" s="66"/>
      <c r="EK47" s="66"/>
      <c r="EL47" s="66"/>
      <c r="EM47" s="66"/>
      <c r="EN47" s="66"/>
      <c r="EO47" s="66"/>
      <c r="EP47" s="66"/>
      <c r="EQ47" s="66"/>
      <c r="ER47" s="66"/>
      <c r="ES47" s="66"/>
      <c r="ET47" s="66"/>
      <c r="EU47" s="66"/>
      <c r="EV47" s="66"/>
      <c r="EW47" s="66"/>
      <c r="EX47" s="66"/>
      <c r="EY47" s="66"/>
      <c r="EZ47" s="66"/>
      <c r="FA47" s="66"/>
      <c r="FB47" s="66"/>
      <c r="FC47" s="66"/>
      <c r="FD47" s="66"/>
      <c r="FE47" s="66"/>
      <c r="FF47" s="66"/>
      <c r="FG47" s="66"/>
      <c r="FH47" s="66"/>
      <c r="FI47" s="66"/>
      <c r="FJ47" s="66"/>
      <c r="FK47" s="66"/>
      <c r="FL47" s="66"/>
      <c r="FM47" s="66"/>
      <c r="FN47" s="66"/>
      <c r="FO47" s="66"/>
      <c r="FP47" s="66"/>
      <c r="FQ47" s="66"/>
      <c r="FR47" s="66"/>
      <c r="FS47" s="66"/>
      <c r="FT47" s="66"/>
      <c r="FU47" s="66"/>
      <c r="FV47" s="66"/>
      <c r="FW47" s="66"/>
      <c r="FX47" s="66"/>
      <c r="FY47" s="66"/>
      <c r="FZ47" s="66"/>
      <c r="GA47" s="66"/>
      <c r="GB47" s="66"/>
      <c r="GC47" s="66"/>
      <c r="GD47" s="66"/>
      <c r="GE47" s="66"/>
      <c r="GF47" s="66"/>
      <c r="GG47" s="66"/>
      <c r="GH47" s="66"/>
      <c r="GI47" s="66"/>
      <c r="GJ47" s="66"/>
      <c r="GK47" s="66"/>
      <c r="GL47" s="66"/>
      <c r="GM47" s="66"/>
      <c r="GN47" s="66"/>
      <c r="GO47" s="66"/>
      <c r="GP47" s="66"/>
      <c r="GQ47" s="66"/>
      <c r="GR47" s="66"/>
      <c r="GS47" s="66"/>
      <c r="GT47" s="66"/>
      <c r="GU47" s="66"/>
      <c r="GV47" s="66"/>
      <c r="GW47" s="66"/>
      <c r="GX47" s="66"/>
      <c r="GY47" s="66"/>
      <c r="GZ47" s="66"/>
      <c r="HA47" s="66"/>
      <c r="HB47" s="66"/>
      <c r="HC47" s="66"/>
      <c r="HD47" s="66"/>
      <c r="HE47" s="66"/>
      <c r="HF47" s="66"/>
      <c r="HG47" s="66"/>
      <c r="HH47" s="66"/>
      <c r="HI47" s="66"/>
      <c r="HJ47" s="66"/>
      <c r="HK47" s="66"/>
      <c r="HL47" s="66"/>
      <c r="HM47" s="66"/>
      <c r="HN47" s="66"/>
      <c r="HO47" s="66"/>
      <c r="HP47" s="66"/>
      <c r="HQ47" s="66"/>
      <c r="HR47" s="66"/>
      <c r="HS47" s="66"/>
      <c r="HT47" s="66"/>
      <c r="HU47" s="66"/>
      <c r="HV47" s="66"/>
      <c r="HW47" s="66"/>
      <c r="HX47" s="66"/>
      <c r="HY47" s="66"/>
      <c r="HZ47" s="66"/>
      <c r="IA47" s="66"/>
      <c r="IB47" s="66"/>
      <c r="IC47" s="66"/>
      <c r="ID47" s="66"/>
      <c r="IE47" s="66"/>
      <c r="IF47" s="66"/>
      <c r="IG47" s="66"/>
      <c r="IH47" s="66"/>
      <c r="II47" s="66"/>
      <c r="IJ47" s="66"/>
      <c r="IK47" s="66"/>
      <c r="IL47" s="66"/>
      <c r="IM47" s="66"/>
      <c r="IN47" s="66"/>
      <c r="IO47" s="66"/>
      <c r="IP47" s="66"/>
      <c r="IQ47" s="66"/>
      <c r="IR47" s="66"/>
    </row>
    <row r="48" customFormat="false" ht="22.5" hidden="false" customHeight="true" outlineLevel="0" collapsed="false">
      <c r="A48" s="66"/>
      <c r="B48" s="62" t="s">
        <v>191</v>
      </c>
      <c r="C48" s="63" t="s">
        <v>192</v>
      </c>
      <c r="D48" s="28" t="s">
        <v>193</v>
      </c>
      <c r="E48" s="64"/>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66"/>
      <c r="CO48" s="66"/>
      <c r="CP48" s="66"/>
      <c r="CQ48" s="66"/>
      <c r="CR48" s="66"/>
      <c r="CS48" s="66"/>
      <c r="CT48" s="66"/>
      <c r="CU48" s="66"/>
      <c r="CV48" s="66"/>
      <c r="CW48" s="66"/>
      <c r="CX48" s="66"/>
      <c r="CY48" s="66"/>
      <c r="CZ48" s="66"/>
      <c r="DA48" s="66"/>
      <c r="DB48" s="66"/>
      <c r="DC48" s="66"/>
      <c r="DD48" s="66"/>
      <c r="DE48" s="66"/>
      <c r="DF48" s="66"/>
      <c r="DG48" s="66"/>
      <c r="DH48" s="66"/>
      <c r="DI48" s="66"/>
      <c r="DJ48" s="66"/>
      <c r="DK48" s="66"/>
      <c r="DL48" s="66"/>
      <c r="DM48" s="66"/>
      <c r="DN48" s="66"/>
      <c r="DO48" s="66"/>
      <c r="DP48" s="66"/>
      <c r="DQ48" s="66"/>
      <c r="DR48" s="66"/>
      <c r="DS48" s="66"/>
      <c r="DT48" s="66"/>
      <c r="DU48" s="66"/>
      <c r="DV48" s="66"/>
      <c r="DW48" s="66"/>
      <c r="DX48" s="66"/>
      <c r="DY48" s="66"/>
      <c r="DZ48" s="66"/>
      <c r="EA48" s="66"/>
      <c r="EB48" s="66"/>
      <c r="EC48" s="66"/>
      <c r="ED48" s="66"/>
      <c r="EE48" s="66"/>
      <c r="EF48" s="66"/>
      <c r="EG48" s="66"/>
      <c r="EH48" s="66"/>
      <c r="EI48" s="66"/>
      <c r="EJ48" s="66"/>
      <c r="EK48" s="66"/>
      <c r="EL48" s="66"/>
      <c r="EM48" s="66"/>
      <c r="EN48" s="66"/>
      <c r="EO48" s="66"/>
      <c r="EP48" s="66"/>
      <c r="EQ48" s="66"/>
      <c r="ER48" s="66"/>
      <c r="ES48" s="66"/>
      <c r="ET48" s="66"/>
      <c r="EU48" s="66"/>
      <c r="EV48" s="66"/>
      <c r="EW48" s="66"/>
      <c r="EX48" s="66"/>
      <c r="EY48" s="66"/>
      <c r="EZ48" s="66"/>
      <c r="FA48" s="66"/>
      <c r="FB48" s="66"/>
      <c r="FC48" s="66"/>
      <c r="FD48" s="66"/>
      <c r="FE48" s="66"/>
      <c r="FF48" s="66"/>
      <c r="FG48" s="66"/>
      <c r="FH48" s="66"/>
      <c r="FI48" s="66"/>
      <c r="FJ48" s="66"/>
      <c r="FK48" s="66"/>
      <c r="FL48" s="66"/>
      <c r="FM48" s="66"/>
      <c r="FN48" s="66"/>
      <c r="FO48" s="66"/>
      <c r="FP48" s="66"/>
      <c r="FQ48" s="66"/>
      <c r="FR48" s="66"/>
      <c r="FS48" s="66"/>
      <c r="FT48" s="66"/>
      <c r="FU48" s="66"/>
      <c r="FV48" s="66"/>
      <c r="FW48" s="66"/>
      <c r="FX48" s="66"/>
      <c r="FY48" s="66"/>
      <c r="FZ48" s="66"/>
      <c r="GA48" s="66"/>
      <c r="GB48" s="66"/>
      <c r="GC48" s="66"/>
      <c r="GD48" s="66"/>
      <c r="GE48" s="66"/>
      <c r="GF48" s="66"/>
      <c r="GG48" s="66"/>
      <c r="GH48" s="66"/>
      <c r="GI48" s="66"/>
      <c r="GJ48" s="66"/>
      <c r="GK48" s="66"/>
      <c r="GL48" s="66"/>
      <c r="GM48" s="66"/>
      <c r="GN48" s="66"/>
      <c r="GO48" s="66"/>
      <c r="GP48" s="66"/>
      <c r="GQ48" s="66"/>
      <c r="GR48" s="66"/>
      <c r="GS48" s="66"/>
      <c r="GT48" s="66"/>
      <c r="GU48" s="66"/>
      <c r="GV48" s="66"/>
      <c r="GW48" s="66"/>
      <c r="GX48" s="66"/>
      <c r="GY48" s="66"/>
      <c r="GZ48" s="66"/>
      <c r="HA48" s="66"/>
      <c r="HB48" s="66"/>
      <c r="HC48" s="66"/>
      <c r="HD48" s="66"/>
      <c r="HE48" s="66"/>
      <c r="HF48" s="66"/>
      <c r="HG48" s="66"/>
      <c r="HH48" s="66"/>
      <c r="HI48" s="66"/>
      <c r="HJ48" s="66"/>
      <c r="HK48" s="66"/>
      <c r="HL48" s="66"/>
      <c r="HM48" s="66"/>
      <c r="HN48" s="66"/>
      <c r="HO48" s="66"/>
      <c r="HP48" s="66"/>
      <c r="HQ48" s="66"/>
      <c r="HR48" s="66"/>
      <c r="HS48" s="66"/>
      <c r="HT48" s="66"/>
      <c r="HU48" s="66"/>
      <c r="HV48" s="66"/>
      <c r="HW48" s="66"/>
      <c r="HX48" s="66"/>
      <c r="HY48" s="66"/>
      <c r="HZ48" s="66"/>
      <c r="IA48" s="66"/>
      <c r="IB48" s="66"/>
      <c r="IC48" s="66"/>
      <c r="ID48" s="66"/>
      <c r="IE48" s="66"/>
      <c r="IF48" s="66"/>
      <c r="IG48" s="66"/>
      <c r="IH48" s="66"/>
      <c r="II48" s="66"/>
      <c r="IJ48" s="66"/>
      <c r="IK48" s="66"/>
      <c r="IL48" s="66"/>
      <c r="IM48" s="66"/>
      <c r="IN48" s="66"/>
      <c r="IO48" s="66"/>
      <c r="IP48" s="66"/>
      <c r="IQ48" s="66"/>
      <c r="IR48" s="66"/>
    </row>
    <row r="49" customFormat="false" ht="22.5" hidden="false" customHeight="true" outlineLevel="0" collapsed="false">
      <c r="A49" s="66"/>
      <c r="B49" s="62" t="s">
        <v>194</v>
      </c>
      <c r="C49" s="63" t="s">
        <v>195</v>
      </c>
      <c r="D49" s="28" t="s">
        <v>47</v>
      </c>
      <c r="E49" s="64"/>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66"/>
      <c r="CO49" s="66"/>
      <c r="CP49" s="66"/>
      <c r="CQ49" s="66"/>
      <c r="CR49" s="66"/>
      <c r="CS49" s="66"/>
      <c r="CT49" s="66"/>
      <c r="CU49" s="66"/>
      <c r="CV49" s="66"/>
      <c r="CW49" s="66"/>
      <c r="CX49" s="66"/>
      <c r="CY49" s="66"/>
      <c r="CZ49" s="66"/>
      <c r="DA49" s="66"/>
      <c r="DB49" s="66"/>
      <c r="DC49" s="66"/>
      <c r="DD49" s="66"/>
      <c r="DE49" s="66"/>
      <c r="DF49" s="66"/>
      <c r="DG49" s="66"/>
      <c r="DH49" s="66"/>
      <c r="DI49" s="66"/>
      <c r="DJ49" s="66"/>
      <c r="DK49" s="66"/>
      <c r="DL49" s="66"/>
      <c r="DM49" s="66"/>
      <c r="DN49" s="66"/>
      <c r="DO49" s="66"/>
      <c r="DP49" s="66"/>
      <c r="DQ49" s="66"/>
      <c r="DR49" s="66"/>
      <c r="DS49" s="66"/>
      <c r="DT49" s="66"/>
      <c r="DU49" s="66"/>
      <c r="DV49" s="66"/>
      <c r="DW49" s="66"/>
      <c r="DX49" s="66"/>
      <c r="DY49" s="66"/>
      <c r="DZ49" s="66"/>
      <c r="EA49" s="66"/>
      <c r="EB49" s="66"/>
      <c r="EC49" s="66"/>
      <c r="ED49" s="66"/>
      <c r="EE49" s="66"/>
      <c r="EF49" s="66"/>
      <c r="EG49" s="66"/>
      <c r="EH49" s="66"/>
      <c r="EI49" s="66"/>
      <c r="EJ49" s="66"/>
      <c r="EK49" s="66"/>
      <c r="EL49" s="66"/>
      <c r="EM49" s="66"/>
      <c r="EN49" s="66"/>
      <c r="EO49" s="66"/>
      <c r="EP49" s="66"/>
      <c r="EQ49" s="66"/>
      <c r="ER49" s="66"/>
      <c r="ES49" s="66"/>
      <c r="ET49" s="66"/>
      <c r="EU49" s="66"/>
      <c r="EV49" s="66"/>
      <c r="EW49" s="66"/>
      <c r="EX49" s="66"/>
      <c r="EY49" s="66"/>
      <c r="EZ49" s="66"/>
      <c r="FA49" s="66"/>
      <c r="FB49" s="66"/>
      <c r="FC49" s="66"/>
      <c r="FD49" s="66"/>
      <c r="FE49" s="66"/>
      <c r="FF49" s="66"/>
      <c r="FG49" s="66"/>
      <c r="FH49" s="66"/>
      <c r="FI49" s="66"/>
      <c r="FJ49" s="66"/>
      <c r="FK49" s="66"/>
      <c r="FL49" s="66"/>
      <c r="FM49" s="66"/>
      <c r="FN49" s="66"/>
      <c r="FO49" s="66"/>
      <c r="FP49" s="66"/>
      <c r="FQ49" s="66"/>
      <c r="FR49" s="66"/>
      <c r="FS49" s="66"/>
      <c r="FT49" s="66"/>
      <c r="FU49" s="66"/>
      <c r="FV49" s="66"/>
      <c r="FW49" s="66"/>
      <c r="FX49" s="66"/>
      <c r="FY49" s="66"/>
      <c r="FZ49" s="66"/>
      <c r="GA49" s="66"/>
      <c r="GB49" s="66"/>
      <c r="GC49" s="66"/>
      <c r="GD49" s="66"/>
      <c r="GE49" s="66"/>
      <c r="GF49" s="66"/>
      <c r="GG49" s="66"/>
      <c r="GH49" s="66"/>
      <c r="GI49" s="66"/>
      <c r="GJ49" s="66"/>
      <c r="GK49" s="66"/>
      <c r="GL49" s="66"/>
      <c r="GM49" s="66"/>
      <c r="GN49" s="66"/>
      <c r="GO49" s="66"/>
      <c r="GP49" s="66"/>
      <c r="GQ49" s="66"/>
      <c r="GR49" s="66"/>
      <c r="GS49" s="66"/>
      <c r="GT49" s="66"/>
      <c r="GU49" s="66"/>
      <c r="GV49" s="66"/>
      <c r="GW49" s="66"/>
      <c r="GX49" s="66"/>
      <c r="GY49" s="66"/>
      <c r="GZ49" s="66"/>
      <c r="HA49" s="66"/>
      <c r="HB49" s="66"/>
      <c r="HC49" s="66"/>
      <c r="HD49" s="66"/>
      <c r="HE49" s="66"/>
      <c r="HF49" s="66"/>
      <c r="HG49" s="66"/>
      <c r="HH49" s="66"/>
      <c r="HI49" s="66"/>
      <c r="HJ49" s="66"/>
      <c r="HK49" s="66"/>
      <c r="HL49" s="66"/>
      <c r="HM49" s="66"/>
      <c r="HN49" s="66"/>
      <c r="HO49" s="66"/>
      <c r="HP49" s="66"/>
      <c r="HQ49" s="66"/>
      <c r="HR49" s="66"/>
      <c r="HS49" s="66"/>
      <c r="HT49" s="66"/>
      <c r="HU49" s="66"/>
      <c r="HV49" s="66"/>
      <c r="HW49" s="66"/>
      <c r="HX49" s="66"/>
      <c r="HY49" s="66"/>
      <c r="HZ49" s="66"/>
      <c r="IA49" s="66"/>
      <c r="IB49" s="66"/>
      <c r="IC49" s="66"/>
      <c r="ID49" s="66"/>
      <c r="IE49" s="66"/>
      <c r="IF49" s="66"/>
      <c r="IG49" s="66"/>
      <c r="IH49" s="66"/>
      <c r="II49" s="66"/>
      <c r="IJ49" s="66"/>
      <c r="IK49" s="66"/>
      <c r="IL49" s="66"/>
      <c r="IM49" s="66"/>
      <c r="IN49" s="66"/>
      <c r="IO49" s="66"/>
      <c r="IP49" s="66"/>
      <c r="IQ49" s="66"/>
      <c r="IR49" s="66"/>
    </row>
    <row r="50" customFormat="false" ht="39" hidden="false" customHeight="true" outlineLevel="0" collapsed="false">
      <c r="A50" s="15"/>
      <c r="B50" s="16" t="s">
        <v>196</v>
      </c>
      <c r="C50" s="61" t="s">
        <v>197</v>
      </c>
      <c r="D50" s="61"/>
      <c r="E50" s="61"/>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s="15"/>
      <c r="ET50" s="15"/>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c r="FW50" s="15"/>
      <c r="FX50" s="15"/>
      <c r="FY50" s="15"/>
      <c r="FZ50" s="15"/>
      <c r="GA50" s="15"/>
      <c r="GB50" s="15"/>
      <c r="GC50" s="15"/>
      <c r="GD50" s="15"/>
      <c r="GE50" s="15"/>
      <c r="GF50" s="15"/>
      <c r="GG50" s="15"/>
      <c r="GH50" s="15"/>
      <c r="GI50" s="15"/>
      <c r="GJ50" s="15"/>
      <c r="GK50" s="15"/>
      <c r="GL50" s="15"/>
      <c r="GM50" s="15"/>
      <c r="GN50" s="15"/>
      <c r="GO50" s="15"/>
      <c r="GP50" s="15"/>
      <c r="GQ50" s="15"/>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15"/>
      <c r="HQ50" s="15"/>
      <c r="HR50" s="15"/>
      <c r="HS50" s="15"/>
      <c r="HT50" s="15"/>
      <c r="HU50" s="15"/>
      <c r="HV50" s="15"/>
      <c r="HW50" s="15"/>
      <c r="HX50" s="15"/>
      <c r="HY50" s="15"/>
      <c r="HZ50" s="15"/>
      <c r="IA50" s="15"/>
      <c r="IB50" s="15"/>
      <c r="IC50" s="15"/>
      <c r="ID50" s="15"/>
      <c r="IE50" s="15"/>
      <c r="IF50" s="15"/>
      <c r="IG50" s="15"/>
      <c r="IH50" s="15"/>
      <c r="II50" s="15"/>
      <c r="IJ50" s="15"/>
      <c r="IK50" s="15"/>
      <c r="IL50" s="15"/>
      <c r="IM50" s="15"/>
      <c r="IN50" s="15"/>
      <c r="IO50" s="15"/>
      <c r="IP50" s="15"/>
      <c r="IQ50" s="15"/>
      <c r="IR50" s="15"/>
    </row>
    <row r="51" customFormat="false" ht="22.5" hidden="false" customHeight="true" outlineLevel="0" collapsed="false">
      <c r="A51" s="66"/>
      <c r="B51" s="62" t="s">
        <v>198</v>
      </c>
      <c r="C51" s="63" t="s">
        <v>199</v>
      </c>
      <c r="D51" s="28" t="s">
        <v>103</v>
      </c>
      <c r="E51" s="64"/>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6"/>
      <c r="BX51" s="66"/>
      <c r="BY51" s="66"/>
      <c r="BZ51" s="66"/>
      <c r="CA51" s="66"/>
      <c r="CB51" s="66"/>
      <c r="CC51" s="66"/>
      <c r="CD51" s="66"/>
      <c r="CE51" s="66"/>
      <c r="CF51" s="66"/>
      <c r="CG51" s="66"/>
      <c r="CH51" s="66"/>
      <c r="CI51" s="66"/>
      <c r="CJ51" s="66"/>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c r="DP51" s="66"/>
      <c r="DQ51" s="66"/>
      <c r="DR51" s="66"/>
      <c r="DS51" s="66"/>
      <c r="DT51" s="66"/>
      <c r="DU51" s="66"/>
      <c r="DV51" s="66"/>
      <c r="DW51" s="66"/>
      <c r="DX51" s="66"/>
      <c r="DY51" s="66"/>
      <c r="DZ51" s="66"/>
      <c r="EA51" s="66"/>
      <c r="EB51" s="66"/>
      <c r="EC51" s="66"/>
      <c r="ED51" s="66"/>
      <c r="EE51" s="66"/>
      <c r="EF51" s="66"/>
      <c r="EG51" s="66"/>
      <c r="EH51" s="66"/>
      <c r="EI51" s="66"/>
      <c r="EJ51" s="66"/>
      <c r="EK51" s="66"/>
      <c r="EL51" s="66"/>
      <c r="EM51" s="66"/>
      <c r="EN51" s="66"/>
      <c r="EO51" s="66"/>
      <c r="EP51" s="66"/>
      <c r="EQ51" s="66"/>
      <c r="ER51" s="66"/>
      <c r="ES51" s="66"/>
      <c r="ET51" s="66"/>
      <c r="EU51" s="66"/>
      <c r="EV51" s="66"/>
      <c r="EW51" s="66"/>
      <c r="EX51" s="66"/>
      <c r="EY51" s="66"/>
      <c r="EZ51" s="66"/>
      <c r="FA51" s="66"/>
      <c r="FB51" s="66"/>
      <c r="FC51" s="66"/>
      <c r="FD51" s="66"/>
      <c r="FE51" s="66"/>
      <c r="FF51" s="66"/>
      <c r="FG51" s="66"/>
      <c r="FH51" s="66"/>
      <c r="FI51" s="66"/>
      <c r="FJ51" s="66"/>
      <c r="FK51" s="66"/>
      <c r="FL51" s="66"/>
      <c r="FM51" s="66"/>
      <c r="FN51" s="66"/>
      <c r="FO51" s="66"/>
      <c r="FP51" s="66"/>
      <c r="FQ51" s="66"/>
      <c r="FR51" s="66"/>
      <c r="FS51" s="66"/>
      <c r="FT51" s="66"/>
      <c r="FU51" s="66"/>
      <c r="FV51" s="66"/>
      <c r="FW51" s="66"/>
      <c r="FX51" s="66"/>
      <c r="FY51" s="66"/>
      <c r="FZ51" s="66"/>
      <c r="GA51" s="66"/>
      <c r="GB51" s="66"/>
      <c r="GC51" s="66"/>
      <c r="GD51" s="66"/>
      <c r="GE51" s="66"/>
      <c r="GF51" s="66"/>
      <c r="GG51" s="66"/>
      <c r="GH51" s="66"/>
      <c r="GI51" s="66"/>
      <c r="GJ51" s="66"/>
      <c r="GK51" s="66"/>
      <c r="GL51" s="66"/>
      <c r="GM51" s="66"/>
      <c r="GN51" s="66"/>
      <c r="GO51" s="66"/>
      <c r="GP51" s="66"/>
      <c r="GQ51" s="66"/>
      <c r="GR51" s="66"/>
      <c r="GS51" s="66"/>
      <c r="GT51" s="66"/>
      <c r="GU51" s="66"/>
      <c r="GV51" s="66"/>
      <c r="GW51" s="66"/>
      <c r="GX51" s="66"/>
      <c r="GY51" s="66"/>
      <c r="GZ51" s="66"/>
      <c r="HA51" s="66"/>
      <c r="HB51" s="66"/>
      <c r="HC51" s="66"/>
      <c r="HD51" s="66"/>
      <c r="HE51" s="66"/>
      <c r="HF51" s="66"/>
      <c r="HG51" s="66"/>
      <c r="HH51" s="66"/>
      <c r="HI51" s="66"/>
      <c r="HJ51" s="66"/>
      <c r="HK51" s="66"/>
      <c r="HL51" s="66"/>
      <c r="HM51" s="66"/>
      <c r="HN51" s="66"/>
      <c r="HO51" s="66"/>
      <c r="HP51" s="66"/>
      <c r="HQ51" s="66"/>
      <c r="HR51" s="66"/>
      <c r="HS51" s="66"/>
      <c r="HT51" s="66"/>
      <c r="HU51" s="66"/>
      <c r="HV51" s="66"/>
      <c r="HW51" s="66"/>
      <c r="HX51" s="66"/>
      <c r="HY51" s="66"/>
      <c r="HZ51" s="66"/>
      <c r="IA51" s="66"/>
      <c r="IB51" s="66"/>
      <c r="IC51" s="66"/>
      <c r="ID51" s="66"/>
      <c r="IE51" s="66"/>
      <c r="IF51" s="66"/>
      <c r="IG51" s="66"/>
      <c r="IH51" s="66"/>
      <c r="II51" s="66"/>
      <c r="IJ51" s="66"/>
      <c r="IK51" s="66"/>
      <c r="IL51" s="66"/>
      <c r="IM51" s="66"/>
      <c r="IN51" s="66"/>
      <c r="IO51" s="66"/>
      <c r="IP51" s="66"/>
      <c r="IQ51" s="66"/>
      <c r="IR51" s="66"/>
    </row>
    <row r="52" customFormat="false" ht="22.5" hidden="false" customHeight="true" outlineLevel="0" collapsed="false">
      <c r="A52" s="66"/>
      <c r="B52" s="62" t="s">
        <v>200</v>
      </c>
      <c r="C52" s="63" t="s">
        <v>201</v>
      </c>
      <c r="D52" s="28" t="s">
        <v>103</v>
      </c>
      <c r="E52" s="64"/>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6"/>
      <c r="BX52" s="66"/>
      <c r="BY52" s="66"/>
      <c r="BZ52" s="66"/>
      <c r="CA52" s="66"/>
      <c r="CB52" s="66"/>
      <c r="CC52" s="66"/>
      <c r="CD52" s="66"/>
      <c r="CE52" s="66"/>
      <c r="CF52" s="66"/>
      <c r="CG52" s="66"/>
      <c r="CH52" s="66"/>
      <c r="CI52" s="66"/>
      <c r="CJ52" s="66"/>
      <c r="CK52" s="66"/>
      <c r="CL52" s="66"/>
      <c r="CM52" s="66"/>
      <c r="CN52" s="66"/>
      <c r="CO52" s="66"/>
      <c r="CP52" s="66"/>
      <c r="CQ52" s="66"/>
      <c r="CR52" s="66"/>
      <c r="CS52" s="66"/>
      <c r="CT52" s="66"/>
      <c r="CU52" s="66"/>
      <c r="CV52" s="66"/>
      <c r="CW52" s="66"/>
      <c r="CX52" s="66"/>
      <c r="CY52" s="66"/>
      <c r="CZ52" s="66"/>
      <c r="DA52" s="66"/>
      <c r="DB52" s="66"/>
      <c r="DC52" s="66"/>
      <c r="DD52" s="66"/>
      <c r="DE52" s="66"/>
      <c r="DF52" s="66"/>
      <c r="DG52" s="66"/>
      <c r="DH52" s="66"/>
      <c r="DI52" s="66"/>
      <c r="DJ52" s="66"/>
      <c r="DK52" s="66"/>
      <c r="DL52" s="66"/>
      <c r="DM52" s="66"/>
      <c r="DN52" s="66"/>
      <c r="DO52" s="66"/>
      <c r="DP52" s="66"/>
      <c r="DQ52" s="66"/>
      <c r="DR52" s="66"/>
      <c r="DS52" s="66"/>
      <c r="DT52" s="66"/>
      <c r="DU52" s="66"/>
      <c r="DV52" s="66"/>
      <c r="DW52" s="66"/>
      <c r="DX52" s="66"/>
      <c r="DY52" s="66"/>
      <c r="DZ52" s="66"/>
      <c r="EA52" s="66"/>
      <c r="EB52" s="66"/>
      <c r="EC52" s="66"/>
      <c r="ED52" s="66"/>
      <c r="EE52" s="66"/>
      <c r="EF52" s="66"/>
      <c r="EG52" s="66"/>
      <c r="EH52" s="66"/>
      <c r="EI52" s="66"/>
      <c r="EJ52" s="66"/>
      <c r="EK52" s="66"/>
      <c r="EL52" s="66"/>
      <c r="EM52" s="66"/>
      <c r="EN52" s="66"/>
      <c r="EO52" s="66"/>
      <c r="EP52" s="66"/>
      <c r="EQ52" s="66"/>
      <c r="ER52" s="66"/>
      <c r="ES52" s="66"/>
      <c r="ET52" s="66"/>
      <c r="EU52" s="66"/>
      <c r="EV52" s="66"/>
      <c r="EW52" s="66"/>
      <c r="EX52" s="66"/>
      <c r="EY52" s="66"/>
      <c r="EZ52" s="66"/>
      <c r="FA52" s="66"/>
      <c r="FB52" s="66"/>
      <c r="FC52" s="66"/>
      <c r="FD52" s="66"/>
      <c r="FE52" s="66"/>
      <c r="FF52" s="66"/>
      <c r="FG52" s="66"/>
      <c r="FH52" s="66"/>
      <c r="FI52" s="66"/>
      <c r="FJ52" s="66"/>
      <c r="FK52" s="66"/>
      <c r="FL52" s="66"/>
      <c r="FM52" s="66"/>
      <c r="FN52" s="66"/>
      <c r="FO52" s="66"/>
      <c r="FP52" s="66"/>
      <c r="FQ52" s="66"/>
      <c r="FR52" s="66"/>
      <c r="FS52" s="66"/>
      <c r="FT52" s="66"/>
      <c r="FU52" s="66"/>
      <c r="FV52" s="66"/>
      <c r="FW52" s="66"/>
      <c r="FX52" s="66"/>
      <c r="FY52" s="66"/>
      <c r="FZ52" s="66"/>
      <c r="GA52" s="66"/>
      <c r="GB52" s="66"/>
      <c r="GC52" s="66"/>
      <c r="GD52" s="66"/>
      <c r="GE52" s="66"/>
      <c r="GF52" s="66"/>
      <c r="GG52" s="66"/>
      <c r="GH52" s="66"/>
      <c r="GI52" s="66"/>
      <c r="GJ52" s="66"/>
      <c r="GK52" s="66"/>
      <c r="GL52" s="66"/>
      <c r="GM52" s="66"/>
      <c r="GN52" s="66"/>
      <c r="GO52" s="66"/>
      <c r="GP52" s="66"/>
      <c r="GQ52" s="66"/>
      <c r="GR52" s="66"/>
      <c r="GS52" s="66"/>
      <c r="GT52" s="66"/>
      <c r="GU52" s="66"/>
      <c r="GV52" s="66"/>
      <c r="GW52" s="66"/>
      <c r="GX52" s="66"/>
      <c r="GY52" s="66"/>
      <c r="GZ52" s="66"/>
      <c r="HA52" s="66"/>
      <c r="HB52" s="66"/>
      <c r="HC52" s="66"/>
      <c r="HD52" s="66"/>
      <c r="HE52" s="66"/>
      <c r="HF52" s="66"/>
      <c r="HG52" s="66"/>
      <c r="HH52" s="66"/>
      <c r="HI52" s="66"/>
      <c r="HJ52" s="66"/>
      <c r="HK52" s="66"/>
      <c r="HL52" s="66"/>
      <c r="HM52" s="66"/>
      <c r="HN52" s="66"/>
      <c r="HO52" s="66"/>
      <c r="HP52" s="66"/>
      <c r="HQ52" s="66"/>
      <c r="HR52" s="66"/>
      <c r="HS52" s="66"/>
      <c r="HT52" s="66"/>
      <c r="HU52" s="66"/>
      <c r="HV52" s="66"/>
      <c r="HW52" s="66"/>
      <c r="HX52" s="66"/>
      <c r="HY52" s="66"/>
      <c r="HZ52" s="66"/>
      <c r="IA52" s="66"/>
      <c r="IB52" s="66"/>
      <c r="IC52" s="66"/>
      <c r="ID52" s="66"/>
      <c r="IE52" s="66"/>
      <c r="IF52" s="66"/>
      <c r="IG52" s="66"/>
      <c r="IH52" s="66"/>
      <c r="II52" s="66"/>
      <c r="IJ52" s="66"/>
      <c r="IK52" s="66"/>
      <c r="IL52" s="66"/>
      <c r="IM52" s="66"/>
      <c r="IN52" s="66"/>
      <c r="IO52" s="66"/>
      <c r="IP52" s="66"/>
      <c r="IQ52" s="66"/>
      <c r="IR52" s="66"/>
    </row>
    <row r="53" customFormat="false" ht="22.5" hidden="false" customHeight="true" outlineLevel="0" collapsed="false">
      <c r="A53" s="66"/>
      <c r="B53" s="62" t="s">
        <v>202</v>
      </c>
      <c r="C53" s="63" t="s">
        <v>203</v>
      </c>
      <c r="D53" s="28" t="s">
        <v>103</v>
      </c>
      <c r="E53" s="64"/>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66"/>
      <c r="CO53" s="66"/>
      <c r="CP53" s="66"/>
      <c r="CQ53" s="66"/>
      <c r="CR53" s="66"/>
      <c r="CS53" s="66"/>
      <c r="CT53" s="66"/>
      <c r="CU53" s="66"/>
      <c r="CV53" s="66"/>
      <c r="CW53" s="66"/>
      <c r="CX53" s="66"/>
      <c r="CY53" s="66"/>
      <c r="CZ53" s="66"/>
      <c r="DA53" s="66"/>
      <c r="DB53" s="66"/>
      <c r="DC53" s="66"/>
      <c r="DD53" s="66"/>
      <c r="DE53" s="66"/>
      <c r="DF53" s="66"/>
      <c r="DG53" s="66"/>
      <c r="DH53" s="66"/>
      <c r="DI53" s="66"/>
      <c r="DJ53" s="66"/>
      <c r="DK53" s="66"/>
      <c r="DL53" s="66"/>
      <c r="DM53" s="66"/>
      <c r="DN53" s="66"/>
      <c r="DO53" s="66"/>
      <c r="DP53" s="66"/>
      <c r="DQ53" s="66"/>
      <c r="DR53" s="66"/>
      <c r="DS53" s="66"/>
      <c r="DT53" s="66"/>
      <c r="DU53" s="66"/>
      <c r="DV53" s="66"/>
      <c r="DW53" s="66"/>
      <c r="DX53" s="66"/>
      <c r="DY53" s="66"/>
      <c r="DZ53" s="66"/>
      <c r="EA53" s="66"/>
      <c r="EB53" s="66"/>
      <c r="EC53" s="66"/>
      <c r="ED53" s="66"/>
      <c r="EE53" s="66"/>
      <c r="EF53" s="66"/>
      <c r="EG53" s="66"/>
      <c r="EH53" s="66"/>
      <c r="EI53" s="66"/>
      <c r="EJ53" s="66"/>
      <c r="EK53" s="66"/>
      <c r="EL53" s="66"/>
      <c r="EM53" s="66"/>
      <c r="EN53" s="66"/>
      <c r="EO53" s="66"/>
      <c r="EP53" s="66"/>
      <c r="EQ53" s="66"/>
      <c r="ER53" s="66"/>
      <c r="ES53" s="66"/>
      <c r="ET53" s="66"/>
      <c r="EU53" s="66"/>
      <c r="EV53" s="66"/>
      <c r="EW53" s="66"/>
      <c r="EX53" s="66"/>
      <c r="EY53" s="66"/>
      <c r="EZ53" s="66"/>
      <c r="FA53" s="66"/>
      <c r="FB53" s="66"/>
      <c r="FC53" s="66"/>
      <c r="FD53" s="66"/>
      <c r="FE53" s="66"/>
      <c r="FF53" s="66"/>
      <c r="FG53" s="66"/>
      <c r="FH53" s="66"/>
      <c r="FI53" s="66"/>
      <c r="FJ53" s="66"/>
      <c r="FK53" s="66"/>
      <c r="FL53" s="66"/>
      <c r="FM53" s="66"/>
      <c r="FN53" s="66"/>
      <c r="FO53" s="66"/>
      <c r="FP53" s="66"/>
      <c r="FQ53" s="66"/>
      <c r="FR53" s="66"/>
      <c r="FS53" s="66"/>
      <c r="FT53" s="66"/>
      <c r="FU53" s="66"/>
      <c r="FV53" s="66"/>
      <c r="FW53" s="66"/>
      <c r="FX53" s="66"/>
      <c r="FY53" s="66"/>
      <c r="FZ53" s="66"/>
      <c r="GA53" s="66"/>
      <c r="GB53" s="66"/>
      <c r="GC53" s="66"/>
      <c r="GD53" s="66"/>
      <c r="GE53" s="66"/>
      <c r="GF53" s="66"/>
      <c r="GG53" s="66"/>
      <c r="GH53" s="66"/>
      <c r="GI53" s="66"/>
      <c r="GJ53" s="66"/>
      <c r="GK53" s="66"/>
      <c r="GL53" s="66"/>
      <c r="GM53" s="66"/>
      <c r="GN53" s="66"/>
      <c r="GO53" s="66"/>
      <c r="GP53" s="66"/>
      <c r="GQ53" s="66"/>
      <c r="GR53" s="66"/>
      <c r="GS53" s="66"/>
      <c r="GT53" s="66"/>
      <c r="GU53" s="66"/>
      <c r="GV53" s="66"/>
      <c r="GW53" s="66"/>
      <c r="GX53" s="66"/>
      <c r="GY53" s="66"/>
      <c r="GZ53" s="66"/>
      <c r="HA53" s="66"/>
      <c r="HB53" s="66"/>
      <c r="HC53" s="66"/>
      <c r="HD53" s="66"/>
      <c r="HE53" s="66"/>
      <c r="HF53" s="66"/>
      <c r="HG53" s="66"/>
      <c r="HH53" s="66"/>
      <c r="HI53" s="66"/>
      <c r="HJ53" s="66"/>
      <c r="HK53" s="66"/>
      <c r="HL53" s="66"/>
      <c r="HM53" s="66"/>
      <c r="HN53" s="66"/>
      <c r="HO53" s="66"/>
      <c r="HP53" s="66"/>
      <c r="HQ53" s="66"/>
      <c r="HR53" s="66"/>
      <c r="HS53" s="66"/>
      <c r="HT53" s="66"/>
      <c r="HU53" s="66"/>
      <c r="HV53" s="66"/>
      <c r="HW53" s="66"/>
      <c r="HX53" s="66"/>
      <c r="HY53" s="66"/>
      <c r="HZ53" s="66"/>
      <c r="IA53" s="66"/>
      <c r="IB53" s="66"/>
      <c r="IC53" s="66"/>
      <c r="ID53" s="66"/>
      <c r="IE53" s="66"/>
      <c r="IF53" s="66"/>
      <c r="IG53" s="66"/>
      <c r="IH53" s="66"/>
      <c r="II53" s="66"/>
      <c r="IJ53" s="66"/>
      <c r="IK53" s="66"/>
      <c r="IL53" s="66"/>
      <c r="IM53" s="66"/>
      <c r="IN53" s="66"/>
      <c r="IO53" s="66"/>
      <c r="IP53" s="66"/>
      <c r="IQ53" s="66"/>
      <c r="IR53" s="66"/>
    </row>
    <row r="54" customFormat="false" ht="22.5" hidden="false" customHeight="true" outlineLevel="0" collapsed="false">
      <c r="A54" s="66"/>
      <c r="B54" s="62" t="s">
        <v>204</v>
      </c>
      <c r="C54" s="63" t="s">
        <v>205</v>
      </c>
      <c r="D54" s="28" t="s">
        <v>103</v>
      </c>
      <c r="E54" s="64"/>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6"/>
      <c r="BX54" s="66"/>
      <c r="BY54" s="66"/>
      <c r="BZ54" s="66"/>
      <c r="CA54" s="66"/>
      <c r="CB54" s="66"/>
      <c r="CC54" s="66"/>
      <c r="CD54" s="66"/>
      <c r="CE54" s="66"/>
      <c r="CF54" s="66"/>
      <c r="CG54" s="66"/>
      <c r="CH54" s="66"/>
      <c r="CI54" s="66"/>
      <c r="CJ54" s="66"/>
      <c r="CK54" s="66"/>
      <c r="CL54" s="66"/>
      <c r="CM54" s="66"/>
      <c r="CN54" s="66"/>
      <c r="CO54" s="66"/>
      <c r="CP54" s="66"/>
      <c r="CQ54" s="66"/>
      <c r="CR54" s="66"/>
      <c r="CS54" s="66"/>
      <c r="CT54" s="66"/>
      <c r="CU54" s="66"/>
      <c r="CV54" s="66"/>
      <c r="CW54" s="66"/>
      <c r="CX54" s="66"/>
      <c r="CY54" s="66"/>
      <c r="CZ54" s="66"/>
      <c r="DA54" s="66"/>
      <c r="DB54" s="66"/>
      <c r="DC54" s="66"/>
      <c r="DD54" s="66"/>
      <c r="DE54" s="66"/>
      <c r="DF54" s="66"/>
      <c r="DG54" s="66"/>
      <c r="DH54" s="66"/>
      <c r="DI54" s="66"/>
      <c r="DJ54" s="66"/>
      <c r="DK54" s="66"/>
      <c r="DL54" s="66"/>
      <c r="DM54" s="66"/>
      <c r="DN54" s="66"/>
      <c r="DO54" s="66"/>
      <c r="DP54" s="66"/>
      <c r="DQ54" s="66"/>
      <c r="DR54" s="66"/>
      <c r="DS54" s="66"/>
      <c r="DT54" s="66"/>
      <c r="DU54" s="66"/>
      <c r="DV54" s="66"/>
      <c r="DW54" s="66"/>
      <c r="DX54" s="66"/>
      <c r="DY54" s="66"/>
      <c r="DZ54" s="66"/>
      <c r="EA54" s="66"/>
      <c r="EB54" s="66"/>
      <c r="EC54" s="66"/>
      <c r="ED54" s="66"/>
      <c r="EE54" s="66"/>
      <c r="EF54" s="66"/>
      <c r="EG54" s="66"/>
      <c r="EH54" s="66"/>
      <c r="EI54" s="66"/>
      <c r="EJ54" s="66"/>
      <c r="EK54" s="66"/>
      <c r="EL54" s="66"/>
      <c r="EM54" s="66"/>
      <c r="EN54" s="66"/>
      <c r="EO54" s="66"/>
      <c r="EP54" s="66"/>
      <c r="EQ54" s="66"/>
      <c r="ER54" s="66"/>
      <c r="ES54" s="66"/>
      <c r="ET54" s="66"/>
      <c r="EU54" s="66"/>
      <c r="EV54" s="66"/>
      <c r="EW54" s="66"/>
      <c r="EX54" s="66"/>
      <c r="EY54" s="66"/>
      <c r="EZ54" s="66"/>
      <c r="FA54" s="66"/>
      <c r="FB54" s="66"/>
      <c r="FC54" s="66"/>
      <c r="FD54" s="66"/>
      <c r="FE54" s="66"/>
      <c r="FF54" s="66"/>
      <c r="FG54" s="66"/>
      <c r="FH54" s="66"/>
      <c r="FI54" s="66"/>
      <c r="FJ54" s="66"/>
      <c r="FK54" s="66"/>
      <c r="FL54" s="66"/>
      <c r="FM54" s="66"/>
      <c r="FN54" s="66"/>
      <c r="FO54" s="66"/>
      <c r="FP54" s="66"/>
      <c r="FQ54" s="66"/>
      <c r="FR54" s="66"/>
      <c r="FS54" s="66"/>
      <c r="FT54" s="66"/>
      <c r="FU54" s="66"/>
      <c r="FV54" s="66"/>
      <c r="FW54" s="66"/>
      <c r="FX54" s="66"/>
      <c r="FY54" s="66"/>
      <c r="FZ54" s="66"/>
      <c r="GA54" s="66"/>
      <c r="GB54" s="66"/>
      <c r="GC54" s="66"/>
      <c r="GD54" s="66"/>
      <c r="GE54" s="66"/>
      <c r="GF54" s="66"/>
      <c r="GG54" s="66"/>
      <c r="GH54" s="66"/>
      <c r="GI54" s="66"/>
      <c r="GJ54" s="66"/>
      <c r="GK54" s="66"/>
      <c r="GL54" s="66"/>
      <c r="GM54" s="66"/>
      <c r="GN54" s="66"/>
      <c r="GO54" s="66"/>
      <c r="GP54" s="66"/>
      <c r="GQ54" s="66"/>
      <c r="GR54" s="66"/>
      <c r="GS54" s="66"/>
      <c r="GT54" s="66"/>
      <c r="GU54" s="66"/>
      <c r="GV54" s="66"/>
      <c r="GW54" s="66"/>
      <c r="GX54" s="66"/>
      <c r="GY54" s="66"/>
      <c r="GZ54" s="66"/>
      <c r="HA54" s="66"/>
      <c r="HB54" s="66"/>
      <c r="HC54" s="66"/>
      <c r="HD54" s="66"/>
      <c r="HE54" s="66"/>
      <c r="HF54" s="66"/>
      <c r="HG54" s="66"/>
      <c r="HH54" s="66"/>
      <c r="HI54" s="66"/>
      <c r="HJ54" s="66"/>
      <c r="HK54" s="66"/>
      <c r="HL54" s="66"/>
      <c r="HM54" s="66"/>
      <c r="HN54" s="66"/>
      <c r="HO54" s="66"/>
      <c r="HP54" s="66"/>
      <c r="HQ54" s="66"/>
      <c r="HR54" s="66"/>
      <c r="HS54" s="66"/>
      <c r="HT54" s="66"/>
      <c r="HU54" s="66"/>
      <c r="HV54" s="66"/>
      <c r="HW54" s="66"/>
      <c r="HX54" s="66"/>
      <c r="HY54" s="66"/>
      <c r="HZ54" s="66"/>
      <c r="IA54" s="66"/>
      <c r="IB54" s="66"/>
      <c r="IC54" s="66"/>
      <c r="ID54" s="66"/>
      <c r="IE54" s="66"/>
      <c r="IF54" s="66"/>
      <c r="IG54" s="66"/>
      <c r="IH54" s="66"/>
      <c r="II54" s="66"/>
      <c r="IJ54" s="66"/>
      <c r="IK54" s="66"/>
      <c r="IL54" s="66"/>
      <c r="IM54" s="66"/>
      <c r="IN54" s="66"/>
      <c r="IO54" s="66"/>
      <c r="IP54" s="66"/>
      <c r="IQ54" s="66"/>
      <c r="IR54" s="66"/>
    </row>
    <row r="55" customFormat="false" ht="22.5" hidden="false" customHeight="true" outlineLevel="0" collapsed="false">
      <c r="A55" s="66"/>
      <c r="B55" s="62" t="s">
        <v>206</v>
      </c>
      <c r="C55" s="63" t="s">
        <v>207</v>
      </c>
      <c r="D55" s="28" t="s">
        <v>103</v>
      </c>
      <c r="E55" s="64"/>
      <c r="F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6"/>
      <c r="BW55" s="66"/>
      <c r="BX55" s="66"/>
      <c r="BY55" s="66"/>
      <c r="BZ55" s="66"/>
      <c r="CA55" s="66"/>
      <c r="CB55" s="66"/>
      <c r="CC55" s="66"/>
      <c r="CD55" s="66"/>
      <c r="CE55" s="66"/>
      <c r="CF55" s="66"/>
      <c r="CG55" s="66"/>
      <c r="CH55" s="66"/>
      <c r="CI55" s="66"/>
      <c r="CJ55" s="66"/>
      <c r="CK55" s="66"/>
      <c r="CL55" s="66"/>
      <c r="CM55" s="66"/>
      <c r="CN55" s="66"/>
      <c r="CO55" s="66"/>
      <c r="CP55" s="66"/>
      <c r="CQ55" s="66"/>
      <c r="CR55" s="66"/>
      <c r="CS55" s="66"/>
      <c r="CT55" s="66"/>
      <c r="CU55" s="66"/>
      <c r="CV55" s="66"/>
      <c r="CW55" s="66"/>
      <c r="CX55" s="66"/>
      <c r="CY55" s="66"/>
      <c r="CZ55" s="66"/>
      <c r="DA55" s="66"/>
      <c r="DB55" s="66"/>
      <c r="DC55" s="66"/>
      <c r="DD55" s="66"/>
      <c r="DE55" s="66"/>
      <c r="DF55" s="66"/>
      <c r="DG55" s="66"/>
      <c r="DH55" s="66"/>
      <c r="DI55" s="66"/>
      <c r="DJ55" s="66"/>
      <c r="DK55" s="66"/>
      <c r="DL55" s="66"/>
      <c r="DM55" s="66"/>
      <c r="DN55" s="66"/>
      <c r="DO55" s="66"/>
      <c r="DP55" s="66"/>
      <c r="DQ55" s="66"/>
      <c r="DR55" s="66"/>
      <c r="DS55" s="66"/>
      <c r="DT55" s="66"/>
      <c r="DU55" s="66"/>
      <c r="DV55" s="66"/>
      <c r="DW55" s="66"/>
      <c r="DX55" s="66"/>
      <c r="DY55" s="66"/>
      <c r="DZ55" s="66"/>
      <c r="EA55" s="66"/>
      <c r="EB55" s="66"/>
      <c r="EC55" s="66"/>
      <c r="ED55" s="66"/>
      <c r="EE55" s="66"/>
      <c r="EF55" s="66"/>
      <c r="EG55" s="66"/>
      <c r="EH55" s="66"/>
      <c r="EI55" s="66"/>
      <c r="EJ55" s="66"/>
      <c r="EK55" s="66"/>
      <c r="EL55" s="66"/>
      <c r="EM55" s="66"/>
      <c r="EN55" s="66"/>
      <c r="EO55" s="66"/>
      <c r="EP55" s="66"/>
      <c r="EQ55" s="66"/>
      <c r="ER55" s="66"/>
      <c r="ES55" s="66"/>
      <c r="ET55" s="66"/>
      <c r="EU55" s="66"/>
      <c r="EV55" s="66"/>
      <c r="EW55" s="66"/>
      <c r="EX55" s="66"/>
      <c r="EY55" s="66"/>
      <c r="EZ55" s="66"/>
      <c r="FA55" s="66"/>
      <c r="FB55" s="66"/>
      <c r="FC55" s="66"/>
      <c r="FD55" s="66"/>
      <c r="FE55" s="66"/>
      <c r="FF55" s="66"/>
      <c r="FG55" s="66"/>
      <c r="FH55" s="66"/>
      <c r="FI55" s="66"/>
      <c r="FJ55" s="66"/>
      <c r="FK55" s="66"/>
      <c r="FL55" s="66"/>
      <c r="FM55" s="66"/>
      <c r="FN55" s="66"/>
      <c r="FO55" s="66"/>
      <c r="FP55" s="66"/>
      <c r="FQ55" s="66"/>
      <c r="FR55" s="66"/>
      <c r="FS55" s="66"/>
      <c r="FT55" s="66"/>
      <c r="FU55" s="66"/>
      <c r="FV55" s="66"/>
      <c r="FW55" s="66"/>
      <c r="FX55" s="66"/>
      <c r="FY55" s="66"/>
      <c r="FZ55" s="66"/>
      <c r="GA55" s="66"/>
      <c r="GB55" s="66"/>
      <c r="GC55" s="66"/>
      <c r="GD55" s="66"/>
      <c r="GE55" s="66"/>
      <c r="GF55" s="66"/>
      <c r="GG55" s="66"/>
      <c r="GH55" s="66"/>
      <c r="GI55" s="66"/>
      <c r="GJ55" s="66"/>
      <c r="GK55" s="66"/>
      <c r="GL55" s="66"/>
      <c r="GM55" s="66"/>
      <c r="GN55" s="66"/>
      <c r="GO55" s="66"/>
      <c r="GP55" s="66"/>
      <c r="GQ55" s="66"/>
      <c r="GR55" s="66"/>
      <c r="GS55" s="66"/>
      <c r="GT55" s="66"/>
      <c r="GU55" s="66"/>
      <c r="GV55" s="66"/>
      <c r="GW55" s="66"/>
      <c r="GX55" s="66"/>
      <c r="GY55" s="66"/>
      <c r="GZ55" s="66"/>
      <c r="HA55" s="66"/>
      <c r="HB55" s="66"/>
      <c r="HC55" s="66"/>
      <c r="HD55" s="66"/>
      <c r="HE55" s="66"/>
      <c r="HF55" s="66"/>
      <c r="HG55" s="66"/>
      <c r="HH55" s="66"/>
      <c r="HI55" s="66"/>
      <c r="HJ55" s="66"/>
      <c r="HK55" s="66"/>
      <c r="HL55" s="66"/>
      <c r="HM55" s="66"/>
      <c r="HN55" s="66"/>
      <c r="HO55" s="66"/>
      <c r="HP55" s="66"/>
      <c r="HQ55" s="66"/>
      <c r="HR55" s="66"/>
      <c r="HS55" s="66"/>
      <c r="HT55" s="66"/>
      <c r="HU55" s="66"/>
      <c r="HV55" s="66"/>
      <c r="HW55" s="66"/>
      <c r="HX55" s="66"/>
      <c r="HY55" s="66"/>
      <c r="HZ55" s="66"/>
      <c r="IA55" s="66"/>
      <c r="IB55" s="66"/>
      <c r="IC55" s="66"/>
      <c r="ID55" s="66"/>
      <c r="IE55" s="66"/>
      <c r="IF55" s="66"/>
      <c r="IG55" s="66"/>
      <c r="IH55" s="66"/>
      <c r="II55" s="66"/>
      <c r="IJ55" s="66"/>
      <c r="IK55" s="66"/>
      <c r="IL55" s="66"/>
      <c r="IM55" s="66"/>
      <c r="IN55" s="66"/>
      <c r="IO55" s="66"/>
      <c r="IP55" s="66"/>
      <c r="IQ55" s="66"/>
      <c r="IR55" s="66"/>
    </row>
    <row r="56" customFormat="false" ht="22.5" hidden="false" customHeight="true" outlineLevel="0" collapsed="false">
      <c r="A56" s="66"/>
      <c r="B56" s="62" t="s">
        <v>208</v>
      </c>
      <c r="C56" s="63" t="s">
        <v>209</v>
      </c>
      <c r="D56" s="28" t="s">
        <v>103</v>
      </c>
      <c r="E56" s="64"/>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6"/>
      <c r="CD56" s="66"/>
      <c r="CE56" s="66"/>
      <c r="CF56" s="66"/>
      <c r="CG56" s="66"/>
      <c r="CH56" s="66"/>
      <c r="CI56" s="66"/>
      <c r="CJ56" s="66"/>
      <c r="CK56" s="66"/>
      <c r="CL56" s="66"/>
      <c r="CM56" s="66"/>
      <c r="CN56" s="66"/>
      <c r="CO56" s="66"/>
      <c r="CP56" s="66"/>
      <c r="CQ56" s="66"/>
      <c r="CR56" s="66"/>
      <c r="CS56" s="66"/>
      <c r="CT56" s="66"/>
      <c r="CU56" s="66"/>
      <c r="CV56" s="66"/>
      <c r="CW56" s="66"/>
      <c r="CX56" s="66"/>
      <c r="CY56" s="66"/>
      <c r="CZ56" s="66"/>
      <c r="DA56" s="66"/>
      <c r="DB56" s="66"/>
      <c r="DC56" s="66"/>
      <c r="DD56" s="66"/>
      <c r="DE56" s="66"/>
      <c r="DF56" s="66"/>
      <c r="DG56" s="66"/>
      <c r="DH56" s="66"/>
      <c r="DI56" s="66"/>
      <c r="DJ56" s="66"/>
      <c r="DK56" s="66"/>
      <c r="DL56" s="66"/>
      <c r="DM56" s="66"/>
      <c r="DN56" s="66"/>
      <c r="DO56" s="66"/>
      <c r="DP56" s="66"/>
      <c r="DQ56" s="66"/>
      <c r="DR56" s="66"/>
      <c r="DS56" s="66"/>
      <c r="DT56" s="66"/>
      <c r="DU56" s="66"/>
      <c r="DV56" s="66"/>
      <c r="DW56" s="66"/>
      <c r="DX56" s="66"/>
      <c r="DY56" s="66"/>
      <c r="DZ56" s="66"/>
      <c r="EA56" s="66"/>
      <c r="EB56" s="66"/>
      <c r="EC56" s="66"/>
      <c r="ED56" s="66"/>
      <c r="EE56" s="66"/>
      <c r="EF56" s="66"/>
      <c r="EG56" s="66"/>
      <c r="EH56" s="66"/>
      <c r="EI56" s="66"/>
      <c r="EJ56" s="66"/>
      <c r="EK56" s="66"/>
      <c r="EL56" s="66"/>
      <c r="EM56" s="66"/>
      <c r="EN56" s="66"/>
      <c r="EO56" s="66"/>
      <c r="EP56" s="66"/>
      <c r="EQ56" s="66"/>
      <c r="ER56" s="66"/>
      <c r="ES56" s="66"/>
      <c r="ET56" s="66"/>
      <c r="EU56" s="66"/>
      <c r="EV56" s="66"/>
      <c r="EW56" s="66"/>
      <c r="EX56" s="66"/>
      <c r="EY56" s="66"/>
      <c r="EZ56" s="66"/>
      <c r="FA56" s="66"/>
      <c r="FB56" s="66"/>
      <c r="FC56" s="66"/>
      <c r="FD56" s="66"/>
      <c r="FE56" s="66"/>
      <c r="FF56" s="66"/>
      <c r="FG56" s="66"/>
      <c r="FH56" s="66"/>
      <c r="FI56" s="66"/>
      <c r="FJ56" s="66"/>
      <c r="FK56" s="66"/>
      <c r="FL56" s="66"/>
      <c r="FM56" s="66"/>
      <c r="FN56" s="66"/>
      <c r="FO56" s="66"/>
      <c r="FP56" s="66"/>
      <c r="FQ56" s="66"/>
      <c r="FR56" s="66"/>
      <c r="FS56" s="66"/>
      <c r="FT56" s="66"/>
      <c r="FU56" s="66"/>
      <c r="FV56" s="66"/>
      <c r="FW56" s="66"/>
      <c r="FX56" s="66"/>
      <c r="FY56" s="66"/>
      <c r="FZ56" s="66"/>
      <c r="GA56" s="66"/>
      <c r="GB56" s="66"/>
      <c r="GC56" s="66"/>
      <c r="GD56" s="66"/>
      <c r="GE56" s="66"/>
      <c r="GF56" s="66"/>
      <c r="GG56" s="66"/>
      <c r="GH56" s="66"/>
      <c r="GI56" s="66"/>
      <c r="GJ56" s="66"/>
      <c r="GK56" s="66"/>
      <c r="GL56" s="66"/>
      <c r="GM56" s="66"/>
      <c r="GN56" s="66"/>
      <c r="GO56" s="66"/>
      <c r="GP56" s="66"/>
      <c r="GQ56" s="66"/>
      <c r="GR56" s="66"/>
      <c r="GS56" s="66"/>
      <c r="GT56" s="66"/>
      <c r="GU56" s="66"/>
      <c r="GV56" s="66"/>
      <c r="GW56" s="66"/>
      <c r="GX56" s="66"/>
      <c r="GY56" s="66"/>
      <c r="GZ56" s="66"/>
      <c r="HA56" s="66"/>
      <c r="HB56" s="66"/>
      <c r="HC56" s="66"/>
      <c r="HD56" s="66"/>
      <c r="HE56" s="66"/>
      <c r="HF56" s="66"/>
      <c r="HG56" s="66"/>
      <c r="HH56" s="66"/>
      <c r="HI56" s="66"/>
      <c r="HJ56" s="66"/>
      <c r="HK56" s="66"/>
      <c r="HL56" s="66"/>
      <c r="HM56" s="66"/>
      <c r="HN56" s="66"/>
      <c r="HO56" s="66"/>
      <c r="HP56" s="66"/>
      <c r="HQ56" s="66"/>
      <c r="HR56" s="66"/>
      <c r="HS56" s="66"/>
      <c r="HT56" s="66"/>
      <c r="HU56" s="66"/>
      <c r="HV56" s="66"/>
      <c r="HW56" s="66"/>
      <c r="HX56" s="66"/>
      <c r="HY56" s="66"/>
      <c r="HZ56" s="66"/>
      <c r="IA56" s="66"/>
      <c r="IB56" s="66"/>
      <c r="IC56" s="66"/>
      <c r="ID56" s="66"/>
      <c r="IE56" s="66"/>
      <c r="IF56" s="66"/>
      <c r="IG56" s="66"/>
      <c r="IH56" s="66"/>
      <c r="II56" s="66"/>
      <c r="IJ56" s="66"/>
      <c r="IK56" s="66"/>
      <c r="IL56" s="66"/>
      <c r="IM56" s="66"/>
      <c r="IN56" s="66"/>
      <c r="IO56" s="66"/>
      <c r="IP56" s="66"/>
      <c r="IQ56" s="66"/>
      <c r="IR56" s="66"/>
    </row>
    <row r="57" customFormat="false" ht="22.5" hidden="false" customHeight="true" outlineLevel="0" collapsed="false">
      <c r="A57" s="66"/>
      <c r="B57" s="62" t="s">
        <v>210</v>
      </c>
      <c r="C57" s="63" t="s">
        <v>211</v>
      </c>
      <c r="D57" s="28" t="s">
        <v>103</v>
      </c>
      <c r="E57" s="64"/>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6"/>
      <c r="CD57" s="66"/>
      <c r="CE57" s="66"/>
      <c r="CF57" s="66"/>
      <c r="CG57" s="66"/>
      <c r="CH57" s="66"/>
      <c r="CI57" s="66"/>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6"/>
      <c r="DI57" s="66"/>
      <c r="DJ57" s="66"/>
      <c r="DK57" s="66"/>
      <c r="DL57" s="66"/>
      <c r="DM57" s="66"/>
      <c r="DN57" s="66"/>
      <c r="DO57" s="66"/>
      <c r="DP57" s="66"/>
      <c r="DQ57" s="66"/>
      <c r="DR57" s="66"/>
      <c r="DS57" s="66"/>
      <c r="DT57" s="66"/>
      <c r="DU57" s="66"/>
      <c r="DV57" s="66"/>
      <c r="DW57" s="66"/>
      <c r="DX57" s="66"/>
      <c r="DY57" s="66"/>
      <c r="DZ57" s="66"/>
      <c r="EA57" s="66"/>
      <c r="EB57" s="66"/>
      <c r="EC57" s="66"/>
      <c r="ED57" s="66"/>
      <c r="EE57" s="66"/>
      <c r="EF57" s="66"/>
      <c r="EG57" s="66"/>
      <c r="EH57" s="66"/>
      <c r="EI57" s="66"/>
      <c r="EJ57" s="66"/>
      <c r="EK57" s="66"/>
      <c r="EL57" s="66"/>
      <c r="EM57" s="66"/>
      <c r="EN57" s="66"/>
      <c r="EO57" s="66"/>
      <c r="EP57" s="66"/>
      <c r="EQ57" s="66"/>
      <c r="ER57" s="66"/>
      <c r="ES57" s="66"/>
      <c r="ET57" s="66"/>
      <c r="EU57" s="66"/>
      <c r="EV57" s="66"/>
      <c r="EW57" s="66"/>
      <c r="EX57" s="66"/>
      <c r="EY57" s="66"/>
      <c r="EZ57" s="66"/>
      <c r="FA57" s="66"/>
      <c r="FB57" s="66"/>
      <c r="FC57" s="66"/>
      <c r="FD57" s="66"/>
      <c r="FE57" s="66"/>
      <c r="FF57" s="66"/>
      <c r="FG57" s="66"/>
      <c r="FH57" s="66"/>
      <c r="FI57" s="66"/>
      <c r="FJ57" s="66"/>
      <c r="FK57" s="66"/>
      <c r="FL57" s="66"/>
      <c r="FM57" s="66"/>
      <c r="FN57" s="66"/>
      <c r="FO57" s="66"/>
      <c r="FP57" s="66"/>
      <c r="FQ57" s="66"/>
      <c r="FR57" s="66"/>
      <c r="FS57" s="66"/>
      <c r="FT57" s="66"/>
      <c r="FU57" s="66"/>
      <c r="FV57" s="66"/>
      <c r="FW57" s="66"/>
      <c r="FX57" s="66"/>
      <c r="FY57" s="66"/>
      <c r="FZ57" s="66"/>
      <c r="GA57" s="66"/>
      <c r="GB57" s="66"/>
      <c r="GC57" s="66"/>
      <c r="GD57" s="66"/>
      <c r="GE57" s="66"/>
      <c r="GF57" s="66"/>
      <c r="GG57" s="66"/>
      <c r="GH57" s="66"/>
      <c r="GI57" s="66"/>
      <c r="GJ57" s="66"/>
      <c r="GK57" s="66"/>
      <c r="GL57" s="66"/>
      <c r="GM57" s="66"/>
      <c r="GN57" s="66"/>
      <c r="GO57" s="66"/>
      <c r="GP57" s="66"/>
      <c r="GQ57" s="66"/>
      <c r="GR57" s="66"/>
      <c r="GS57" s="66"/>
      <c r="GT57" s="66"/>
      <c r="GU57" s="66"/>
      <c r="GV57" s="66"/>
      <c r="GW57" s="66"/>
      <c r="GX57" s="66"/>
      <c r="GY57" s="66"/>
      <c r="GZ57" s="66"/>
      <c r="HA57" s="66"/>
      <c r="HB57" s="66"/>
      <c r="HC57" s="66"/>
      <c r="HD57" s="66"/>
      <c r="HE57" s="66"/>
      <c r="HF57" s="66"/>
      <c r="HG57" s="66"/>
      <c r="HH57" s="66"/>
      <c r="HI57" s="66"/>
      <c r="HJ57" s="66"/>
      <c r="HK57" s="66"/>
      <c r="HL57" s="66"/>
      <c r="HM57" s="66"/>
      <c r="HN57" s="66"/>
      <c r="HO57" s="66"/>
      <c r="HP57" s="66"/>
      <c r="HQ57" s="66"/>
      <c r="HR57" s="66"/>
      <c r="HS57" s="66"/>
      <c r="HT57" s="66"/>
      <c r="HU57" s="66"/>
      <c r="HV57" s="66"/>
      <c r="HW57" s="66"/>
      <c r="HX57" s="66"/>
      <c r="HY57" s="66"/>
      <c r="HZ57" s="66"/>
      <c r="IA57" s="66"/>
      <c r="IB57" s="66"/>
      <c r="IC57" s="66"/>
      <c r="ID57" s="66"/>
      <c r="IE57" s="66"/>
      <c r="IF57" s="66"/>
      <c r="IG57" s="66"/>
      <c r="IH57" s="66"/>
      <c r="II57" s="66"/>
      <c r="IJ57" s="66"/>
      <c r="IK57" s="66"/>
      <c r="IL57" s="66"/>
      <c r="IM57" s="66"/>
      <c r="IN57" s="66"/>
      <c r="IO57" s="66"/>
      <c r="IP57" s="66"/>
      <c r="IQ57" s="66"/>
      <c r="IR57" s="66"/>
    </row>
    <row r="58" customFormat="false" ht="22.5" hidden="false" customHeight="true" outlineLevel="0" collapsed="false">
      <c r="A58" s="66"/>
      <c r="B58" s="62" t="s">
        <v>212</v>
      </c>
      <c r="C58" s="63" t="s">
        <v>213</v>
      </c>
      <c r="D58" s="28" t="s">
        <v>103</v>
      </c>
      <c r="E58" s="64"/>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6"/>
      <c r="BY58" s="66"/>
      <c r="BZ58" s="66"/>
      <c r="CA58" s="66"/>
      <c r="CB58" s="66"/>
      <c r="CC58" s="66"/>
      <c r="CD58" s="66"/>
      <c r="CE58" s="66"/>
      <c r="CF58" s="66"/>
      <c r="CG58" s="66"/>
      <c r="CH58" s="66"/>
      <c r="CI58" s="66"/>
      <c r="CJ58" s="66"/>
      <c r="CK58" s="66"/>
      <c r="CL58" s="66"/>
      <c r="CM58" s="66"/>
      <c r="CN58" s="66"/>
      <c r="CO58" s="66"/>
      <c r="CP58" s="66"/>
      <c r="CQ58" s="66"/>
      <c r="CR58" s="66"/>
      <c r="CS58" s="66"/>
      <c r="CT58" s="66"/>
      <c r="CU58" s="66"/>
      <c r="CV58" s="66"/>
      <c r="CW58" s="66"/>
      <c r="CX58" s="66"/>
      <c r="CY58" s="66"/>
      <c r="CZ58" s="66"/>
      <c r="DA58" s="66"/>
      <c r="DB58" s="66"/>
      <c r="DC58" s="66"/>
      <c r="DD58" s="66"/>
      <c r="DE58" s="66"/>
      <c r="DF58" s="66"/>
      <c r="DG58" s="66"/>
      <c r="DH58" s="66"/>
      <c r="DI58" s="66"/>
      <c r="DJ58" s="66"/>
      <c r="DK58" s="66"/>
      <c r="DL58" s="66"/>
      <c r="DM58" s="66"/>
      <c r="DN58" s="66"/>
      <c r="DO58" s="66"/>
      <c r="DP58" s="66"/>
      <c r="DQ58" s="66"/>
      <c r="DR58" s="66"/>
      <c r="DS58" s="66"/>
      <c r="DT58" s="66"/>
      <c r="DU58" s="66"/>
      <c r="DV58" s="66"/>
      <c r="DW58" s="66"/>
      <c r="DX58" s="66"/>
      <c r="DY58" s="66"/>
      <c r="DZ58" s="66"/>
      <c r="EA58" s="66"/>
      <c r="EB58" s="66"/>
      <c r="EC58" s="66"/>
      <c r="ED58" s="66"/>
      <c r="EE58" s="66"/>
      <c r="EF58" s="66"/>
      <c r="EG58" s="66"/>
      <c r="EH58" s="66"/>
      <c r="EI58" s="66"/>
      <c r="EJ58" s="66"/>
      <c r="EK58" s="66"/>
      <c r="EL58" s="66"/>
      <c r="EM58" s="66"/>
      <c r="EN58" s="66"/>
      <c r="EO58" s="66"/>
      <c r="EP58" s="66"/>
      <c r="EQ58" s="66"/>
      <c r="ER58" s="66"/>
      <c r="ES58" s="66"/>
      <c r="ET58" s="66"/>
      <c r="EU58" s="66"/>
      <c r="EV58" s="66"/>
      <c r="EW58" s="66"/>
      <c r="EX58" s="66"/>
      <c r="EY58" s="66"/>
      <c r="EZ58" s="66"/>
      <c r="FA58" s="66"/>
      <c r="FB58" s="66"/>
      <c r="FC58" s="66"/>
      <c r="FD58" s="66"/>
      <c r="FE58" s="66"/>
      <c r="FF58" s="66"/>
      <c r="FG58" s="66"/>
      <c r="FH58" s="66"/>
      <c r="FI58" s="66"/>
      <c r="FJ58" s="66"/>
      <c r="FK58" s="66"/>
      <c r="FL58" s="66"/>
      <c r="FM58" s="66"/>
      <c r="FN58" s="66"/>
      <c r="FO58" s="66"/>
      <c r="FP58" s="66"/>
      <c r="FQ58" s="66"/>
      <c r="FR58" s="66"/>
      <c r="FS58" s="66"/>
      <c r="FT58" s="66"/>
      <c r="FU58" s="66"/>
      <c r="FV58" s="66"/>
      <c r="FW58" s="66"/>
      <c r="FX58" s="66"/>
      <c r="FY58" s="66"/>
      <c r="FZ58" s="66"/>
      <c r="GA58" s="66"/>
      <c r="GB58" s="66"/>
      <c r="GC58" s="66"/>
      <c r="GD58" s="66"/>
      <c r="GE58" s="66"/>
      <c r="GF58" s="66"/>
      <c r="GG58" s="66"/>
      <c r="GH58" s="66"/>
      <c r="GI58" s="66"/>
      <c r="GJ58" s="66"/>
      <c r="GK58" s="66"/>
      <c r="GL58" s="66"/>
      <c r="GM58" s="66"/>
      <c r="GN58" s="66"/>
      <c r="GO58" s="66"/>
      <c r="GP58" s="66"/>
      <c r="GQ58" s="66"/>
      <c r="GR58" s="66"/>
      <c r="GS58" s="66"/>
      <c r="GT58" s="66"/>
      <c r="GU58" s="66"/>
      <c r="GV58" s="66"/>
      <c r="GW58" s="66"/>
      <c r="GX58" s="66"/>
      <c r="GY58" s="66"/>
      <c r="GZ58" s="66"/>
      <c r="HA58" s="66"/>
      <c r="HB58" s="66"/>
      <c r="HC58" s="66"/>
      <c r="HD58" s="66"/>
      <c r="HE58" s="66"/>
      <c r="HF58" s="66"/>
      <c r="HG58" s="66"/>
      <c r="HH58" s="66"/>
      <c r="HI58" s="66"/>
      <c r="HJ58" s="66"/>
      <c r="HK58" s="66"/>
      <c r="HL58" s="66"/>
      <c r="HM58" s="66"/>
      <c r="HN58" s="66"/>
      <c r="HO58" s="66"/>
      <c r="HP58" s="66"/>
      <c r="HQ58" s="66"/>
      <c r="HR58" s="66"/>
      <c r="HS58" s="66"/>
      <c r="HT58" s="66"/>
      <c r="HU58" s="66"/>
      <c r="HV58" s="66"/>
      <c r="HW58" s="66"/>
      <c r="HX58" s="66"/>
      <c r="HY58" s="66"/>
      <c r="HZ58" s="66"/>
      <c r="IA58" s="66"/>
      <c r="IB58" s="66"/>
      <c r="IC58" s="66"/>
      <c r="ID58" s="66"/>
      <c r="IE58" s="66"/>
      <c r="IF58" s="66"/>
      <c r="IG58" s="66"/>
      <c r="IH58" s="66"/>
      <c r="II58" s="66"/>
      <c r="IJ58" s="66"/>
      <c r="IK58" s="66"/>
      <c r="IL58" s="66"/>
      <c r="IM58" s="66"/>
      <c r="IN58" s="66"/>
      <c r="IO58" s="66"/>
      <c r="IP58" s="66"/>
      <c r="IQ58" s="66"/>
      <c r="IR58" s="66"/>
    </row>
    <row r="59" customFormat="false" ht="22.5" hidden="false" customHeight="true" outlineLevel="0" collapsed="false">
      <c r="A59" s="66"/>
      <c r="B59" s="62" t="s">
        <v>214</v>
      </c>
      <c r="C59" s="63" t="s">
        <v>215</v>
      </c>
      <c r="D59" s="28" t="s">
        <v>103</v>
      </c>
      <c r="E59" s="64"/>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6"/>
      <c r="BZ59" s="66"/>
      <c r="CA59" s="66"/>
      <c r="CB59" s="66"/>
      <c r="CC59" s="66"/>
      <c r="CD59" s="66"/>
      <c r="CE59" s="66"/>
      <c r="CF59" s="66"/>
      <c r="CG59" s="66"/>
      <c r="CH59" s="66"/>
      <c r="CI59" s="66"/>
      <c r="CJ59" s="66"/>
      <c r="CK59" s="66"/>
      <c r="CL59" s="66"/>
      <c r="CM59" s="66"/>
      <c r="CN59" s="66"/>
      <c r="CO59" s="66"/>
      <c r="CP59" s="66"/>
      <c r="CQ59" s="66"/>
      <c r="CR59" s="66"/>
      <c r="CS59" s="66"/>
      <c r="CT59" s="66"/>
      <c r="CU59" s="66"/>
      <c r="CV59" s="66"/>
      <c r="CW59" s="66"/>
      <c r="CX59" s="66"/>
      <c r="CY59" s="66"/>
      <c r="CZ59" s="66"/>
      <c r="DA59" s="66"/>
      <c r="DB59" s="66"/>
      <c r="DC59" s="66"/>
      <c r="DD59" s="66"/>
      <c r="DE59" s="66"/>
      <c r="DF59" s="66"/>
      <c r="DG59" s="66"/>
      <c r="DH59" s="66"/>
      <c r="DI59" s="66"/>
      <c r="DJ59" s="66"/>
      <c r="DK59" s="66"/>
      <c r="DL59" s="66"/>
      <c r="DM59" s="66"/>
      <c r="DN59" s="66"/>
      <c r="DO59" s="66"/>
      <c r="DP59" s="66"/>
      <c r="DQ59" s="66"/>
      <c r="DR59" s="66"/>
      <c r="DS59" s="66"/>
      <c r="DT59" s="66"/>
      <c r="DU59" s="66"/>
      <c r="DV59" s="66"/>
      <c r="DW59" s="66"/>
      <c r="DX59" s="66"/>
      <c r="DY59" s="66"/>
      <c r="DZ59" s="66"/>
      <c r="EA59" s="66"/>
      <c r="EB59" s="66"/>
      <c r="EC59" s="66"/>
      <c r="ED59" s="66"/>
      <c r="EE59" s="66"/>
      <c r="EF59" s="66"/>
      <c r="EG59" s="66"/>
      <c r="EH59" s="66"/>
      <c r="EI59" s="66"/>
      <c r="EJ59" s="66"/>
      <c r="EK59" s="66"/>
      <c r="EL59" s="66"/>
      <c r="EM59" s="66"/>
      <c r="EN59" s="66"/>
      <c r="EO59" s="66"/>
      <c r="EP59" s="66"/>
      <c r="EQ59" s="66"/>
      <c r="ER59" s="66"/>
      <c r="ES59" s="66"/>
      <c r="ET59" s="66"/>
      <c r="EU59" s="66"/>
      <c r="EV59" s="66"/>
      <c r="EW59" s="66"/>
      <c r="EX59" s="66"/>
      <c r="EY59" s="66"/>
      <c r="EZ59" s="66"/>
      <c r="FA59" s="66"/>
      <c r="FB59" s="66"/>
      <c r="FC59" s="66"/>
      <c r="FD59" s="66"/>
      <c r="FE59" s="66"/>
      <c r="FF59" s="66"/>
      <c r="FG59" s="66"/>
      <c r="FH59" s="66"/>
      <c r="FI59" s="66"/>
      <c r="FJ59" s="66"/>
      <c r="FK59" s="66"/>
      <c r="FL59" s="66"/>
      <c r="FM59" s="66"/>
      <c r="FN59" s="66"/>
      <c r="FO59" s="66"/>
      <c r="FP59" s="66"/>
      <c r="FQ59" s="66"/>
      <c r="FR59" s="66"/>
      <c r="FS59" s="66"/>
      <c r="FT59" s="66"/>
      <c r="FU59" s="66"/>
      <c r="FV59" s="66"/>
      <c r="FW59" s="66"/>
      <c r="FX59" s="66"/>
      <c r="FY59" s="66"/>
      <c r="FZ59" s="66"/>
      <c r="GA59" s="66"/>
      <c r="GB59" s="66"/>
      <c r="GC59" s="66"/>
      <c r="GD59" s="66"/>
      <c r="GE59" s="66"/>
      <c r="GF59" s="66"/>
      <c r="GG59" s="66"/>
      <c r="GH59" s="66"/>
      <c r="GI59" s="66"/>
      <c r="GJ59" s="66"/>
      <c r="GK59" s="66"/>
      <c r="GL59" s="66"/>
      <c r="GM59" s="66"/>
      <c r="GN59" s="66"/>
      <c r="GO59" s="66"/>
      <c r="GP59" s="66"/>
      <c r="GQ59" s="66"/>
      <c r="GR59" s="66"/>
      <c r="GS59" s="66"/>
      <c r="GT59" s="66"/>
      <c r="GU59" s="66"/>
      <c r="GV59" s="66"/>
      <c r="GW59" s="66"/>
      <c r="GX59" s="66"/>
      <c r="GY59" s="66"/>
      <c r="GZ59" s="66"/>
      <c r="HA59" s="66"/>
      <c r="HB59" s="66"/>
      <c r="HC59" s="66"/>
      <c r="HD59" s="66"/>
      <c r="HE59" s="66"/>
      <c r="HF59" s="66"/>
      <c r="HG59" s="66"/>
      <c r="HH59" s="66"/>
      <c r="HI59" s="66"/>
      <c r="HJ59" s="66"/>
      <c r="HK59" s="66"/>
      <c r="HL59" s="66"/>
      <c r="HM59" s="66"/>
      <c r="HN59" s="66"/>
      <c r="HO59" s="66"/>
      <c r="HP59" s="66"/>
      <c r="HQ59" s="66"/>
      <c r="HR59" s="66"/>
      <c r="HS59" s="66"/>
      <c r="HT59" s="66"/>
      <c r="HU59" s="66"/>
      <c r="HV59" s="66"/>
      <c r="HW59" s="66"/>
      <c r="HX59" s="66"/>
      <c r="HY59" s="66"/>
      <c r="HZ59" s="66"/>
      <c r="IA59" s="66"/>
      <c r="IB59" s="66"/>
      <c r="IC59" s="66"/>
      <c r="ID59" s="66"/>
      <c r="IE59" s="66"/>
      <c r="IF59" s="66"/>
      <c r="IG59" s="66"/>
      <c r="IH59" s="66"/>
      <c r="II59" s="66"/>
      <c r="IJ59" s="66"/>
      <c r="IK59" s="66"/>
      <c r="IL59" s="66"/>
      <c r="IM59" s="66"/>
      <c r="IN59" s="66"/>
      <c r="IO59" s="66"/>
      <c r="IP59" s="66"/>
      <c r="IQ59" s="66"/>
      <c r="IR59" s="66"/>
    </row>
    <row r="60" customFormat="false" ht="22.5" hidden="false" customHeight="true" outlineLevel="0" collapsed="false">
      <c r="A60" s="66"/>
      <c r="B60" s="62" t="s">
        <v>216</v>
      </c>
      <c r="C60" s="63" t="s">
        <v>217</v>
      </c>
      <c r="D60" s="28" t="s">
        <v>103</v>
      </c>
      <c r="E60" s="64"/>
      <c r="F60" s="66"/>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6"/>
      <c r="BZ60" s="66"/>
      <c r="CA60" s="66"/>
      <c r="CB60" s="66"/>
      <c r="CC60" s="66"/>
      <c r="CD60" s="66"/>
      <c r="CE60" s="66"/>
      <c r="CF60" s="66"/>
      <c r="CG60" s="66"/>
      <c r="CH60" s="66"/>
      <c r="CI60" s="66"/>
      <c r="CJ60" s="66"/>
      <c r="CK60" s="66"/>
      <c r="CL60" s="66"/>
      <c r="CM60" s="66"/>
      <c r="CN60" s="66"/>
      <c r="CO60" s="66"/>
      <c r="CP60" s="66"/>
      <c r="CQ60" s="66"/>
      <c r="CR60" s="66"/>
      <c r="CS60" s="66"/>
      <c r="CT60" s="66"/>
      <c r="CU60" s="66"/>
      <c r="CV60" s="66"/>
      <c r="CW60" s="66"/>
      <c r="CX60" s="66"/>
      <c r="CY60" s="66"/>
      <c r="CZ60" s="66"/>
      <c r="DA60" s="66"/>
      <c r="DB60" s="66"/>
      <c r="DC60" s="66"/>
      <c r="DD60" s="66"/>
      <c r="DE60" s="66"/>
      <c r="DF60" s="66"/>
      <c r="DG60" s="66"/>
      <c r="DH60" s="66"/>
      <c r="DI60" s="66"/>
      <c r="DJ60" s="66"/>
      <c r="DK60" s="66"/>
      <c r="DL60" s="66"/>
      <c r="DM60" s="66"/>
      <c r="DN60" s="66"/>
      <c r="DO60" s="66"/>
      <c r="DP60" s="66"/>
      <c r="DQ60" s="66"/>
      <c r="DR60" s="66"/>
      <c r="DS60" s="66"/>
      <c r="DT60" s="66"/>
      <c r="DU60" s="66"/>
      <c r="DV60" s="66"/>
      <c r="DW60" s="66"/>
      <c r="DX60" s="66"/>
      <c r="DY60" s="66"/>
      <c r="DZ60" s="66"/>
      <c r="EA60" s="66"/>
      <c r="EB60" s="66"/>
      <c r="EC60" s="66"/>
      <c r="ED60" s="66"/>
      <c r="EE60" s="66"/>
      <c r="EF60" s="66"/>
      <c r="EG60" s="66"/>
      <c r="EH60" s="66"/>
      <c r="EI60" s="66"/>
      <c r="EJ60" s="66"/>
      <c r="EK60" s="66"/>
      <c r="EL60" s="66"/>
      <c r="EM60" s="66"/>
      <c r="EN60" s="66"/>
      <c r="EO60" s="66"/>
      <c r="EP60" s="66"/>
      <c r="EQ60" s="66"/>
      <c r="ER60" s="66"/>
      <c r="ES60" s="66"/>
      <c r="ET60" s="66"/>
      <c r="EU60" s="66"/>
      <c r="EV60" s="66"/>
      <c r="EW60" s="66"/>
      <c r="EX60" s="66"/>
      <c r="EY60" s="66"/>
      <c r="EZ60" s="66"/>
      <c r="FA60" s="66"/>
      <c r="FB60" s="66"/>
      <c r="FC60" s="66"/>
      <c r="FD60" s="66"/>
      <c r="FE60" s="66"/>
      <c r="FF60" s="66"/>
      <c r="FG60" s="66"/>
      <c r="FH60" s="66"/>
      <c r="FI60" s="66"/>
      <c r="FJ60" s="66"/>
      <c r="FK60" s="66"/>
      <c r="FL60" s="66"/>
      <c r="FM60" s="66"/>
      <c r="FN60" s="66"/>
      <c r="FO60" s="66"/>
      <c r="FP60" s="66"/>
      <c r="FQ60" s="66"/>
      <c r="FR60" s="66"/>
      <c r="FS60" s="66"/>
      <c r="FT60" s="66"/>
      <c r="FU60" s="66"/>
      <c r="FV60" s="66"/>
      <c r="FW60" s="66"/>
      <c r="FX60" s="66"/>
      <c r="FY60" s="66"/>
      <c r="FZ60" s="66"/>
      <c r="GA60" s="66"/>
      <c r="GB60" s="66"/>
      <c r="GC60" s="66"/>
      <c r="GD60" s="66"/>
      <c r="GE60" s="66"/>
      <c r="GF60" s="66"/>
      <c r="GG60" s="66"/>
      <c r="GH60" s="66"/>
      <c r="GI60" s="66"/>
      <c r="GJ60" s="66"/>
      <c r="GK60" s="66"/>
      <c r="GL60" s="66"/>
      <c r="GM60" s="66"/>
      <c r="GN60" s="66"/>
      <c r="GO60" s="66"/>
      <c r="GP60" s="66"/>
      <c r="GQ60" s="66"/>
      <c r="GR60" s="66"/>
      <c r="GS60" s="66"/>
      <c r="GT60" s="66"/>
      <c r="GU60" s="66"/>
      <c r="GV60" s="66"/>
      <c r="GW60" s="66"/>
      <c r="GX60" s="66"/>
      <c r="GY60" s="66"/>
      <c r="GZ60" s="66"/>
      <c r="HA60" s="66"/>
      <c r="HB60" s="66"/>
      <c r="HC60" s="66"/>
      <c r="HD60" s="66"/>
      <c r="HE60" s="66"/>
      <c r="HF60" s="66"/>
      <c r="HG60" s="66"/>
      <c r="HH60" s="66"/>
      <c r="HI60" s="66"/>
      <c r="HJ60" s="66"/>
      <c r="HK60" s="66"/>
      <c r="HL60" s="66"/>
      <c r="HM60" s="66"/>
      <c r="HN60" s="66"/>
      <c r="HO60" s="66"/>
      <c r="HP60" s="66"/>
      <c r="HQ60" s="66"/>
      <c r="HR60" s="66"/>
      <c r="HS60" s="66"/>
      <c r="HT60" s="66"/>
      <c r="HU60" s="66"/>
      <c r="HV60" s="66"/>
      <c r="HW60" s="66"/>
      <c r="HX60" s="66"/>
      <c r="HY60" s="66"/>
      <c r="HZ60" s="66"/>
      <c r="IA60" s="66"/>
      <c r="IB60" s="66"/>
      <c r="IC60" s="66"/>
      <c r="ID60" s="66"/>
      <c r="IE60" s="66"/>
      <c r="IF60" s="66"/>
      <c r="IG60" s="66"/>
      <c r="IH60" s="66"/>
      <c r="II60" s="66"/>
      <c r="IJ60" s="66"/>
      <c r="IK60" s="66"/>
      <c r="IL60" s="66"/>
      <c r="IM60" s="66"/>
      <c r="IN60" s="66"/>
      <c r="IO60" s="66"/>
      <c r="IP60" s="66"/>
      <c r="IQ60" s="66"/>
      <c r="IR60" s="66"/>
    </row>
    <row r="61" customFormat="false" ht="22.5" hidden="false" customHeight="true" outlineLevel="0" collapsed="false">
      <c r="A61" s="66"/>
      <c r="B61" s="62" t="s">
        <v>218</v>
      </c>
      <c r="C61" s="63" t="s">
        <v>219</v>
      </c>
      <c r="D61" s="28" t="s">
        <v>103</v>
      </c>
      <c r="E61" s="64"/>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6"/>
      <c r="BZ61" s="66"/>
      <c r="CA61" s="66"/>
      <c r="CB61" s="66"/>
      <c r="CC61" s="66"/>
      <c r="CD61" s="66"/>
      <c r="CE61" s="66"/>
      <c r="CF61" s="66"/>
      <c r="CG61" s="66"/>
      <c r="CH61" s="66"/>
      <c r="CI61" s="66"/>
      <c r="CJ61" s="66"/>
      <c r="CK61" s="66"/>
      <c r="CL61" s="66"/>
      <c r="CM61" s="66"/>
      <c r="CN61" s="66"/>
      <c r="CO61" s="66"/>
      <c r="CP61" s="66"/>
      <c r="CQ61" s="66"/>
      <c r="CR61" s="66"/>
      <c r="CS61" s="66"/>
      <c r="CT61" s="66"/>
      <c r="CU61" s="66"/>
      <c r="CV61" s="66"/>
      <c r="CW61" s="66"/>
      <c r="CX61" s="66"/>
      <c r="CY61" s="66"/>
      <c r="CZ61" s="66"/>
      <c r="DA61" s="66"/>
      <c r="DB61" s="66"/>
      <c r="DC61" s="66"/>
      <c r="DD61" s="66"/>
      <c r="DE61" s="66"/>
      <c r="DF61" s="66"/>
      <c r="DG61" s="66"/>
      <c r="DH61" s="66"/>
      <c r="DI61" s="66"/>
      <c r="DJ61" s="66"/>
      <c r="DK61" s="66"/>
      <c r="DL61" s="66"/>
      <c r="DM61" s="66"/>
      <c r="DN61" s="66"/>
      <c r="DO61" s="66"/>
      <c r="DP61" s="66"/>
      <c r="DQ61" s="66"/>
      <c r="DR61" s="66"/>
      <c r="DS61" s="66"/>
      <c r="DT61" s="66"/>
      <c r="DU61" s="66"/>
      <c r="DV61" s="66"/>
      <c r="DW61" s="66"/>
      <c r="DX61" s="66"/>
      <c r="DY61" s="66"/>
      <c r="DZ61" s="66"/>
      <c r="EA61" s="66"/>
      <c r="EB61" s="66"/>
      <c r="EC61" s="66"/>
      <c r="ED61" s="66"/>
      <c r="EE61" s="66"/>
      <c r="EF61" s="66"/>
      <c r="EG61" s="66"/>
      <c r="EH61" s="66"/>
      <c r="EI61" s="66"/>
      <c r="EJ61" s="66"/>
      <c r="EK61" s="66"/>
      <c r="EL61" s="66"/>
      <c r="EM61" s="66"/>
      <c r="EN61" s="66"/>
      <c r="EO61" s="66"/>
      <c r="EP61" s="66"/>
      <c r="EQ61" s="66"/>
      <c r="ER61" s="66"/>
      <c r="ES61" s="66"/>
      <c r="ET61" s="66"/>
      <c r="EU61" s="66"/>
      <c r="EV61" s="66"/>
      <c r="EW61" s="66"/>
      <c r="EX61" s="66"/>
      <c r="EY61" s="66"/>
      <c r="EZ61" s="66"/>
      <c r="FA61" s="66"/>
      <c r="FB61" s="66"/>
      <c r="FC61" s="66"/>
      <c r="FD61" s="66"/>
      <c r="FE61" s="66"/>
      <c r="FF61" s="66"/>
      <c r="FG61" s="66"/>
      <c r="FH61" s="66"/>
      <c r="FI61" s="66"/>
      <c r="FJ61" s="66"/>
      <c r="FK61" s="66"/>
      <c r="FL61" s="66"/>
      <c r="FM61" s="66"/>
      <c r="FN61" s="66"/>
      <c r="FO61" s="66"/>
      <c r="FP61" s="66"/>
      <c r="FQ61" s="66"/>
      <c r="FR61" s="66"/>
      <c r="FS61" s="66"/>
      <c r="FT61" s="66"/>
      <c r="FU61" s="66"/>
      <c r="FV61" s="66"/>
      <c r="FW61" s="66"/>
      <c r="FX61" s="66"/>
      <c r="FY61" s="66"/>
      <c r="FZ61" s="66"/>
      <c r="GA61" s="66"/>
      <c r="GB61" s="66"/>
      <c r="GC61" s="66"/>
      <c r="GD61" s="66"/>
      <c r="GE61" s="66"/>
      <c r="GF61" s="66"/>
      <c r="GG61" s="66"/>
      <c r="GH61" s="66"/>
      <c r="GI61" s="66"/>
      <c r="GJ61" s="66"/>
      <c r="GK61" s="66"/>
      <c r="GL61" s="66"/>
      <c r="GM61" s="66"/>
      <c r="GN61" s="66"/>
      <c r="GO61" s="66"/>
      <c r="GP61" s="66"/>
      <c r="GQ61" s="66"/>
      <c r="GR61" s="66"/>
      <c r="GS61" s="66"/>
      <c r="GT61" s="66"/>
      <c r="GU61" s="66"/>
      <c r="GV61" s="66"/>
      <c r="GW61" s="66"/>
      <c r="GX61" s="66"/>
      <c r="GY61" s="66"/>
      <c r="GZ61" s="66"/>
      <c r="HA61" s="66"/>
      <c r="HB61" s="66"/>
      <c r="HC61" s="66"/>
      <c r="HD61" s="66"/>
      <c r="HE61" s="66"/>
      <c r="HF61" s="66"/>
      <c r="HG61" s="66"/>
      <c r="HH61" s="66"/>
      <c r="HI61" s="66"/>
      <c r="HJ61" s="66"/>
      <c r="HK61" s="66"/>
      <c r="HL61" s="66"/>
      <c r="HM61" s="66"/>
      <c r="HN61" s="66"/>
      <c r="HO61" s="66"/>
      <c r="HP61" s="66"/>
      <c r="HQ61" s="66"/>
      <c r="HR61" s="66"/>
      <c r="HS61" s="66"/>
      <c r="HT61" s="66"/>
      <c r="HU61" s="66"/>
      <c r="HV61" s="66"/>
      <c r="HW61" s="66"/>
      <c r="HX61" s="66"/>
      <c r="HY61" s="66"/>
      <c r="HZ61" s="66"/>
      <c r="IA61" s="66"/>
      <c r="IB61" s="66"/>
      <c r="IC61" s="66"/>
      <c r="ID61" s="66"/>
      <c r="IE61" s="66"/>
      <c r="IF61" s="66"/>
      <c r="IG61" s="66"/>
      <c r="IH61" s="66"/>
      <c r="II61" s="66"/>
      <c r="IJ61" s="66"/>
      <c r="IK61" s="66"/>
      <c r="IL61" s="66"/>
      <c r="IM61" s="66"/>
      <c r="IN61" s="66"/>
      <c r="IO61" s="66"/>
      <c r="IP61" s="66"/>
      <c r="IQ61" s="66"/>
      <c r="IR61" s="66"/>
    </row>
    <row r="62" customFormat="false" ht="22.5" hidden="false" customHeight="true" outlineLevel="0" collapsed="false">
      <c r="A62" s="66"/>
      <c r="B62" s="62" t="s">
        <v>220</v>
      </c>
      <c r="C62" s="63" t="s">
        <v>221</v>
      </c>
      <c r="D62" s="28" t="s">
        <v>103</v>
      </c>
      <c r="E62" s="64"/>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6"/>
      <c r="BZ62" s="66"/>
      <c r="CA62" s="66"/>
      <c r="CB62" s="66"/>
      <c r="CC62" s="66"/>
      <c r="CD62" s="66"/>
      <c r="CE62" s="66"/>
      <c r="CF62" s="66"/>
      <c r="CG62" s="66"/>
      <c r="CH62" s="66"/>
      <c r="CI62" s="66"/>
      <c r="CJ62" s="66"/>
      <c r="CK62" s="66"/>
      <c r="CL62" s="66"/>
      <c r="CM62" s="66"/>
      <c r="CN62" s="66"/>
      <c r="CO62" s="66"/>
      <c r="CP62" s="66"/>
      <c r="CQ62" s="66"/>
      <c r="CR62" s="66"/>
      <c r="CS62" s="66"/>
      <c r="CT62" s="66"/>
      <c r="CU62" s="66"/>
      <c r="CV62" s="66"/>
      <c r="CW62" s="66"/>
      <c r="CX62" s="66"/>
      <c r="CY62" s="66"/>
      <c r="CZ62" s="66"/>
      <c r="DA62" s="66"/>
      <c r="DB62" s="66"/>
      <c r="DC62" s="66"/>
      <c r="DD62" s="66"/>
      <c r="DE62" s="66"/>
      <c r="DF62" s="66"/>
      <c r="DG62" s="66"/>
      <c r="DH62" s="66"/>
      <c r="DI62" s="66"/>
      <c r="DJ62" s="66"/>
      <c r="DK62" s="66"/>
      <c r="DL62" s="66"/>
      <c r="DM62" s="66"/>
      <c r="DN62" s="66"/>
      <c r="DO62" s="66"/>
      <c r="DP62" s="66"/>
      <c r="DQ62" s="66"/>
      <c r="DR62" s="66"/>
      <c r="DS62" s="66"/>
      <c r="DT62" s="66"/>
      <c r="DU62" s="66"/>
      <c r="DV62" s="66"/>
      <c r="DW62" s="66"/>
      <c r="DX62" s="66"/>
      <c r="DY62" s="66"/>
      <c r="DZ62" s="66"/>
      <c r="EA62" s="66"/>
      <c r="EB62" s="66"/>
      <c r="EC62" s="66"/>
      <c r="ED62" s="66"/>
      <c r="EE62" s="66"/>
      <c r="EF62" s="66"/>
      <c r="EG62" s="66"/>
      <c r="EH62" s="66"/>
      <c r="EI62" s="66"/>
      <c r="EJ62" s="66"/>
      <c r="EK62" s="66"/>
      <c r="EL62" s="66"/>
      <c r="EM62" s="66"/>
      <c r="EN62" s="66"/>
      <c r="EO62" s="66"/>
      <c r="EP62" s="66"/>
      <c r="EQ62" s="66"/>
      <c r="ER62" s="66"/>
      <c r="ES62" s="66"/>
      <c r="ET62" s="66"/>
      <c r="EU62" s="66"/>
      <c r="EV62" s="66"/>
      <c r="EW62" s="66"/>
      <c r="EX62" s="66"/>
      <c r="EY62" s="66"/>
      <c r="EZ62" s="66"/>
      <c r="FA62" s="66"/>
      <c r="FB62" s="66"/>
      <c r="FC62" s="66"/>
      <c r="FD62" s="66"/>
      <c r="FE62" s="66"/>
      <c r="FF62" s="66"/>
      <c r="FG62" s="66"/>
      <c r="FH62" s="66"/>
      <c r="FI62" s="66"/>
      <c r="FJ62" s="66"/>
      <c r="FK62" s="66"/>
      <c r="FL62" s="66"/>
      <c r="FM62" s="66"/>
      <c r="FN62" s="66"/>
      <c r="FO62" s="66"/>
      <c r="FP62" s="66"/>
      <c r="FQ62" s="66"/>
      <c r="FR62" s="66"/>
      <c r="FS62" s="66"/>
      <c r="FT62" s="66"/>
      <c r="FU62" s="66"/>
      <c r="FV62" s="66"/>
      <c r="FW62" s="66"/>
      <c r="FX62" s="66"/>
      <c r="FY62" s="66"/>
      <c r="FZ62" s="66"/>
      <c r="GA62" s="66"/>
      <c r="GB62" s="66"/>
      <c r="GC62" s="66"/>
      <c r="GD62" s="66"/>
      <c r="GE62" s="66"/>
      <c r="GF62" s="66"/>
      <c r="GG62" s="66"/>
      <c r="GH62" s="66"/>
      <c r="GI62" s="66"/>
      <c r="GJ62" s="66"/>
      <c r="GK62" s="66"/>
      <c r="GL62" s="66"/>
      <c r="GM62" s="66"/>
      <c r="GN62" s="66"/>
      <c r="GO62" s="66"/>
      <c r="GP62" s="66"/>
      <c r="GQ62" s="66"/>
      <c r="GR62" s="66"/>
      <c r="GS62" s="66"/>
      <c r="GT62" s="66"/>
      <c r="GU62" s="66"/>
      <c r="GV62" s="66"/>
      <c r="GW62" s="66"/>
      <c r="GX62" s="66"/>
      <c r="GY62" s="66"/>
      <c r="GZ62" s="66"/>
      <c r="HA62" s="66"/>
      <c r="HB62" s="66"/>
      <c r="HC62" s="66"/>
      <c r="HD62" s="66"/>
      <c r="HE62" s="66"/>
      <c r="HF62" s="66"/>
      <c r="HG62" s="66"/>
      <c r="HH62" s="66"/>
      <c r="HI62" s="66"/>
      <c r="HJ62" s="66"/>
      <c r="HK62" s="66"/>
      <c r="HL62" s="66"/>
      <c r="HM62" s="66"/>
      <c r="HN62" s="66"/>
      <c r="HO62" s="66"/>
      <c r="HP62" s="66"/>
      <c r="HQ62" s="66"/>
      <c r="HR62" s="66"/>
      <c r="HS62" s="66"/>
      <c r="HT62" s="66"/>
      <c r="HU62" s="66"/>
      <c r="HV62" s="66"/>
      <c r="HW62" s="66"/>
      <c r="HX62" s="66"/>
      <c r="HY62" s="66"/>
      <c r="HZ62" s="66"/>
      <c r="IA62" s="66"/>
      <c r="IB62" s="66"/>
      <c r="IC62" s="66"/>
      <c r="ID62" s="66"/>
      <c r="IE62" s="66"/>
      <c r="IF62" s="66"/>
      <c r="IG62" s="66"/>
      <c r="IH62" s="66"/>
      <c r="II62" s="66"/>
      <c r="IJ62" s="66"/>
      <c r="IK62" s="66"/>
      <c r="IL62" s="66"/>
      <c r="IM62" s="66"/>
      <c r="IN62" s="66"/>
      <c r="IO62" s="66"/>
      <c r="IP62" s="66"/>
      <c r="IQ62" s="66"/>
      <c r="IR62" s="66"/>
    </row>
    <row r="63" customFormat="false" ht="22.5" hidden="false" customHeight="true" outlineLevel="0" collapsed="false">
      <c r="A63" s="66"/>
      <c r="B63" s="62" t="s">
        <v>222</v>
      </c>
      <c r="C63" s="63" t="s">
        <v>223</v>
      </c>
      <c r="D63" s="28" t="s">
        <v>103</v>
      </c>
      <c r="E63" s="64"/>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c r="DP63" s="66"/>
      <c r="DQ63" s="66"/>
      <c r="DR63" s="66"/>
      <c r="DS63" s="66"/>
      <c r="DT63" s="66"/>
      <c r="DU63" s="66"/>
      <c r="DV63" s="66"/>
      <c r="DW63" s="66"/>
      <c r="DX63" s="66"/>
      <c r="DY63" s="66"/>
      <c r="DZ63" s="66"/>
      <c r="EA63" s="66"/>
      <c r="EB63" s="66"/>
      <c r="EC63" s="66"/>
      <c r="ED63" s="66"/>
      <c r="EE63" s="66"/>
      <c r="EF63" s="66"/>
      <c r="EG63" s="66"/>
      <c r="EH63" s="66"/>
      <c r="EI63" s="66"/>
      <c r="EJ63" s="66"/>
      <c r="EK63" s="66"/>
      <c r="EL63" s="66"/>
      <c r="EM63" s="66"/>
      <c r="EN63" s="66"/>
      <c r="EO63" s="66"/>
      <c r="EP63" s="66"/>
      <c r="EQ63" s="66"/>
      <c r="ER63" s="66"/>
      <c r="ES63" s="66"/>
      <c r="ET63" s="66"/>
      <c r="EU63" s="66"/>
      <c r="EV63" s="66"/>
      <c r="EW63" s="66"/>
      <c r="EX63" s="66"/>
      <c r="EY63" s="66"/>
      <c r="EZ63" s="66"/>
      <c r="FA63" s="66"/>
      <c r="FB63" s="66"/>
      <c r="FC63" s="66"/>
      <c r="FD63" s="66"/>
      <c r="FE63" s="66"/>
      <c r="FF63" s="66"/>
      <c r="FG63" s="66"/>
      <c r="FH63" s="66"/>
      <c r="FI63" s="66"/>
      <c r="FJ63" s="66"/>
      <c r="FK63" s="66"/>
      <c r="FL63" s="66"/>
      <c r="FM63" s="66"/>
      <c r="FN63" s="66"/>
      <c r="FO63" s="66"/>
      <c r="FP63" s="66"/>
      <c r="FQ63" s="66"/>
      <c r="FR63" s="66"/>
      <c r="FS63" s="66"/>
      <c r="FT63" s="66"/>
      <c r="FU63" s="66"/>
      <c r="FV63" s="66"/>
      <c r="FW63" s="66"/>
      <c r="FX63" s="66"/>
      <c r="FY63" s="66"/>
      <c r="FZ63" s="66"/>
      <c r="GA63" s="66"/>
      <c r="GB63" s="66"/>
      <c r="GC63" s="66"/>
      <c r="GD63" s="66"/>
      <c r="GE63" s="66"/>
      <c r="GF63" s="66"/>
      <c r="GG63" s="66"/>
      <c r="GH63" s="66"/>
      <c r="GI63" s="66"/>
      <c r="GJ63" s="66"/>
      <c r="GK63" s="66"/>
      <c r="GL63" s="66"/>
      <c r="GM63" s="66"/>
      <c r="GN63" s="66"/>
      <c r="GO63" s="66"/>
      <c r="GP63" s="66"/>
      <c r="GQ63" s="66"/>
      <c r="GR63" s="66"/>
      <c r="GS63" s="66"/>
      <c r="GT63" s="66"/>
      <c r="GU63" s="66"/>
      <c r="GV63" s="66"/>
      <c r="GW63" s="66"/>
      <c r="GX63" s="66"/>
      <c r="GY63" s="66"/>
      <c r="GZ63" s="66"/>
      <c r="HA63" s="66"/>
      <c r="HB63" s="66"/>
      <c r="HC63" s="66"/>
      <c r="HD63" s="66"/>
      <c r="HE63" s="66"/>
      <c r="HF63" s="66"/>
      <c r="HG63" s="66"/>
      <c r="HH63" s="66"/>
      <c r="HI63" s="66"/>
      <c r="HJ63" s="66"/>
      <c r="HK63" s="66"/>
      <c r="HL63" s="66"/>
      <c r="HM63" s="66"/>
      <c r="HN63" s="66"/>
      <c r="HO63" s="66"/>
      <c r="HP63" s="66"/>
      <c r="HQ63" s="66"/>
      <c r="HR63" s="66"/>
      <c r="HS63" s="66"/>
      <c r="HT63" s="66"/>
      <c r="HU63" s="66"/>
      <c r="HV63" s="66"/>
      <c r="HW63" s="66"/>
      <c r="HX63" s="66"/>
      <c r="HY63" s="66"/>
      <c r="HZ63" s="66"/>
      <c r="IA63" s="66"/>
      <c r="IB63" s="66"/>
      <c r="IC63" s="66"/>
      <c r="ID63" s="66"/>
      <c r="IE63" s="66"/>
      <c r="IF63" s="66"/>
      <c r="IG63" s="66"/>
      <c r="IH63" s="66"/>
      <c r="II63" s="66"/>
      <c r="IJ63" s="66"/>
      <c r="IK63" s="66"/>
      <c r="IL63" s="66"/>
      <c r="IM63" s="66"/>
      <c r="IN63" s="66"/>
      <c r="IO63" s="66"/>
      <c r="IP63" s="66"/>
      <c r="IQ63" s="66"/>
      <c r="IR63" s="66"/>
    </row>
    <row r="64" customFormat="false" ht="22.5" hidden="false" customHeight="true" outlineLevel="0" collapsed="false">
      <c r="A64" s="66"/>
      <c r="B64" s="62" t="s">
        <v>224</v>
      </c>
      <c r="C64" s="63" t="s">
        <v>225</v>
      </c>
      <c r="D64" s="28" t="s">
        <v>103</v>
      </c>
      <c r="E64" s="64"/>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6"/>
      <c r="BZ64" s="66"/>
      <c r="CA64" s="66"/>
      <c r="CB64" s="66"/>
      <c r="CC64" s="66"/>
      <c r="CD64" s="66"/>
      <c r="CE64" s="66"/>
      <c r="CF64" s="66"/>
      <c r="CG64" s="66"/>
      <c r="CH64" s="66"/>
      <c r="CI64" s="66"/>
      <c r="CJ64" s="66"/>
      <c r="CK64" s="66"/>
      <c r="CL64" s="66"/>
      <c r="CM64" s="66"/>
      <c r="CN64" s="66"/>
      <c r="CO64" s="66"/>
      <c r="CP64" s="66"/>
      <c r="CQ64" s="66"/>
      <c r="CR64" s="66"/>
      <c r="CS64" s="66"/>
      <c r="CT64" s="66"/>
      <c r="CU64" s="66"/>
      <c r="CV64" s="66"/>
      <c r="CW64" s="66"/>
      <c r="CX64" s="66"/>
      <c r="CY64" s="66"/>
      <c r="CZ64" s="66"/>
      <c r="DA64" s="66"/>
      <c r="DB64" s="66"/>
      <c r="DC64" s="66"/>
      <c r="DD64" s="66"/>
      <c r="DE64" s="66"/>
      <c r="DF64" s="66"/>
      <c r="DG64" s="66"/>
      <c r="DH64" s="66"/>
      <c r="DI64" s="66"/>
      <c r="DJ64" s="66"/>
      <c r="DK64" s="66"/>
      <c r="DL64" s="66"/>
      <c r="DM64" s="66"/>
      <c r="DN64" s="66"/>
      <c r="DO64" s="66"/>
      <c r="DP64" s="66"/>
      <c r="DQ64" s="66"/>
      <c r="DR64" s="66"/>
      <c r="DS64" s="66"/>
      <c r="DT64" s="66"/>
      <c r="DU64" s="66"/>
      <c r="DV64" s="66"/>
      <c r="DW64" s="66"/>
      <c r="DX64" s="66"/>
      <c r="DY64" s="66"/>
      <c r="DZ64" s="66"/>
      <c r="EA64" s="66"/>
      <c r="EB64" s="66"/>
      <c r="EC64" s="66"/>
      <c r="ED64" s="66"/>
      <c r="EE64" s="66"/>
      <c r="EF64" s="66"/>
      <c r="EG64" s="66"/>
      <c r="EH64" s="66"/>
      <c r="EI64" s="66"/>
      <c r="EJ64" s="66"/>
      <c r="EK64" s="66"/>
      <c r="EL64" s="66"/>
      <c r="EM64" s="66"/>
      <c r="EN64" s="66"/>
      <c r="EO64" s="66"/>
      <c r="EP64" s="66"/>
      <c r="EQ64" s="66"/>
      <c r="ER64" s="66"/>
      <c r="ES64" s="66"/>
      <c r="ET64" s="66"/>
      <c r="EU64" s="66"/>
      <c r="EV64" s="66"/>
      <c r="EW64" s="66"/>
      <c r="EX64" s="66"/>
      <c r="EY64" s="66"/>
      <c r="EZ64" s="66"/>
      <c r="FA64" s="66"/>
      <c r="FB64" s="66"/>
      <c r="FC64" s="66"/>
      <c r="FD64" s="66"/>
      <c r="FE64" s="66"/>
      <c r="FF64" s="66"/>
      <c r="FG64" s="66"/>
      <c r="FH64" s="66"/>
      <c r="FI64" s="66"/>
      <c r="FJ64" s="66"/>
      <c r="FK64" s="66"/>
      <c r="FL64" s="66"/>
      <c r="FM64" s="66"/>
      <c r="FN64" s="66"/>
      <c r="FO64" s="66"/>
      <c r="FP64" s="66"/>
      <c r="FQ64" s="66"/>
      <c r="FR64" s="66"/>
      <c r="FS64" s="66"/>
      <c r="FT64" s="66"/>
      <c r="FU64" s="66"/>
      <c r="FV64" s="66"/>
      <c r="FW64" s="66"/>
      <c r="FX64" s="66"/>
      <c r="FY64" s="66"/>
      <c r="FZ64" s="66"/>
      <c r="GA64" s="66"/>
      <c r="GB64" s="66"/>
      <c r="GC64" s="66"/>
      <c r="GD64" s="66"/>
      <c r="GE64" s="66"/>
      <c r="GF64" s="66"/>
      <c r="GG64" s="66"/>
      <c r="GH64" s="66"/>
      <c r="GI64" s="66"/>
      <c r="GJ64" s="66"/>
      <c r="GK64" s="66"/>
      <c r="GL64" s="66"/>
      <c r="GM64" s="66"/>
      <c r="GN64" s="66"/>
      <c r="GO64" s="66"/>
      <c r="GP64" s="66"/>
      <c r="GQ64" s="66"/>
      <c r="GR64" s="66"/>
      <c r="GS64" s="66"/>
      <c r="GT64" s="66"/>
      <c r="GU64" s="66"/>
      <c r="GV64" s="66"/>
      <c r="GW64" s="66"/>
      <c r="GX64" s="66"/>
      <c r="GY64" s="66"/>
      <c r="GZ64" s="66"/>
      <c r="HA64" s="66"/>
      <c r="HB64" s="66"/>
      <c r="HC64" s="66"/>
      <c r="HD64" s="66"/>
      <c r="HE64" s="66"/>
      <c r="HF64" s="66"/>
      <c r="HG64" s="66"/>
      <c r="HH64" s="66"/>
      <c r="HI64" s="66"/>
      <c r="HJ64" s="66"/>
      <c r="HK64" s="66"/>
      <c r="HL64" s="66"/>
      <c r="HM64" s="66"/>
      <c r="HN64" s="66"/>
      <c r="HO64" s="66"/>
      <c r="HP64" s="66"/>
      <c r="HQ64" s="66"/>
      <c r="HR64" s="66"/>
      <c r="HS64" s="66"/>
      <c r="HT64" s="66"/>
      <c r="HU64" s="66"/>
      <c r="HV64" s="66"/>
      <c r="HW64" s="66"/>
      <c r="HX64" s="66"/>
      <c r="HY64" s="66"/>
      <c r="HZ64" s="66"/>
      <c r="IA64" s="66"/>
      <c r="IB64" s="66"/>
      <c r="IC64" s="66"/>
      <c r="ID64" s="66"/>
      <c r="IE64" s="66"/>
      <c r="IF64" s="66"/>
      <c r="IG64" s="66"/>
      <c r="IH64" s="66"/>
      <c r="II64" s="66"/>
      <c r="IJ64" s="66"/>
      <c r="IK64" s="66"/>
      <c r="IL64" s="66"/>
      <c r="IM64" s="66"/>
      <c r="IN64" s="66"/>
      <c r="IO64" s="66"/>
      <c r="IP64" s="66"/>
      <c r="IQ64" s="66"/>
      <c r="IR64" s="66"/>
    </row>
    <row r="65" customFormat="false" ht="39" hidden="false" customHeight="true" outlineLevel="0" collapsed="false">
      <c r="A65" s="15"/>
      <c r="B65" s="16" t="s">
        <v>226</v>
      </c>
      <c r="C65" s="61" t="s">
        <v>227</v>
      </c>
      <c r="D65" s="61"/>
      <c r="E65" s="61"/>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5"/>
      <c r="EY65" s="15"/>
      <c r="EZ65" s="15"/>
      <c r="FA65" s="15"/>
      <c r="FB65" s="15"/>
      <c r="FC65" s="15"/>
      <c r="FD65" s="15"/>
      <c r="FE65" s="15"/>
      <c r="FF65" s="15"/>
      <c r="FG65" s="15"/>
      <c r="FH65" s="15"/>
      <c r="FI65" s="15"/>
      <c r="FJ65" s="15"/>
      <c r="FK65" s="15"/>
      <c r="FL65" s="15"/>
      <c r="FM65" s="15"/>
      <c r="FN65" s="15"/>
      <c r="FO65" s="15"/>
      <c r="FP65" s="15"/>
      <c r="FQ65" s="15"/>
      <c r="FR65" s="15"/>
      <c r="FS65" s="15"/>
      <c r="FT65" s="15"/>
      <c r="FU65" s="15"/>
      <c r="FV65" s="15"/>
      <c r="FW65" s="15"/>
      <c r="FX65" s="15"/>
      <c r="FY65" s="15"/>
      <c r="FZ65" s="15"/>
      <c r="GA65" s="15"/>
      <c r="GB65" s="15"/>
      <c r="GC65" s="15"/>
      <c r="GD65" s="15"/>
      <c r="GE65" s="15"/>
      <c r="GF65" s="15"/>
      <c r="GG65" s="15"/>
      <c r="GH65" s="15"/>
      <c r="GI65" s="15"/>
      <c r="GJ65" s="15"/>
      <c r="GK65" s="15"/>
      <c r="GL65" s="15"/>
      <c r="GM65" s="15"/>
      <c r="GN65" s="15"/>
      <c r="GO65" s="15"/>
      <c r="GP65" s="15"/>
      <c r="GQ65" s="15"/>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15"/>
      <c r="HQ65" s="15"/>
      <c r="HR65" s="15"/>
      <c r="HS65" s="15"/>
      <c r="HT65" s="15"/>
      <c r="HU65" s="15"/>
      <c r="HV65" s="15"/>
      <c r="HW65" s="15"/>
      <c r="HX65" s="15"/>
      <c r="HY65" s="15"/>
      <c r="HZ65" s="15"/>
      <c r="IA65" s="15"/>
      <c r="IB65" s="15"/>
      <c r="IC65" s="15"/>
      <c r="ID65" s="15"/>
      <c r="IE65" s="15"/>
      <c r="IF65" s="15"/>
      <c r="IG65" s="15"/>
      <c r="IH65" s="15"/>
      <c r="II65" s="15"/>
      <c r="IJ65" s="15"/>
      <c r="IK65" s="15"/>
      <c r="IL65" s="15"/>
      <c r="IM65" s="15"/>
      <c r="IN65" s="15"/>
      <c r="IO65" s="15"/>
      <c r="IP65" s="15"/>
      <c r="IQ65" s="15"/>
      <c r="IR65" s="15"/>
    </row>
    <row r="66" customFormat="false" ht="22.5" hidden="false" customHeight="true" outlineLevel="0" collapsed="false">
      <c r="A66" s="66"/>
      <c r="B66" s="62" t="s">
        <v>228</v>
      </c>
      <c r="C66" s="63" t="s">
        <v>229</v>
      </c>
      <c r="D66" s="28" t="s">
        <v>103</v>
      </c>
      <c r="E66" s="64"/>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c r="BV66" s="66"/>
      <c r="BW66" s="66"/>
      <c r="BX66" s="66"/>
      <c r="BY66" s="66"/>
      <c r="BZ66" s="66"/>
      <c r="CA66" s="66"/>
      <c r="CB66" s="66"/>
      <c r="CC66" s="66"/>
      <c r="CD66" s="66"/>
      <c r="CE66" s="66"/>
      <c r="CF66" s="66"/>
      <c r="CG66" s="66"/>
      <c r="CH66" s="66"/>
      <c r="CI66" s="66"/>
      <c r="CJ66" s="66"/>
      <c r="CK66" s="66"/>
      <c r="CL66" s="66"/>
      <c r="CM66" s="66"/>
      <c r="CN66" s="66"/>
      <c r="CO66" s="66"/>
      <c r="CP66" s="66"/>
      <c r="CQ66" s="66"/>
      <c r="CR66" s="66"/>
      <c r="CS66" s="66"/>
      <c r="CT66" s="66"/>
      <c r="CU66" s="66"/>
      <c r="CV66" s="66"/>
      <c r="CW66" s="66"/>
      <c r="CX66" s="66"/>
      <c r="CY66" s="66"/>
      <c r="CZ66" s="66"/>
      <c r="DA66" s="66"/>
      <c r="DB66" s="66"/>
      <c r="DC66" s="66"/>
      <c r="DD66" s="66"/>
      <c r="DE66" s="66"/>
      <c r="DF66" s="66"/>
      <c r="DG66" s="66"/>
      <c r="DH66" s="66"/>
      <c r="DI66" s="66"/>
      <c r="DJ66" s="66"/>
      <c r="DK66" s="66"/>
      <c r="DL66" s="66"/>
      <c r="DM66" s="66"/>
      <c r="DN66" s="66"/>
      <c r="DO66" s="66"/>
      <c r="DP66" s="66"/>
      <c r="DQ66" s="66"/>
      <c r="DR66" s="66"/>
      <c r="DS66" s="66"/>
      <c r="DT66" s="66"/>
      <c r="DU66" s="66"/>
      <c r="DV66" s="66"/>
      <c r="DW66" s="66"/>
      <c r="DX66" s="66"/>
      <c r="DY66" s="66"/>
      <c r="DZ66" s="66"/>
      <c r="EA66" s="66"/>
      <c r="EB66" s="66"/>
      <c r="EC66" s="66"/>
      <c r="ED66" s="66"/>
      <c r="EE66" s="66"/>
      <c r="EF66" s="66"/>
      <c r="EG66" s="66"/>
      <c r="EH66" s="66"/>
      <c r="EI66" s="66"/>
      <c r="EJ66" s="66"/>
      <c r="EK66" s="66"/>
      <c r="EL66" s="66"/>
      <c r="EM66" s="66"/>
      <c r="EN66" s="66"/>
      <c r="EO66" s="66"/>
      <c r="EP66" s="66"/>
      <c r="EQ66" s="66"/>
      <c r="ER66" s="66"/>
      <c r="ES66" s="66"/>
      <c r="ET66" s="66"/>
      <c r="EU66" s="66"/>
      <c r="EV66" s="66"/>
      <c r="EW66" s="66"/>
      <c r="EX66" s="66"/>
      <c r="EY66" s="66"/>
      <c r="EZ66" s="66"/>
      <c r="FA66" s="66"/>
      <c r="FB66" s="66"/>
      <c r="FC66" s="66"/>
      <c r="FD66" s="66"/>
      <c r="FE66" s="66"/>
      <c r="FF66" s="66"/>
      <c r="FG66" s="66"/>
      <c r="FH66" s="66"/>
      <c r="FI66" s="66"/>
      <c r="FJ66" s="66"/>
      <c r="FK66" s="66"/>
      <c r="FL66" s="66"/>
      <c r="FM66" s="66"/>
      <c r="FN66" s="66"/>
      <c r="FO66" s="66"/>
      <c r="FP66" s="66"/>
      <c r="FQ66" s="66"/>
      <c r="FR66" s="66"/>
      <c r="FS66" s="66"/>
      <c r="FT66" s="66"/>
      <c r="FU66" s="66"/>
      <c r="FV66" s="66"/>
      <c r="FW66" s="66"/>
      <c r="FX66" s="66"/>
      <c r="FY66" s="66"/>
      <c r="FZ66" s="66"/>
      <c r="GA66" s="66"/>
      <c r="GB66" s="66"/>
      <c r="GC66" s="66"/>
      <c r="GD66" s="66"/>
      <c r="GE66" s="66"/>
      <c r="GF66" s="66"/>
      <c r="GG66" s="66"/>
      <c r="GH66" s="66"/>
      <c r="GI66" s="66"/>
      <c r="GJ66" s="66"/>
      <c r="GK66" s="66"/>
      <c r="GL66" s="66"/>
      <c r="GM66" s="66"/>
      <c r="GN66" s="66"/>
      <c r="GO66" s="66"/>
      <c r="GP66" s="66"/>
      <c r="GQ66" s="66"/>
      <c r="GR66" s="66"/>
      <c r="GS66" s="66"/>
      <c r="GT66" s="66"/>
      <c r="GU66" s="66"/>
      <c r="GV66" s="66"/>
      <c r="GW66" s="66"/>
      <c r="GX66" s="66"/>
      <c r="GY66" s="66"/>
      <c r="GZ66" s="66"/>
      <c r="HA66" s="66"/>
      <c r="HB66" s="66"/>
      <c r="HC66" s="66"/>
      <c r="HD66" s="66"/>
      <c r="HE66" s="66"/>
      <c r="HF66" s="66"/>
      <c r="HG66" s="66"/>
      <c r="HH66" s="66"/>
      <c r="HI66" s="66"/>
      <c r="HJ66" s="66"/>
      <c r="HK66" s="66"/>
      <c r="HL66" s="66"/>
      <c r="HM66" s="66"/>
      <c r="HN66" s="66"/>
      <c r="HO66" s="66"/>
      <c r="HP66" s="66"/>
      <c r="HQ66" s="66"/>
      <c r="HR66" s="66"/>
      <c r="HS66" s="66"/>
      <c r="HT66" s="66"/>
      <c r="HU66" s="66"/>
      <c r="HV66" s="66"/>
      <c r="HW66" s="66"/>
      <c r="HX66" s="66"/>
      <c r="HY66" s="66"/>
      <c r="HZ66" s="66"/>
      <c r="IA66" s="66"/>
      <c r="IB66" s="66"/>
      <c r="IC66" s="66"/>
      <c r="ID66" s="66"/>
      <c r="IE66" s="66"/>
      <c r="IF66" s="66"/>
      <c r="IG66" s="66"/>
      <c r="IH66" s="66"/>
      <c r="II66" s="66"/>
      <c r="IJ66" s="66"/>
      <c r="IK66" s="66"/>
      <c r="IL66" s="66"/>
      <c r="IM66" s="66"/>
      <c r="IN66" s="66"/>
      <c r="IO66" s="66"/>
      <c r="IP66" s="66"/>
      <c r="IQ66" s="66"/>
      <c r="IR66" s="66"/>
    </row>
    <row r="67" customFormat="false" ht="22.5" hidden="false" customHeight="true" outlineLevel="0" collapsed="false">
      <c r="A67" s="66"/>
      <c r="B67" s="62" t="s">
        <v>230</v>
      </c>
      <c r="C67" s="63" t="s">
        <v>231</v>
      </c>
      <c r="D67" s="28" t="s">
        <v>103</v>
      </c>
      <c r="E67" s="64"/>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66"/>
      <c r="CM67" s="66"/>
      <c r="CN67" s="66"/>
      <c r="CO67" s="66"/>
      <c r="CP67" s="66"/>
      <c r="CQ67" s="66"/>
      <c r="CR67" s="66"/>
      <c r="CS67" s="66"/>
      <c r="CT67" s="66"/>
      <c r="CU67" s="66"/>
      <c r="CV67" s="66"/>
      <c r="CW67" s="66"/>
      <c r="CX67" s="66"/>
      <c r="CY67" s="66"/>
      <c r="CZ67" s="66"/>
      <c r="DA67" s="66"/>
      <c r="DB67" s="66"/>
      <c r="DC67" s="66"/>
      <c r="DD67" s="66"/>
      <c r="DE67" s="66"/>
      <c r="DF67" s="66"/>
      <c r="DG67" s="66"/>
      <c r="DH67" s="66"/>
      <c r="DI67" s="66"/>
      <c r="DJ67" s="66"/>
      <c r="DK67" s="66"/>
      <c r="DL67" s="66"/>
      <c r="DM67" s="66"/>
      <c r="DN67" s="66"/>
      <c r="DO67" s="66"/>
      <c r="DP67" s="66"/>
      <c r="DQ67" s="66"/>
      <c r="DR67" s="66"/>
      <c r="DS67" s="66"/>
      <c r="DT67" s="66"/>
      <c r="DU67" s="66"/>
      <c r="DV67" s="66"/>
      <c r="DW67" s="66"/>
      <c r="DX67" s="66"/>
      <c r="DY67" s="66"/>
      <c r="DZ67" s="66"/>
      <c r="EA67" s="66"/>
      <c r="EB67" s="66"/>
      <c r="EC67" s="66"/>
      <c r="ED67" s="66"/>
      <c r="EE67" s="66"/>
      <c r="EF67" s="66"/>
      <c r="EG67" s="66"/>
      <c r="EH67" s="66"/>
      <c r="EI67" s="66"/>
      <c r="EJ67" s="66"/>
      <c r="EK67" s="66"/>
      <c r="EL67" s="66"/>
      <c r="EM67" s="66"/>
      <c r="EN67" s="66"/>
      <c r="EO67" s="66"/>
      <c r="EP67" s="66"/>
      <c r="EQ67" s="66"/>
      <c r="ER67" s="66"/>
      <c r="ES67" s="66"/>
      <c r="ET67" s="66"/>
      <c r="EU67" s="66"/>
      <c r="EV67" s="66"/>
      <c r="EW67" s="66"/>
      <c r="EX67" s="66"/>
      <c r="EY67" s="66"/>
      <c r="EZ67" s="66"/>
      <c r="FA67" s="66"/>
      <c r="FB67" s="66"/>
      <c r="FC67" s="66"/>
      <c r="FD67" s="66"/>
      <c r="FE67" s="66"/>
      <c r="FF67" s="66"/>
      <c r="FG67" s="66"/>
      <c r="FH67" s="66"/>
      <c r="FI67" s="66"/>
      <c r="FJ67" s="66"/>
      <c r="FK67" s="66"/>
      <c r="FL67" s="66"/>
      <c r="FM67" s="66"/>
      <c r="FN67" s="66"/>
      <c r="FO67" s="66"/>
      <c r="FP67" s="66"/>
      <c r="FQ67" s="66"/>
      <c r="FR67" s="66"/>
      <c r="FS67" s="66"/>
      <c r="FT67" s="66"/>
      <c r="FU67" s="66"/>
      <c r="FV67" s="66"/>
      <c r="FW67" s="66"/>
      <c r="FX67" s="66"/>
      <c r="FY67" s="66"/>
      <c r="FZ67" s="66"/>
      <c r="GA67" s="66"/>
      <c r="GB67" s="66"/>
      <c r="GC67" s="66"/>
      <c r="GD67" s="66"/>
      <c r="GE67" s="66"/>
      <c r="GF67" s="66"/>
      <c r="GG67" s="66"/>
      <c r="GH67" s="66"/>
      <c r="GI67" s="66"/>
      <c r="GJ67" s="66"/>
      <c r="GK67" s="66"/>
      <c r="GL67" s="66"/>
      <c r="GM67" s="66"/>
      <c r="GN67" s="66"/>
      <c r="GO67" s="66"/>
      <c r="GP67" s="66"/>
      <c r="GQ67" s="66"/>
      <c r="GR67" s="66"/>
      <c r="GS67" s="66"/>
      <c r="GT67" s="66"/>
      <c r="GU67" s="66"/>
      <c r="GV67" s="66"/>
      <c r="GW67" s="66"/>
      <c r="GX67" s="66"/>
      <c r="GY67" s="66"/>
      <c r="GZ67" s="66"/>
      <c r="HA67" s="66"/>
      <c r="HB67" s="66"/>
      <c r="HC67" s="66"/>
      <c r="HD67" s="66"/>
      <c r="HE67" s="66"/>
      <c r="HF67" s="66"/>
      <c r="HG67" s="66"/>
      <c r="HH67" s="66"/>
      <c r="HI67" s="66"/>
      <c r="HJ67" s="66"/>
      <c r="HK67" s="66"/>
      <c r="HL67" s="66"/>
      <c r="HM67" s="66"/>
      <c r="HN67" s="66"/>
      <c r="HO67" s="66"/>
      <c r="HP67" s="66"/>
      <c r="HQ67" s="66"/>
      <c r="HR67" s="66"/>
      <c r="HS67" s="66"/>
      <c r="HT67" s="66"/>
      <c r="HU67" s="66"/>
      <c r="HV67" s="66"/>
      <c r="HW67" s="66"/>
      <c r="HX67" s="66"/>
      <c r="HY67" s="66"/>
      <c r="HZ67" s="66"/>
      <c r="IA67" s="66"/>
      <c r="IB67" s="66"/>
      <c r="IC67" s="66"/>
      <c r="ID67" s="66"/>
      <c r="IE67" s="66"/>
      <c r="IF67" s="66"/>
      <c r="IG67" s="66"/>
      <c r="IH67" s="66"/>
      <c r="II67" s="66"/>
      <c r="IJ67" s="66"/>
      <c r="IK67" s="66"/>
      <c r="IL67" s="66"/>
      <c r="IM67" s="66"/>
      <c r="IN67" s="66"/>
      <c r="IO67" s="66"/>
      <c r="IP67" s="66"/>
      <c r="IQ67" s="66"/>
      <c r="IR67" s="66"/>
    </row>
    <row r="68" customFormat="false" ht="22.5" hidden="false" customHeight="true" outlineLevel="0" collapsed="false">
      <c r="A68" s="66"/>
      <c r="B68" s="62" t="s">
        <v>232</v>
      </c>
      <c r="C68" s="63" t="s">
        <v>233</v>
      </c>
      <c r="D68" s="28" t="s">
        <v>103</v>
      </c>
      <c r="E68" s="64"/>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6"/>
      <c r="BW68" s="66"/>
      <c r="BX68" s="66"/>
      <c r="BY68" s="66"/>
      <c r="BZ68" s="66"/>
      <c r="CA68" s="66"/>
      <c r="CB68" s="66"/>
      <c r="CC68" s="66"/>
      <c r="CD68" s="66"/>
      <c r="CE68" s="66"/>
      <c r="CF68" s="66"/>
      <c r="CG68" s="66"/>
      <c r="CH68" s="66"/>
      <c r="CI68" s="66"/>
      <c r="CJ68" s="66"/>
      <c r="CK68" s="66"/>
      <c r="CL68" s="66"/>
      <c r="CM68" s="66"/>
      <c r="CN68" s="66"/>
      <c r="CO68" s="66"/>
      <c r="CP68" s="66"/>
      <c r="CQ68" s="66"/>
      <c r="CR68" s="66"/>
      <c r="CS68" s="66"/>
      <c r="CT68" s="66"/>
      <c r="CU68" s="66"/>
      <c r="CV68" s="66"/>
      <c r="CW68" s="66"/>
      <c r="CX68" s="66"/>
      <c r="CY68" s="66"/>
      <c r="CZ68" s="66"/>
      <c r="DA68" s="66"/>
      <c r="DB68" s="66"/>
      <c r="DC68" s="66"/>
      <c r="DD68" s="66"/>
      <c r="DE68" s="66"/>
      <c r="DF68" s="66"/>
      <c r="DG68" s="66"/>
      <c r="DH68" s="66"/>
      <c r="DI68" s="66"/>
      <c r="DJ68" s="66"/>
      <c r="DK68" s="66"/>
      <c r="DL68" s="66"/>
      <c r="DM68" s="66"/>
      <c r="DN68" s="66"/>
      <c r="DO68" s="66"/>
      <c r="DP68" s="66"/>
      <c r="DQ68" s="66"/>
      <c r="DR68" s="66"/>
      <c r="DS68" s="66"/>
      <c r="DT68" s="66"/>
      <c r="DU68" s="66"/>
      <c r="DV68" s="66"/>
      <c r="DW68" s="66"/>
      <c r="DX68" s="66"/>
      <c r="DY68" s="66"/>
      <c r="DZ68" s="66"/>
      <c r="EA68" s="66"/>
      <c r="EB68" s="66"/>
      <c r="EC68" s="66"/>
      <c r="ED68" s="66"/>
      <c r="EE68" s="66"/>
      <c r="EF68" s="66"/>
      <c r="EG68" s="66"/>
      <c r="EH68" s="66"/>
      <c r="EI68" s="66"/>
      <c r="EJ68" s="66"/>
      <c r="EK68" s="66"/>
      <c r="EL68" s="66"/>
      <c r="EM68" s="66"/>
      <c r="EN68" s="66"/>
      <c r="EO68" s="66"/>
      <c r="EP68" s="66"/>
      <c r="EQ68" s="66"/>
      <c r="ER68" s="66"/>
      <c r="ES68" s="66"/>
      <c r="ET68" s="66"/>
      <c r="EU68" s="66"/>
      <c r="EV68" s="66"/>
      <c r="EW68" s="66"/>
      <c r="EX68" s="66"/>
      <c r="EY68" s="66"/>
      <c r="EZ68" s="66"/>
      <c r="FA68" s="66"/>
      <c r="FB68" s="66"/>
      <c r="FC68" s="66"/>
      <c r="FD68" s="66"/>
      <c r="FE68" s="66"/>
      <c r="FF68" s="66"/>
      <c r="FG68" s="66"/>
      <c r="FH68" s="66"/>
      <c r="FI68" s="66"/>
      <c r="FJ68" s="66"/>
      <c r="FK68" s="66"/>
      <c r="FL68" s="66"/>
      <c r="FM68" s="66"/>
      <c r="FN68" s="66"/>
      <c r="FO68" s="66"/>
      <c r="FP68" s="66"/>
      <c r="FQ68" s="66"/>
      <c r="FR68" s="66"/>
      <c r="FS68" s="66"/>
      <c r="FT68" s="66"/>
      <c r="FU68" s="66"/>
      <c r="FV68" s="66"/>
      <c r="FW68" s="66"/>
      <c r="FX68" s="66"/>
      <c r="FY68" s="66"/>
      <c r="FZ68" s="66"/>
      <c r="GA68" s="66"/>
      <c r="GB68" s="66"/>
      <c r="GC68" s="66"/>
      <c r="GD68" s="66"/>
      <c r="GE68" s="66"/>
      <c r="GF68" s="66"/>
      <c r="GG68" s="66"/>
      <c r="GH68" s="66"/>
      <c r="GI68" s="66"/>
      <c r="GJ68" s="66"/>
      <c r="GK68" s="66"/>
      <c r="GL68" s="66"/>
      <c r="GM68" s="66"/>
      <c r="GN68" s="66"/>
      <c r="GO68" s="66"/>
      <c r="GP68" s="66"/>
      <c r="GQ68" s="66"/>
      <c r="GR68" s="66"/>
      <c r="GS68" s="66"/>
      <c r="GT68" s="66"/>
      <c r="GU68" s="66"/>
      <c r="GV68" s="66"/>
      <c r="GW68" s="66"/>
      <c r="GX68" s="66"/>
      <c r="GY68" s="66"/>
      <c r="GZ68" s="66"/>
      <c r="HA68" s="66"/>
      <c r="HB68" s="66"/>
      <c r="HC68" s="66"/>
      <c r="HD68" s="66"/>
      <c r="HE68" s="66"/>
      <c r="HF68" s="66"/>
      <c r="HG68" s="66"/>
      <c r="HH68" s="66"/>
      <c r="HI68" s="66"/>
      <c r="HJ68" s="66"/>
      <c r="HK68" s="66"/>
      <c r="HL68" s="66"/>
      <c r="HM68" s="66"/>
      <c r="HN68" s="66"/>
      <c r="HO68" s="66"/>
      <c r="HP68" s="66"/>
      <c r="HQ68" s="66"/>
      <c r="HR68" s="66"/>
      <c r="HS68" s="66"/>
      <c r="HT68" s="66"/>
      <c r="HU68" s="66"/>
      <c r="HV68" s="66"/>
      <c r="HW68" s="66"/>
      <c r="HX68" s="66"/>
      <c r="HY68" s="66"/>
      <c r="HZ68" s="66"/>
      <c r="IA68" s="66"/>
      <c r="IB68" s="66"/>
      <c r="IC68" s="66"/>
      <c r="ID68" s="66"/>
      <c r="IE68" s="66"/>
      <c r="IF68" s="66"/>
      <c r="IG68" s="66"/>
      <c r="IH68" s="66"/>
      <c r="II68" s="66"/>
      <c r="IJ68" s="66"/>
      <c r="IK68" s="66"/>
      <c r="IL68" s="66"/>
      <c r="IM68" s="66"/>
      <c r="IN68" s="66"/>
      <c r="IO68" s="66"/>
      <c r="IP68" s="66"/>
      <c r="IQ68" s="66"/>
      <c r="IR68" s="66"/>
    </row>
    <row r="69" customFormat="false" ht="22.5" hidden="false" customHeight="true" outlineLevel="0" collapsed="false">
      <c r="A69" s="66"/>
      <c r="B69" s="62" t="s">
        <v>234</v>
      </c>
      <c r="C69" s="63" t="s">
        <v>235</v>
      </c>
      <c r="D69" s="28" t="s">
        <v>103</v>
      </c>
      <c r="E69" s="64"/>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6"/>
      <c r="BW69" s="66"/>
      <c r="BX69" s="66"/>
      <c r="BY69" s="66"/>
      <c r="BZ69" s="66"/>
      <c r="CA69" s="66"/>
      <c r="CB69" s="66"/>
      <c r="CC69" s="66"/>
      <c r="CD69" s="66"/>
      <c r="CE69" s="66"/>
      <c r="CF69" s="66"/>
      <c r="CG69" s="66"/>
      <c r="CH69" s="66"/>
      <c r="CI69" s="66"/>
      <c r="CJ69" s="66"/>
      <c r="CK69" s="66"/>
      <c r="CL69" s="66"/>
      <c r="CM69" s="66"/>
      <c r="CN69" s="66"/>
      <c r="CO69" s="66"/>
      <c r="CP69" s="66"/>
      <c r="CQ69" s="66"/>
      <c r="CR69" s="66"/>
      <c r="CS69" s="66"/>
      <c r="CT69" s="66"/>
      <c r="CU69" s="66"/>
      <c r="CV69" s="66"/>
      <c r="CW69" s="66"/>
      <c r="CX69" s="66"/>
      <c r="CY69" s="66"/>
      <c r="CZ69" s="66"/>
      <c r="DA69" s="66"/>
      <c r="DB69" s="66"/>
      <c r="DC69" s="66"/>
      <c r="DD69" s="66"/>
      <c r="DE69" s="66"/>
      <c r="DF69" s="66"/>
      <c r="DG69" s="66"/>
      <c r="DH69" s="66"/>
      <c r="DI69" s="66"/>
      <c r="DJ69" s="66"/>
      <c r="DK69" s="66"/>
      <c r="DL69" s="66"/>
      <c r="DM69" s="66"/>
      <c r="DN69" s="66"/>
      <c r="DO69" s="66"/>
      <c r="DP69" s="66"/>
      <c r="DQ69" s="66"/>
      <c r="DR69" s="66"/>
      <c r="DS69" s="66"/>
      <c r="DT69" s="66"/>
      <c r="DU69" s="66"/>
      <c r="DV69" s="66"/>
      <c r="DW69" s="66"/>
      <c r="DX69" s="66"/>
      <c r="DY69" s="66"/>
      <c r="DZ69" s="66"/>
      <c r="EA69" s="66"/>
      <c r="EB69" s="66"/>
      <c r="EC69" s="66"/>
      <c r="ED69" s="66"/>
      <c r="EE69" s="66"/>
      <c r="EF69" s="66"/>
      <c r="EG69" s="66"/>
      <c r="EH69" s="66"/>
      <c r="EI69" s="66"/>
      <c r="EJ69" s="66"/>
      <c r="EK69" s="66"/>
      <c r="EL69" s="66"/>
      <c r="EM69" s="66"/>
      <c r="EN69" s="66"/>
      <c r="EO69" s="66"/>
      <c r="EP69" s="66"/>
      <c r="EQ69" s="66"/>
      <c r="ER69" s="66"/>
      <c r="ES69" s="66"/>
      <c r="ET69" s="66"/>
      <c r="EU69" s="66"/>
      <c r="EV69" s="66"/>
      <c r="EW69" s="66"/>
      <c r="EX69" s="66"/>
      <c r="EY69" s="66"/>
      <c r="EZ69" s="66"/>
      <c r="FA69" s="66"/>
      <c r="FB69" s="66"/>
      <c r="FC69" s="66"/>
      <c r="FD69" s="66"/>
      <c r="FE69" s="66"/>
      <c r="FF69" s="66"/>
      <c r="FG69" s="66"/>
      <c r="FH69" s="66"/>
      <c r="FI69" s="66"/>
      <c r="FJ69" s="66"/>
      <c r="FK69" s="66"/>
      <c r="FL69" s="66"/>
      <c r="FM69" s="66"/>
      <c r="FN69" s="66"/>
      <c r="FO69" s="66"/>
      <c r="FP69" s="66"/>
      <c r="FQ69" s="66"/>
      <c r="FR69" s="66"/>
      <c r="FS69" s="66"/>
      <c r="FT69" s="66"/>
      <c r="FU69" s="66"/>
      <c r="FV69" s="66"/>
      <c r="FW69" s="66"/>
      <c r="FX69" s="66"/>
      <c r="FY69" s="66"/>
      <c r="FZ69" s="66"/>
      <c r="GA69" s="66"/>
      <c r="GB69" s="66"/>
      <c r="GC69" s="66"/>
      <c r="GD69" s="66"/>
      <c r="GE69" s="66"/>
      <c r="GF69" s="66"/>
      <c r="GG69" s="66"/>
      <c r="GH69" s="66"/>
      <c r="GI69" s="66"/>
      <c r="GJ69" s="66"/>
      <c r="GK69" s="66"/>
      <c r="GL69" s="66"/>
      <c r="GM69" s="66"/>
      <c r="GN69" s="66"/>
      <c r="GO69" s="66"/>
      <c r="GP69" s="66"/>
      <c r="GQ69" s="66"/>
      <c r="GR69" s="66"/>
      <c r="GS69" s="66"/>
      <c r="GT69" s="66"/>
      <c r="GU69" s="66"/>
      <c r="GV69" s="66"/>
      <c r="GW69" s="66"/>
      <c r="GX69" s="66"/>
      <c r="GY69" s="66"/>
      <c r="GZ69" s="66"/>
      <c r="HA69" s="66"/>
      <c r="HB69" s="66"/>
      <c r="HC69" s="66"/>
      <c r="HD69" s="66"/>
      <c r="HE69" s="66"/>
      <c r="HF69" s="66"/>
      <c r="HG69" s="66"/>
      <c r="HH69" s="66"/>
      <c r="HI69" s="66"/>
      <c r="HJ69" s="66"/>
      <c r="HK69" s="66"/>
      <c r="HL69" s="66"/>
      <c r="HM69" s="66"/>
      <c r="HN69" s="66"/>
      <c r="HO69" s="66"/>
      <c r="HP69" s="66"/>
      <c r="HQ69" s="66"/>
      <c r="HR69" s="66"/>
      <c r="HS69" s="66"/>
      <c r="HT69" s="66"/>
      <c r="HU69" s="66"/>
      <c r="HV69" s="66"/>
      <c r="HW69" s="66"/>
      <c r="HX69" s="66"/>
      <c r="HY69" s="66"/>
      <c r="HZ69" s="66"/>
      <c r="IA69" s="66"/>
      <c r="IB69" s="66"/>
      <c r="IC69" s="66"/>
      <c r="ID69" s="66"/>
      <c r="IE69" s="66"/>
      <c r="IF69" s="66"/>
      <c r="IG69" s="66"/>
      <c r="IH69" s="66"/>
      <c r="II69" s="66"/>
      <c r="IJ69" s="66"/>
      <c r="IK69" s="66"/>
      <c r="IL69" s="66"/>
      <c r="IM69" s="66"/>
      <c r="IN69" s="66"/>
      <c r="IO69" s="66"/>
      <c r="IP69" s="66"/>
      <c r="IQ69" s="66"/>
      <c r="IR69" s="66"/>
    </row>
    <row r="70" customFormat="false" ht="22.5" hidden="false" customHeight="true" outlineLevel="0" collapsed="false">
      <c r="A70" s="66"/>
      <c r="B70" s="62" t="s">
        <v>236</v>
      </c>
      <c r="C70" s="63" t="s">
        <v>237</v>
      </c>
      <c r="D70" s="28" t="s">
        <v>103</v>
      </c>
      <c r="E70" s="64"/>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c r="CD70" s="66"/>
      <c r="CE70" s="66"/>
      <c r="CF70" s="66"/>
      <c r="CG70" s="66"/>
      <c r="CH70" s="66"/>
      <c r="CI70" s="66"/>
      <c r="CJ70" s="66"/>
      <c r="CK70" s="66"/>
      <c r="CL70" s="66"/>
      <c r="CM70" s="66"/>
      <c r="CN70" s="66"/>
      <c r="CO70" s="66"/>
      <c r="CP70" s="66"/>
      <c r="CQ70" s="66"/>
      <c r="CR70" s="66"/>
      <c r="CS70" s="66"/>
      <c r="CT70" s="66"/>
      <c r="CU70" s="66"/>
      <c r="CV70" s="66"/>
      <c r="CW70" s="66"/>
      <c r="CX70" s="66"/>
      <c r="CY70" s="66"/>
      <c r="CZ70" s="66"/>
      <c r="DA70" s="66"/>
      <c r="DB70" s="66"/>
      <c r="DC70" s="66"/>
      <c r="DD70" s="66"/>
      <c r="DE70" s="66"/>
      <c r="DF70" s="66"/>
      <c r="DG70" s="66"/>
      <c r="DH70" s="66"/>
      <c r="DI70" s="66"/>
      <c r="DJ70" s="66"/>
      <c r="DK70" s="66"/>
      <c r="DL70" s="66"/>
      <c r="DM70" s="66"/>
      <c r="DN70" s="66"/>
      <c r="DO70" s="66"/>
      <c r="DP70" s="66"/>
      <c r="DQ70" s="66"/>
      <c r="DR70" s="66"/>
      <c r="DS70" s="66"/>
      <c r="DT70" s="66"/>
      <c r="DU70" s="66"/>
      <c r="DV70" s="66"/>
      <c r="DW70" s="66"/>
      <c r="DX70" s="66"/>
      <c r="DY70" s="66"/>
      <c r="DZ70" s="66"/>
      <c r="EA70" s="66"/>
      <c r="EB70" s="66"/>
      <c r="EC70" s="66"/>
      <c r="ED70" s="66"/>
      <c r="EE70" s="66"/>
      <c r="EF70" s="66"/>
      <c r="EG70" s="66"/>
      <c r="EH70" s="66"/>
      <c r="EI70" s="66"/>
      <c r="EJ70" s="66"/>
      <c r="EK70" s="66"/>
      <c r="EL70" s="66"/>
      <c r="EM70" s="66"/>
      <c r="EN70" s="66"/>
      <c r="EO70" s="66"/>
      <c r="EP70" s="66"/>
      <c r="EQ70" s="66"/>
      <c r="ER70" s="66"/>
      <c r="ES70" s="66"/>
      <c r="ET70" s="66"/>
      <c r="EU70" s="66"/>
      <c r="EV70" s="66"/>
      <c r="EW70" s="66"/>
      <c r="EX70" s="66"/>
      <c r="EY70" s="66"/>
      <c r="EZ70" s="66"/>
      <c r="FA70" s="66"/>
      <c r="FB70" s="66"/>
      <c r="FC70" s="66"/>
      <c r="FD70" s="66"/>
      <c r="FE70" s="66"/>
      <c r="FF70" s="66"/>
      <c r="FG70" s="66"/>
      <c r="FH70" s="66"/>
      <c r="FI70" s="66"/>
      <c r="FJ70" s="66"/>
      <c r="FK70" s="66"/>
      <c r="FL70" s="66"/>
      <c r="FM70" s="66"/>
      <c r="FN70" s="66"/>
      <c r="FO70" s="66"/>
      <c r="FP70" s="66"/>
      <c r="FQ70" s="66"/>
      <c r="FR70" s="66"/>
      <c r="FS70" s="66"/>
      <c r="FT70" s="66"/>
      <c r="FU70" s="66"/>
      <c r="FV70" s="66"/>
      <c r="FW70" s="66"/>
      <c r="FX70" s="66"/>
      <c r="FY70" s="66"/>
      <c r="FZ70" s="66"/>
      <c r="GA70" s="66"/>
      <c r="GB70" s="66"/>
      <c r="GC70" s="66"/>
      <c r="GD70" s="66"/>
      <c r="GE70" s="66"/>
      <c r="GF70" s="66"/>
      <c r="GG70" s="66"/>
      <c r="GH70" s="66"/>
      <c r="GI70" s="66"/>
      <c r="GJ70" s="66"/>
      <c r="GK70" s="66"/>
      <c r="GL70" s="66"/>
      <c r="GM70" s="66"/>
      <c r="GN70" s="66"/>
      <c r="GO70" s="66"/>
      <c r="GP70" s="66"/>
      <c r="GQ70" s="66"/>
      <c r="GR70" s="66"/>
      <c r="GS70" s="66"/>
      <c r="GT70" s="66"/>
      <c r="GU70" s="66"/>
      <c r="GV70" s="66"/>
      <c r="GW70" s="66"/>
      <c r="GX70" s="66"/>
      <c r="GY70" s="66"/>
      <c r="GZ70" s="66"/>
      <c r="HA70" s="66"/>
      <c r="HB70" s="66"/>
      <c r="HC70" s="66"/>
      <c r="HD70" s="66"/>
      <c r="HE70" s="66"/>
      <c r="HF70" s="66"/>
      <c r="HG70" s="66"/>
      <c r="HH70" s="66"/>
      <c r="HI70" s="66"/>
      <c r="HJ70" s="66"/>
      <c r="HK70" s="66"/>
      <c r="HL70" s="66"/>
      <c r="HM70" s="66"/>
      <c r="HN70" s="66"/>
      <c r="HO70" s="66"/>
      <c r="HP70" s="66"/>
      <c r="HQ70" s="66"/>
      <c r="HR70" s="66"/>
      <c r="HS70" s="66"/>
      <c r="HT70" s="66"/>
      <c r="HU70" s="66"/>
      <c r="HV70" s="66"/>
      <c r="HW70" s="66"/>
      <c r="HX70" s="66"/>
      <c r="HY70" s="66"/>
      <c r="HZ70" s="66"/>
      <c r="IA70" s="66"/>
      <c r="IB70" s="66"/>
      <c r="IC70" s="66"/>
      <c r="ID70" s="66"/>
      <c r="IE70" s="66"/>
      <c r="IF70" s="66"/>
      <c r="IG70" s="66"/>
      <c r="IH70" s="66"/>
      <c r="II70" s="66"/>
      <c r="IJ70" s="66"/>
      <c r="IK70" s="66"/>
      <c r="IL70" s="66"/>
      <c r="IM70" s="66"/>
      <c r="IN70" s="66"/>
      <c r="IO70" s="66"/>
      <c r="IP70" s="66"/>
      <c r="IQ70" s="66"/>
      <c r="IR70" s="66"/>
    </row>
    <row r="71" customFormat="false" ht="22.5" hidden="false" customHeight="true" outlineLevel="0" collapsed="false">
      <c r="A71" s="66"/>
      <c r="B71" s="62" t="s">
        <v>238</v>
      </c>
      <c r="C71" s="63" t="s">
        <v>239</v>
      </c>
      <c r="D71" s="28" t="s">
        <v>103</v>
      </c>
      <c r="E71" s="64"/>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6"/>
      <c r="BZ71" s="66"/>
      <c r="CA71" s="66"/>
      <c r="CB71" s="66"/>
      <c r="CC71" s="66"/>
      <c r="CD71" s="66"/>
      <c r="CE71" s="66"/>
      <c r="CF71" s="66"/>
      <c r="CG71" s="66"/>
      <c r="CH71" s="66"/>
      <c r="CI71" s="66"/>
      <c r="CJ71" s="66"/>
      <c r="CK71" s="66"/>
      <c r="CL71" s="66"/>
      <c r="CM71" s="66"/>
      <c r="CN71" s="66"/>
      <c r="CO71" s="66"/>
      <c r="CP71" s="66"/>
      <c r="CQ71" s="66"/>
      <c r="CR71" s="66"/>
      <c r="CS71" s="66"/>
      <c r="CT71" s="66"/>
      <c r="CU71" s="66"/>
      <c r="CV71" s="66"/>
      <c r="CW71" s="66"/>
      <c r="CX71" s="66"/>
      <c r="CY71" s="66"/>
      <c r="CZ71" s="66"/>
      <c r="DA71" s="66"/>
      <c r="DB71" s="66"/>
      <c r="DC71" s="66"/>
      <c r="DD71" s="66"/>
      <c r="DE71" s="66"/>
      <c r="DF71" s="66"/>
      <c r="DG71" s="66"/>
      <c r="DH71" s="66"/>
      <c r="DI71" s="66"/>
      <c r="DJ71" s="66"/>
      <c r="DK71" s="66"/>
      <c r="DL71" s="66"/>
      <c r="DM71" s="66"/>
      <c r="DN71" s="66"/>
      <c r="DO71" s="66"/>
      <c r="DP71" s="66"/>
      <c r="DQ71" s="66"/>
      <c r="DR71" s="66"/>
      <c r="DS71" s="66"/>
      <c r="DT71" s="66"/>
      <c r="DU71" s="66"/>
      <c r="DV71" s="66"/>
      <c r="DW71" s="66"/>
      <c r="DX71" s="66"/>
      <c r="DY71" s="66"/>
      <c r="DZ71" s="66"/>
      <c r="EA71" s="66"/>
      <c r="EB71" s="66"/>
      <c r="EC71" s="66"/>
      <c r="ED71" s="66"/>
      <c r="EE71" s="66"/>
      <c r="EF71" s="66"/>
      <c r="EG71" s="66"/>
      <c r="EH71" s="66"/>
      <c r="EI71" s="66"/>
      <c r="EJ71" s="66"/>
      <c r="EK71" s="66"/>
      <c r="EL71" s="66"/>
      <c r="EM71" s="66"/>
      <c r="EN71" s="66"/>
      <c r="EO71" s="66"/>
      <c r="EP71" s="66"/>
      <c r="EQ71" s="66"/>
      <c r="ER71" s="66"/>
      <c r="ES71" s="66"/>
      <c r="ET71" s="66"/>
      <c r="EU71" s="66"/>
      <c r="EV71" s="66"/>
      <c r="EW71" s="66"/>
      <c r="EX71" s="66"/>
      <c r="EY71" s="66"/>
      <c r="EZ71" s="66"/>
      <c r="FA71" s="66"/>
      <c r="FB71" s="66"/>
      <c r="FC71" s="66"/>
      <c r="FD71" s="66"/>
      <c r="FE71" s="66"/>
      <c r="FF71" s="66"/>
      <c r="FG71" s="66"/>
      <c r="FH71" s="66"/>
      <c r="FI71" s="66"/>
      <c r="FJ71" s="66"/>
      <c r="FK71" s="66"/>
      <c r="FL71" s="66"/>
      <c r="FM71" s="66"/>
      <c r="FN71" s="66"/>
      <c r="FO71" s="66"/>
      <c r="FP71" s="66"/>
      <c r="FQ71" s="66"/>
      <c r="FR71" s="66"/>
      <c r="FS71" s="66"/>
      <c r="FT71" s="66"/>
      <c r="FU71" s="66"/>
      <c r="FV71" s="66"/>
      <c r="FW71" s="66"/>
      <c r="FX71" s="66"/>
      <c r="FY71" s="66"/>
      <c r="FZ71" s="66"/>
      <c r="GA71" s="66"/>
      <c r="GB71" s="66"/>
      <c r="GC71" s="66"/>
      <c r="GD71" s="66"/>
      <c r="GE71" s="66"/>
      <c r="GF71" s="66"/>
      <c r="GG71" s="66"/>
      <c r="GH71" s="66"/>
      <c r="GI71" s="66"/>
      <c r="GJ71" s="66"/>
      <c r="GK71" s="66"/>
      <c r="GL71" s="66"/>
      <c r="GM71" s="66"/>
      <c r="GN71" s="66"/>
      <c r="GO71" s="66"/>
      <c r="GP71" s="66"/>
      <c r="GQ71" s="66"/>
      <c r="GR71" s="66"/>
      <c r="GS71" s="66"/>
      <c r="GT71" s="66"/>
      <c r="GU71" s="66"/>
      <c r="GV71" s="66"/>
      <c r="GW71" s="66"/>
      <c r="GX71" s="66"/>
      <c r="GY71" s="66"/>
      <c r="GZ71" s="66"/>
      <c r="HA71" s="66"/>
      <c r="HB71" s="66"/>
      <c r="HC71" s="66"/>
      <c r="HD71" s="66"/>
      <c r="HE71" s="66"/>
      <c r="HF71" s="66"/>
      <c r="HG71" s="66"/>
      <c r="HH71" s="66"/>
      <c r="HI71" s="66"/>
      <c r="HJ71" s="66"/>
      <c r="HK71" s="66"/>
      <c r="HL71" s="66"/>
      <c r="HM71" s="66"/>
      <c r="HN71" s="66"/>
      <c r="HO71" s="66"/>
      <c r="HP71" s="66"/>
      <c r="HQ71" s="66"/>
      <c r="HR71" s="66"/>
      <c r="HS71" s="66"/>
      <c r="HT71" s="66"/>
      <c r="HU71" s="66"/>
      <c r="HV71" s="66"/>
      <c r="HW71" s="66"/>
      <c r="HX71" s="66"/>
      <c r="HY71" s="66"/>
      <c r="HZ71" s="66"/>
      <c r="IA71" s="66"/>
      <c r="IB71" s="66"/>
      <c r="IC71" s="66"/>
      <c r="ID71" s="66"/>
      <c r="IE71" s="66"/>
      <c r="IF71" s="66"/>
      <c r="IG71" s="66"/>
      <c r="IH71" s="66"/>
      <c r="II71" s="66"/>
      <c r="IJ71" s="66"/>
      <c r="IK71" s="66"/>
      <c r="IL71" s="66"/>
      <c r="IM71" s="66"/>
      <c r="IN71" s="66"/>
      <c r="IO71" s="66"/>
      <c r="IP71" s="66"/>
      <c r="IQ71" s="66"/>
      <c r="IR71" s="66"/>
    </row>
    <row r="72" customFormat="false" ht="22.5" hidden="false" customHeight="true" outlineLevel="0" collapsed="false">
      <c r="A72" s="66"/>
      <c r="B72" s="62" t="s">
        <v>240</v>
      </c>
      <c r="C72" s="63" t="s">
        <v>241</v>
      </c>
      <c r="D72" s="28" t="s">
        <v>103</v>
      </c>
      <c r="E72" s="64"/>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6"/>
      <c r="BX72" s="66"/>
      <c r="BY72" s="66"/>
      <c r="BZ72" s="66"/>
      <c r="CA72" s="66"/>
      <c r="CB72" s="66"/>
      <c r="CC72" s="66"/>
      <c r="CD72" s="66"/>
      <c r="CE72" s="66"/>
      <c r="CF72" s="66"/>
      <c r="CG72" s="66"/>
      <c r="CH72" s="66"/>
      <c r="CI72" s="66"/>
      <c r="CJ72" s="66"/>
      <c r="CK72" s="66"/>
      <c r="CL72" s="66"/>
      <c r="CM72" s="66"/>
      <c r="CN72" s="66"/>
      <c r="CO72" s="66"/>
      <c r="CP72" s="66"/>
      <c r="CQ72" s="66"/>
      <c r="CR72" s="66"/>
      <c r="CS72" s="66"/>
      <c r="CT72" s="66"/>
      <c r="CU72" s="66"/>
      <c r="CV72" s="66"/>
      <c r="CW72" s="66"/>
      <c r="CX72" s="66"/>
      <c r="CY72" s="66"/>
      <c r="CZ72" s="66"/>
      <c r="DA72" s="66"/>
      <c r="DB72" s="66"/>
      <c r="DC72" s="66"/>
      <c r="DD72" s="66"/>
      <c r="DE72" s="66"/>
      <c r="DF72" s="66"/>
      <c r="DG72" s="66"/>
      <c r="DH72" s="66"/>
      <c r="DI72" s="66"/>
      <c r="DJ72" s="66"/>
      <c r="DK72" s="66"/>
      <c r="DL72" s="66"/>
      <c r="DM72" s="66"/>
      <c r="DN72" s="66"/>
      <c r="DO72" s="66"/>
      <c r="DP72" s="66"/>
      <c r="DQ72" s="66"/>
      <c r="DR72" s="66"/>
      <c r="DS72" s="66"/>
      <c r="DT72" s="66"/>
      <c r="DU72" s="66"/>
      <c r="DV72" s="66"/>
      <c r="DW72" s="66"/>
      <c r="DX72" s="66"/>
      <c r="DY72" s="66"/>
      <c r="DZ72" s="66"/>
      <c r="EA72" s="66"/>
      <c r="EB72" s="66"/>
      <c r="EC72" s="66"/>
      <c r="ED72" s="66"/>
      <c r="EE72" s="66"/>
      <c r="EF72" s="66"/>
      <c r="EG72" s="66"/>
      <c r="EH72" s="66"/>
      <c r="EI72" s="66"/>
      <c r="EJ72" s="66"/>
      <c r="EK72" s="66"/>
      <c r="EL72" s="66"/>
      <c r="EM72" s="66"/>
      <c r="EN72" s="66"/>
      <c r="EO72" s="66"/>
      <c r="EP72" s="66"/>
      <c r="EQ72" s="66"/>
      <c r="ER72" s="66"/>
      <c r="ES72" s="66"/>
      <c r="ET72" s="66"/>
      <c r="EU72" s="66"/>
      <c r="EV72" s="66"/>
      <c r="EW72" s="66"/>
      <c r="EX72" s="66"/>
      <c r="EY72" s="66"/>
      <c r="EZ72" s="66"/>
      <c r="FA72" s="66"/>
      <c r="FB72" s="66"/>
      <c r="FC72" s="66"/>
      <c r="FD72" s="66"/>
      <c r="FE72" s="66"/>
      <c r="FF72" s="66"/>
      <c r="FG72" s="66"/>
      <c r="FH72" s="66"/>
      <c r="FI72" s="66"/>
      <c r="FJ72" s="66"/>
      <c r="FK72" s="66"/>
      <c r="FL72" s="66"/>
      <c r="FM72" s="66"/>
      <c r="FN72" s="66"/>
      <c r="FO72" s="66"/>
      <c r="FP72" s="66"/>
      <c r="FQ72" s="66"/>
      <c r="FR72" s="66"/>
      <c r="FS72" s="66"/>
      <c r="FT72" s="66"/>
      <c r="FU72" s="66"/>
      <c r="FV72" s="66"/>
      <c r="FW72" s="66"/>
      <c r="FX72" s="66"/>
      <c r="FY72" s="66"/>
      <c r="FZ72" s="66"/>
      <c r="GA72" s="66"/>
      <c r="GB72" s="66"/>
      <c r="GC72" s="66"/>
      <c r="GD72" s="66"/>
      <c r="GE72" s="66"/>
      <c r="GF72" s="66"/>
      <c r="GG72" s="66"/>
      <c r="GH72" s="66"/>
      <c r="GI72" s="66"/>
      <c r="GJ72" s="66"/>
      <c r="GK72" s="66"/>
      <c r="GL72" s="66"/>
      <c r="GM72" s="66"/>
      <c r="GN72" s="66"/>
      <c r="GO72" s="66"/>
      <c r="GP72" s="66"/>
      <c r="GQ72" s="66"/>
      <c r="GR72" s="66"/>
      <c r="GS72" s="66"/>
      <c r="GT72" s="66"/>
      <c r="GU72" s="66"/>
      <c r="GV72" s="66"/>
      <c r="GW72" s="66"/>
      <c r="GX72" s="66"/>
      <c r="GY72" s="66"/>
      <c r="GZ72" s="66"/>
      <c r="HA72" s="66"/>
      <c r="HB72" s="66"/>
      <c r="HC72" s="66"/>
      <c r="HD72" s="66"/>
      <c r="HE72" s="66"/>
      <c r="HF72" s="66"/>
      <c r="HG72" s="66"/>
      <c r="HH72" s="66"/>
      <c r="HI72" s="66"/>
      <c r="HJ72" s="66"/>
      <c r="HK72" s="66"/>
      <c r="HL72" s="66"/>
      <c r="HM72" s="66"/>
      <c r="HN72" s="66"/>
      <c r="HO72" s="66"/>
      <c r="HP72" s="66"/>
      <c r="HQ72" s="66"/>
      <c r="HR72" s="66"/>
      <c r="HS72" s="66"/>
      <c r="HT72" s="66"/>
      <c r="HU72" s="66"/>
      <c r="HV72" s="66"/>
      <c r="HW72" s="66"/>
      <c r="HX72" s="66"/>
      <c r="HY72" s="66"/>
      <c r="HZ72" s="66"/>
      <c r="IA72" s="66"/>
      <c r="IB72" s="66"/>
      <c r="IC72" s="66"/>
      <c r="ID72" s="66"/>
      <c r="IE72" s="66"/>
      <c r="IF72" s="66"/>
      <c r="IG72" s="66"/>
      <c r="IH72" s="66"/>
      <c r="II72" s="66"/>
      <c r="IJ72" s="66"/>
      <c r="IK72" s="66"/>
      <c r="IL72" s="66"/>
      <c r="IM72" s="66"/>
      <c r="IN72" s="66"/>
      <c r="IO72" s="66"/>
      <c r="IP72" s="66"/>
      <c r="IQ72" s="66"/>
      <c r="IR72" s="66"/>
    </row>
    <row r="73" customFormat="false" ht="22.5" hidden="false" customHeight="true" outlineLevel="0" collapsed="false">
      <c r="A73" s="66"/>
      <c r="B73" s="62" t="s">
        <v>242</v>
      </c>
      <c r="C73" s="63" t="s">
        <v>243</v>
      </c>
      <c r="D73" s="28" t="s">
        <v>103</v>
      </c>
      <c r="E73" s="64"/>
      <c r="F73" s="66"/>
      <c r="G73" s="66"/>
      <c r="H73" s="66"/>
      <c r="I73" s="66"/>
      <c r="J73" s="66"/>
      <c r="K73" s="66"/>
      <c r="L73" s="66"/>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c r="BV73" s="66"/>
      <c r="BW73" s="66"/>
      <c r="BX73" s="66"/>
      <c r="BY73" s="66"/>
      <c r="BZ73" s="66"/>
      <c r="CA73" s="66"/>
      <c r="CB73" s="66"/>
      <c r="CC73" s="66"/>
      <c r="CD73" s="66"/>
      <c r="CE73" s="66"/>
      <c r="CF73" s="66"/>
      <c r="CG73" s="66"/>
      <c r="CH73" s="66"/>
      <c r="CI73" s="66"/>
      <c r="CJ73" s="66"/>
      <c r="CK73" s="66"/>
      <c r="CL73" s="66"/>
      <c r="CM73" s="66"/>
      <c r="CN73" s="66"/>
      <c r="CO73" s="66"/>
      <c r="CP73" s="66"/>
      <c r="CQ73" s="66"/>
      <c r="CR73" s="66"/>
      <c r="CS73" s="66"/>
      <c r="CT73" s="66"/>
      <c r="CU73" s="66"/>
      <c r="CV73" s="66"/>
      <c r="CW73" s="66"/>
      <c r="CX73" s="66"/>
      <c r="CY73" s="66"/>
      <c r="CZ73" s="66"/>
      <c r="DA73" s="66"/>
      <c r="DB73" s="66"/>
      <c r="DC73" s="66"/>
      <c r="DD73" s="66"/>
      <c r="DE73" s="66"/>
      <c r="DF73" s="66"/>
      <c r="DG73" s="66"/>
      <c r="DH73" s="66"/>
      <c r="DI73" s="66"/>
      <c r="DJ73" s="66"/>
      <c r="DK73" s="66"/>
      <c r="DL73" s="66"/>
      <c r="DM73" s="66"/>
      <c r="DN73" s="66"/>
      <c r="DO73" s="66"/>
      <c r="DP73" s="66"/>
      <c r="DQ73" s="66"/>
      <c r="DR73" s="66"/>
      <c r="DS73" s="66"/>
      <c r="DT73" s="66"/>
      <c r="DU73" s="66"/>
      <c r="DV73" s="66"/>
      <c r="DW73" s="66"/>
      <c r="DX73" s="66"/>
      <c r="DY73" s="66"/>
      <c r="DZ73" s="66"/>
      <c r="EA73" s="66"/>
      <c r="EB73" s="66"/>
      <c r="EC73" s="66"/>
      <c r="ED73" s="66"/>
      <c r="EE73" s="66"/>
      <c r="EF73" s="66"/>
      <c r="EG73" s="66"/>
      <c r="EH73" s="66"/>
      <c r="EI73" s="66"/>
      <c r="EJ73" s="66"/>
      <c r="EK73" s="66"/>
      <c r="EL73" s="66"/>
      <c r="EM73" s="66"/>
      <c r="EN73" s="66"/>
      <c r="EO73" s="66"/>
      <c r="EP73" s="66"/>
      <c r="EQ73" s="66"/>
      <c r="ER73" s="66"/>
      <c r="ES73" s="66"/>
      <c r="ET73" s="66"/>
      <c r="EU73" s="66"/>
      <c r="EV73" s="66"/>
      <c r="EW73" s="66"/>
      <c r="EX73" s="66"/>
      <c r="EY73" s="66"/>
      <c r="EZ73" s="66"/>
      <c r="FA73" s="66"/>
      <c r="FB73" s="66"/>
      <c r="FC73" s="66"/>
      <c r="FD73" s="66"/>
      <c r="FE73" s="66"/>
      <c r="FF73" s="66"/>
      <c r="FG73" s="66"/>
      <c r="FH73" s="66"/>
      <c r="FI73" s="66"/>
      <c r="FJ73" s="66"/>
      <c r="FK73" s="66"/>
      <c r="FL73" s="66"/>
      <c r="FM73" s="66"/>
      <c r="FN73" s="66"/>
      <c r="FO73" s="66"/>
      <c r="FP73" s="66"/>
      <c r="FQ73" s="66"/>
      <c r="FR73" s="66"/>
      <c r="FS73" s="66"/>
      <c r="FT73" s="66"/>
      <c r="FU73" s="66"/>
      <c r="FV73" s="66"/>
      <c r="FW73" s="66"/>
      <c r="FX73" s="66"/>
      <c r="FY73" s="66"/>
      <c r="FZ73" s="66"/>
      <c r="GA73" s="66"/>
      <c r="GB73" s="66"/>
      <c r="GC73" s="66"/>
      <c r="GD73" s="66"/>
      <c r="GE73" s="66"/>
      <c r="GF73" s="66"/>
      <c r="GG73" s="66"/>
      <c r="GH73" s="66"/>
      <c r="GI73" s="66"/>
      <c r="GJ73" s="66"/>
      <c r="GK73" s="66"/>
      <c r="GL73" s="66"/>
      <c r="GM73" s="66"/>
      <c r="GN73" s="66"/>
      <c r="GO73" s="66"/>
      <c r="GP73" s="66"/>
      <c r="GQ73" s="66"/>
      <c r="GR73" s="66"/>
      <c r="GS73" s="66"/>
      <c r="GT73" s="66"/>
      <c r="GU73" s="66"/>
      <c r="GV73" s="66"/>
      <c r="GW73" s="66"/>
      <c r="GX73" s="66"/>
      <c r="GY73" s="66"/>
      <c r="GZ73" s="66"/>
      <c r="HA73" s="66"/>
      <c r="HB73" s="66"/>
      <c r="HC73" s="66"/>
      <c r="HD73" s="66"/>
      <c r="HE73" s="66"/>
      <c r="HF73" s="66"/>
      <c r="HG73" s="66"/>
      <c r="HH73" s="66"/>
      <c r="HI73" s="66"/>
      <c r="HJ73" s="66"/>
      <c r="HK73" s="66"/>
      <c r="HL73" s="66"/>
      <c r="HM73" s="66"/>
      <c r="HN73" s="66"/>
      <c r="HO73" s="66"/>
      <c r="HP73" s="66"/>
      <c r="HQ73" s="66"/>
      <c r="HR73" s="66"/>
      <c r="HS73" s="66"/>
      <c r="HT73" s="66"/>
      <c r="HU73" s="66"/>
      <c r="HV73" s="66"/>
      <c r="HW73" s="66"/>
      <c r="HX73" s="66"/>
      <c r="HY73" s="66"/>
      <c r="HZ73" s="66"/>
      <c r="IA73" s="66"/>
      <c r="IB73" s="66"/>
      <c r="IC73" s="66"/>
      <c r="ID73" s="66"/>
      <c r="IE73" s="66"/>
      <c r="IF73" s="66"/>
      <c r="IG73" s="66"/>
      <c r="IH73" s="66"/>
      <c r="II73" s="66"/>
      <c r="IJ73" s="66"/>
      <c r="IK73" s="66"/>
      <c r="IL73" s="66"/>
      <c r="IM73" s="66"/>
      <c r="IN73" s="66"/>
      <c r="IO73" s="66"/>
      <c r="IP73" s="66"/>
      <c r="IQ73" s="66"/>
      <c r="IR73" s="66"/>
    </row>
    <row r="74" customFormat="false" ht="22.5" hidden="false" customHeight="true" outlineLevel="0" collapsed="false">
      <c r="A74" s="66"/>
      <c r="B74" s="62" t="s">
        <v>244</v>
      </c>
      <c r="C74" s="63" t="s">
        <v>245</v>
      </c>
      <c r="D74" s="28" t="s">
        <v>103</v>
      </c>
      <c r="E74" s="64"/>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c r="BL74" s="66"/>
      <c r="BM74" s="66"/>
      <c r="BN74" s="66"/>
      <c r="BO74" s="66"/>
      <c r="BP74" s="66"/>
      <c r="BQ74" s="66"/>
      <c r="BR74" s="66"/>
      <c r="BS74" s="66"/>
      <c r="BT74" s="66"/>
      <c r="BU74" s="66"/>
      <c r="BV74" s="66"/>
      <c r="BW74" s="66"/>
      <c r="BX74" s="66"/>
      <c r="BY74" s="66"/>
      <c r="BZ74" s="66"/>
      <c r="CA74" s="66"/>
      <c r="CB74" s="66"/>
      <c r="CC74" s="66"/>
      <c r="CD74" s="66"/>
      <c r="CE74" s="66"/>
      <c r="CF74" s="66"/>
      <c r="CG74" s="66"/>
      <c r="CH74" s="66"/>
      <c r="CI74" s="66"/>
      <c r="CJ74" s="66"/>
      <c r="CK74" s="66"/>
      <c r="CL74" s="66"/>
      <c r="CM74" s="66"/>
      <c r="CN74" s="66"/>
      <c r="CO74" s="66"/>
      <c r="CP74" s="66"/>
      <c r="CQ74" s="66"/>
      <c r="CR74" s="66"/>
      <c r="CS74" s="66"/>
      <c r="CT74" s="66"/>
      <c r="CU74" s="66"/>
      <c r="CV74" s="66"/>
      <c r="CW74" s="66"/>
      <c r="CX74" s="66"/>
      <c r="CY74" s="66"/>
      <c r="CZ74" s="66"/>
      <c r="DA74" s="66"/>
      <c r="DB74" s="66"/>
      <c r="DC74" s="66"/>
      <c r="DD74" s="66"/>
      <c r="DE74" s="66"/>
      <c r="DF74" s="66"/>
      <c r="DG74" s="66"/>
      <c r="DH74" s="66"/>
      <c r="DI74" s="66"/>
      <c r="DJ74" s="66"/>
      <c r="DK74" s="66"/>
      <c r="DL74" s="66"/>
      <c r="DM74" s="66"/>
      <c r="DN74" s="66"/>
      <c r="DO74" s="66"/>
      <c r="DP74" s="66"/>
      <c r="DQ74" s="66"/>
      <c r="DR74" s="66"/>
      <c r="DS74" s="66"/>
      <c r="DT74" s="66"/>
      <c r="DU74" s="66"/>
      <c r="DV74" s="66"/>
      <c r="DW74" s="66"/>
      <c r="DX74" s="66"/>
      <c r="DY74" s="66"/>
      <c r="DZ74" s="66"/>
      <c r="EA74" s="66"/>
      <c r="EB74" s="66"/>
      <c r="EC74" s="66"/>
      <c r="ED74" s="66"/>
      <c r="EE74" s="66"/>
      <c r="EF74" s="66"/>
      <c r="EG74" s="66"/>
      <c r="EH74" s="66"/>
      <c r="EI74" s="66"/>
      <c r="EJ74" s="66"/>
      <c r="EK74" s="66"/>
      <c r="EL74" s="66"/>
      <c r="EM74" s="66"/>
      <c r="EN74" s="66"/>
      <c r="EO74" s="66"/>
      <c r="EP74" s="66"/>
      <c r="EQ74" s="66"/>
      <c r="ER74" s="66"/>
      <c r="ES74" s="66"/>
      <c r="ET74" s="66"/>
      <c r="EU74" s="66"/>
      <c r="EV74" s="66"/>
      <c r="EW74" s="66"/>
      <c r="EX74" s="66"/>
      <c r="EY74" s="66"/>
      <c r="EZ74" s="66"/>
      <c r="FA74" s="66"/>
      <c r="FB74" s="66"/>
      <c r="FC74" s="66"/>
      <c r="FD74" s="66"/>
      <c r="FE74" s="66"/>
      <c r="FF74" s="66"/>
      <c r="FG74" s="66"/>
      <c r="FH74" s="66"/>
      <c r="FI74" s="66"/>
      <c r="FJ74" s="66"/>
      <c r="FK74" s="66"/>
      <c r="FL74" s="66"/>
      <c r="FM74" s="66"/>
      <c r="FN74" s="66"/>
      <c r="FO74" s="66"/>
      <c r="FP74" s="66"/>
      <c r="FQ74" s="66"/>
      <c r="FR74" s="66"/>
      <c r="FS74" s="66"/>
      <c r="FT74" s="66"/>
      <c r="FU74" s="66"/>
      <c r="FV74" s="66"/>
      <c r="FW74" s="66"/>
      <c r="FX74" s="66"/>
      <c r="FY74" s="66"/>
      <c r="FZ74" s="66"/>
      <c r="GA74" s="66"/>
      <c r="GB74" s="66"/>
      <c r="GC74" s="66"/>
      <c r="GD74" s="66"/>
      <c r="GE74" s="66"/>
      <c r="GF74" s="66"/>
      <c r="GG74" s="66"/>
      <c r="GH74" s="66"/>
      <c r="GI74" s="66"/>
      <c r="GJ74" s="66"/>
      <c r="GK74" s="66"/>
      <c r="GL74" s="66"/>
      <c r="GM74" s="66"/>
      <c r="GN74" s="66"/>
      <c r="GO74" s="66"/>
      <c r="GP74" s="66"/>
      <c r="GQ74" s="66"/>
      <c r="GR74" s="66"/>
      <c r="GS74" s="66"/>
      <c r="GT74" s="66"/>
      <c r="GU74" s="66"/>
      <c r="GV74" s="66"/>
      <c r="GW74" s="66"/>
      <c r="GX74" s="66"/>
      <c r="GY74" s="66"/>
      <c r="GZ74" s="66"/>
      <c r="HA74" s="66"/>
      <c r="HB74" s="66"/>
      <c r="HC74" s="66"/>
      <c r="HD74" s="66"/>
      <c r="HE74" s="66"/>
      <c r="HF74" s="66"/>
      <c r="HG74" s="66"/>
      <c r="HH74" s="66"/>
      <c r="HI74" s="66"/>
      <c r="HJ74" s="66"/>
      <c r="HK74" s="66"/>
      <c r="HL74" s="66"/>
      <c r="HM74" s="66"/>
      <c r="HN74" s="66"/>
      <c r="HO74" s="66"/>
      <c r="HP74" s="66"/>
      <c r="HQ74" s="66"/>
      <c r="HR74" s="66"/>
      <c r="HS74" s="66"/>
      <c r="HT74" s="66"/>
      <c r="HU74" s="66"/>
      <c r="HV74" s="66"/>
      <c r="HW74" s="66"/>
      <c r="HX74" s="66"/>
      <c r="HY74" s="66"/>
      <c r="HZ74" s="66"/>
      <c r="IA74" s="66"/>
      <c r="IB74" s="66"/>
      <c r="IC74" s="66"/>
      <c r="ID74" s="66"/>
      <c r="IE74" s="66"/>
      <c r="IF74" s="66"/>
      <c r="IG74" s="66"/>
      <c r="IH74" s="66"/>
      <c r="II74" s="66"/>
      <c r="IJ74" s="66"/>
      <c r="IK74" s="66"/>
      <c r="IL74" s="66"/>
      <c r="IM74" s="66"/>
      <c r="IN74" s="66"/>
      <c r="IO74" s="66"/>
      <c r="IP74" s="66"/>
      <c r="IQ74" s="66"/>
      <c r="IR74" s="66"/>
    </row>
    <row r="75" customFormat="false" ht="22.5" hidden="false" customHeight="true" outlineLevel="0" collapsed="false">
      <c r="A75" s="66"/>
      <c r="B75" s="62" t="s">
        <v>246</v>
      </c>
      <c r="C75" s="63" t="s">
        <v>247</v>
      </c>
      <c r="D75" s="28" t="s">
        <v>103</v>
      </c>
      <c r="E75" s="64"/>
      <c r="F75" s="66"/>
      <c r="G75" s="66"/>
      <c r="H75" s="66"/>
      <c r="I75" s="66"/>
      <c r="J75" s="66"/>
      <c r="K75" s="66"/>
      <c r="L75" s="66"/>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66"/>
      <c r="CM75" s="66"/>
      <c r="CN75" s="66"/>
      <c r="CO75" s="66"/>
      <c r="CP75" s="66"/>
      <c r="CQ75" s="66"/>
      <c r="CR75" s="66"/>
      <c r="CS75" s="66"/>
      <c r="CT75" s="66"/>
      <c r="CU75" s="66"/>
      <c r="CV75" s="66"/>
      <c r="CW75" s="66"/>
      <c r="CX75" s="66"/>
      <c r="CY75" s="66"/>
      <c r="CZ75" s="66"/>
      <c r="DA75" s="66"/>
      <c r="DB75" s="66"/>
      <c r="DC75" s="66"/>
      <c r="DD75" s="66"/>
      <c r="DE75" s="66"/>
      <c r="DF75" s="66"/>
      <c r="DG75" s="66"/>
      <c r="DH75" s="66"/>
      <c r="DI75" s="66"/>
      <c r="DJ75" s="66"/>
      <c r="DK75" s="66"/>
      <c r="DL75" s="66"/>
      <c r="DM75" s="66"/>
      <c r="DN75" s="66"/>
      <c r="DO75" s="66"/>
      <c r="DP75" s="66"/>
      <c r="DQ75" s="66"/>
      <c r="DR75" s="66"/>
      <c r="DS75" s="66"/>
      <c r="DT75" s="66"/>
      <c r="DU75" s="66"/>
      <c r="DV75" s="66"/>
      <c r="DW75" s="66"/>
      <c r="DX75" s="66"/>
      <c r="DY75" s="66"/>
      <c r="DZ75" s="66"/>
      <c r="EA75" s="66"/>
      <c r="EB75" s="66"/>
      <c r="EC75" s="66"/>
      <c r="ED75" s="66"/>
      <c r="EE75" s="66"/>
      <c r="EF75" s="66"/>
      <c r="EG75" s="66"/>
      <c r="EH75" s="66"/>
      <c r="EI75" s="66"/>
      <c r="EJ75" s="66"/>
      <c r="EK75" s="66"/>
      <c r="EL75" s="66"/>
      <c r="EM75" s="66"/>
      <c r="EN75" s="66"/>
      <c r="EO75" s="66"/>
      <c r="EP75" s="66"/>
      <c r="EQ75" s="66"/>
      <c r="ER75" s="66"/>
      <c r="ES75" s="66"/>
      <c r="ET75" s="66"/>
      <c r="EU75" s="66"/>
      <c r="EV75" s="66"/>
      <c r="EW75" s="66"/>
      <c r="EX75" s="66"/>
      <c r="EY75" s="66"/>
      <c r="EZ75" s="66"/>
      <c r="FA75" s="66"/>
      <c r="FB75" s="66"/>
      <c r="FC75" s="66"/>
      <c r="FD75" s="66"/>
      <c r="FE75" s="66"/>
      <c r="FF75" s="66"/>
      <c r="FG75" s="66"/>
      <c r="FH75" s="66"/>
      <c r="FI75" s="66"/>
      <c r="FJ75" s="66"/>
      <c r="FK75" s="66"/>
      <c r="FL75" s="66"/>
      <c r="FM75" s="66"/>
      <c r="FN75" s="66"/>
      <c r="FO75" s="66"/>
      <c r="FP75" s="66"/>
      <c r="FQ75" s="66"/>
      <c r="FR75" s="66"/>
      <c r="FS75" s="66"/>
      <c r="FT75" s="66"/>
      <c r="FU75" s="66"/>
      <c r="FV75" s="66"/>
      <c r="FW75" s="66"/>
      <c r="FX75" s="66"/>
      <c r="FY75" s="66"/>
      <c r="FZ75" s="66"/>
      <c r="GA75" s="66"/>
      <c r="GB75" s="66"/>
      <c r="GC75" s="66"/>
      <c r="GD75" s="66"/>
      <c r="GE75" s="66"/>
      <c r="GF75" s="66"/>
      <c r="GG75" s="66"/>
      <c r="GH75" s="66"/>
      <c r="GI75" s="66"/>
      <c r="GJ75" s="66"/>
      <c r="GK75" s="66"/>
      <c r="GL75" s="66"/>
      <c r="GM75" s="66"/>
      <c r="GN75" s="66"/>
      <c r="GO75" s="66"/>
      <c r="GP75" s="66"/>
      <c r="GQ75" s="66"/>
      <c r="GR75" s="66"/>
      <c r="GS75" s="66"/>
      <c r="GT75" s="66"/>
      <c r="GU75" s="66"/>
      <c r="GV75" s="66"/>
      <c r="GW75" s="66"/>
      <c r="GX75" s="66"/>
      <c r="GY75" s="66"/>
      <c r="GZ75" s="66"/>
      <c r="HA75" s="66"/>
      <c r="HB75" s="66"/>
      <c r="HC75" s="66"/>
      <c r="HD75" s="66"/>
      <c r="HE75" s="66"/>
      <c r="HF75" s="66"/>
      <c r="HG75" s="66"/>
      <c r="HH75" s="66"/>
      <c r="HI75" s="66"/>
      <c r="HJ75" s="66"/>
      <c r="HK75" s="66"/>
      <c r="HL75" s="66"/>
      <c r="HM75" s="66"/>
      <c r="HN75" s="66"/>
      <c r="HO75" s="66"/>
      <c r="HP75" s="66"/>
      <c r="HQ75" s="66"/>
      <c r="HR75" s="66"/>
      <c r="HS75" s="66"/>
      <c r="HT75" s="66"/>
      <c r="HU75" s="66"/>
      <c r="HV75" s="66"/>
      <c r="HW75" s="66"/>
      <c r="HX75" s="66"/>
      <c r="HY75" s="66"/>
      <c r="HZ75" s="66"/>
      <c r="IA75" s="66"/>
      <c r="IB75" s="66"/>
      <c r="IC75" s="66"/>
      <c r="ID75" s="66"/>
      <c r="IE75" s="66"/>
      <c r="IF75" s="66"/>
      <c r="IG75" s="66"/>
      <c r="IH75" s="66"/>
      <c r="II75" s="66"/>
      <c r="IJ75" s="66"/>
      <c r="IK75" s="66"/>
      <c r="IL75" s="66"/>
      <c r="IM75" s="66"/>
      <c r="IN75" s="66"/>
      <c r="IO75" s="66"/>
      <c r="IP75" s="66"/>
      <c r="IQ75" s="66"/>
      <c r="IR75" s="66"/>
    </row>
    <row r="76" customFormat="false" ht="22.5" hidden="false" customHeight="true" outlineLevel="0" collapsed="false">
      <c r="A76" s="66"/>
      <c r="B76" s="62" t="s">
        <v>248</v>
      </c>
      <c r="C76" s="63" t="s">
        <v>249</v>
      </c>
      <c r="D76" s="28" t="s">
        <v>103</v>
      </c>
      <c r="E76" s="64"/>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66"/>
      <c r="CO76" s="66"/>
      <c r="CP76" s="66"/>
      <c r="CQ76" s="66"/>
      <c r="CR76" s="66"/>
      <c r="CS76" s="66"/>
      <c r="CT76" s="66"/>
      <c r="CU76" s="66"/>
      <c r="CV76" s="66"/>
      <c r="CW76" s="66"/>
      <c r="CX76" s="66"/>
      <c r="CY76" s="66"/>
      <c r="CZ76" s="66"/>
      <c r="DA76" s="66"/>
      <c r="DB76" s="66"/>
      <c r="DC76" s="66"/>
      <c r="DD76" s="66"/>
      <c r="DE76" s="66"/>
      <c r="DF76" s="66"/>
      <c r="DG76" s="66"/>
      <c r="DH76" s="66"/>
      <c r="DI76" s="66"/>
      <c r="DJ76" s="66"/>
      <c r="DK76" s="66"/>
      <c r="DL76" s="66"/>
      <c r="DM76" s="66"/>
      <c r="DN76" s="66"/>
      <c r="DO76" s="66"/>
      <c r="DP76" s="66"/>
      <c r="DQ76" s="66"/>
      <c r="DR76" s="66"/>
      <c r="DS76" s="66"/>
      <c r="DT76" s="66"/>
      <c r="DU76" s="66"/>
      <c r="DV76" s="66"/>
      <c r="DW76" s="66"/>
      <c r="DX76" s="66"/>
      <c r="DY76" s="66"/>
      <c r="DZ76" s="66"/>
      <c r="EA76" s="66"/>
      <c r="EB76" s="66"/>
      <c r="EC76" s="66"/>
      <c r="ED76" s="66"/>
      <c r="EE76" s="66"/>
      <c r="EF76" s="66"/>
      <c r="EG76" s="66"/>
      <c r="EH76" s="66"/>
      <c r="EI76" s="66"/>
      <c r="EJ76" s="66"/>
      <c r="EK76" s="66"/>
      <c r="EL76" s="66"/>
      <c r="EM76" s="66"/>
      <c r="EN76" s="66"/>
      <c r="EO76" s="66"/>
      <c r="EP76" s="66"/>
      <c r="EQ76" s="66"/>
      <c r="ER76" s="66"/>
      <c r="ES76" s="66"/>
      <c r="ET76" s="66"/>
      <c r="EU76" s="66"/>
      <c r="EV76" s="66"/>
      <c r="EW76" s="66"/>
      <c r="EX76" s="66"/>
      <c r="EY76" s="66"/>
      <c r="EZ76" s="66"/>
      <c r="FA76" s="66"/>
      <c r="FB76" s="66"/>
      <c r="FC76" s="66"/>
      <c r="FD76" s="66"/>
      <c r="FE76" s="66"/>
      <c r="FF76" s="66"/>
      <c r="FG76" s="66"/>
      <c r="FH76" s="66"/>
      <c r="FI76" s="66"/>
      <c r="FJ76" s="66"/>
      <c r="FK76" s="66"/>
      <c r="FL76" s="66"/>
      <c r="FM76" s="66"/>
      <c r="FN76" s="66"/>
      <c r="FO76" s="66"/>
      <c r="FP76" s="66"/>
      <c r="FQ76" s="66"/>
      <c r="FR76" s="66"/>
      <c r="FS76" s="66"/>
      <c r="FT76" s="66"/>
      <c r="FU76" s="66"/>
      <c r="FV76" s="66"/>
      <c r="FW76" s="66"/>
      <c r="FX76" s="66"/>
      <c r="FY76" s="66"/>
      <c r="FZ76" s="66"/>
      <c r="GA76" s="66"/>
      <c r="GB76" s="66"/>
      <c r="GC76" s="66"/>
      <c r="GD76" s="66"/>
      <c r="GE76" s="66"/>
      <c r="GF76" s="66"/>
      <c r="GG76" s="66"/>
      <c r="GH76" s="66"/>
      <c r="GI76" s="66"/>
      <c r="GJ76" s="66"/>
      <c r="GK76" s="66"/>
      <c r="GL76" s="66"/>
      <c r="GM76" s="66"/>
      <c r="GN76" s="66"/>
      <c r="GO76" s="66"/>
      <c r="GP76" s="66"/>
      <c r="GQ76" s="66"/>
      <c r="GR76" s="66"/>
      <c r="GS76" s="66"/>
      <c r="GT76" s="66"/>
      <c r="GU76" s="66"/>
      <c r="GV76" s="66"/>
      <c r="GW76" s="66"/>
      <c r="GX76" s="66"/>
      <c r="GY76" s="66"/>
      <c r="GZ76" s="66"/>
      <c r="HA76" s="66"/>
      <c r="HB76" s="66"/>
      <c r="HC76" s="66"/>
      <c r="HD76" s="66"/>
      <c r="HE76" s="66"/>
      <c r="HF76" s="66"/>
      <c r="HG76" s="66"/>
      <c r="HH76" s="66"/>
      <c r="HI76" s="66"/>
      <c r="HJ76" s="66"/>
      <c r="HK76" s="66"/>
      <c r="HL76" s="66"/>
      <c r="HM76" s="66"/>
      <c r="HN76" s="66"/>
      <c r="HO76" s="66"/>
      <c r="HP76" s="66"/>
      <c r="HQ76" s="66"/>
      <c r="HR76" s="66"/>
      <c r="HS76" s="66"/>
      <c r="HT76" s="66"/>
      <c r="HU76" s="66"/>
      <c r="HV76" s="66"/>
      <c r="HW76" s="66"/>
      <c r="HX76" s="66"/>
      <c r="HY76" s="66"/>
      <c r="HZ76" s="66"/>
      <c r="IA76" s="66"/>
      <c r="IB76" s="66"/>
      <c r="IC76" s="66"/>
      <c r="ID76" s="66"/>
      <c r="IE76" s="66"/>
      <c r="IF76" s="66"/>
      <c r="IG76" s="66"/>
      <c r="IH76" s="66"/>
      <c r="II76" s="66"/>
      <c r="IJ76" s="66"/>
      <c r="IK76" s="66"/>
      <c r="IL76" s="66"/>
      <c r="IM76" s="66"/>
      <c r="IN76" s="66"/>
      <c r="IO76" s="66"/>
      <c r="IP76" s="66"/>
      <c r="IQ76" s="66"/>
      <c r="IR76" s="66"/>
    </row>
    <row r="77" customFormat="false" ht="22.5" hidden="false" customHeight="true" outlineLevel="0" collapsed="false">
      <c r="A77" s="66"/>
      <c r="B77" s="62" t="s">
        <v>250</v>
      </c>
      <c r="C77" s="63" t="s">
        <v>251</v>
      </c>
      <c r="D77" s="28" t="s">
        <v>103</v>
      </c>
      <c r="E77" s="64"/>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66"/>
      <c r="CZ77" s="66"/>
      <c r="DA77" s="66"/>
      <c r="DB77" s="66"/>
      <c r="DC77" s="66"/>
      <c r="DD77" s="66"/>
      <c r="DE77" s="66"/>
      <c r="DF77" s="66"/>
      <c r="DG77" s="66"/>
      <c r="DH77" s="66"/>
      <c r="DI77" s="66"/>
      <c r="DJ77" s="66"/>
      <c r="DK77" s="66"/>
      <c r="DL77" s="66"/>
      <c r="DM77" s="66"/>
      <c r="DN77" s="66"/>
      <c r="DO77" s="66"/>
      <c r="DP77" s="66"/>
      <c r="DQ77" s="66"/>
      <c r="DR77" s="66"/>
      <c r="DS77" s="66"/>
      <c r="DT77" s="66"/>
      <c r="DU77" s="66"/>
      <c r="DV77" s="66"/>
      <c r="DW77" s="66"/>
      <c r="DX77" s="66"/>
      <c r="DY77" s="66"/>
      <c r="DZ77" s="66"/>
      <c r="EA77" s="66"/>
      <c r="EB77" s="66"/>
      <c r="EC77" s="66"/>
      <c r="ED77" s="66"/>
      <c r="EE77" s="66"/>
      <c r="EF77" s="66"/>
      <c r="EG77" s="66"/>
      <c r="EH77" s="66"/>
      <c r="EI77" s="66"/>
      <c r="EJ77" s="66"/>
      <c r="EK77" s="66"/>
      <c r="EL77" s="66"/>
      <c r="EM77" s="66"/>
      <c r="EN77" s="66"/>
      <c r="EO77" s="66"/>
      <c r="EP77" s="66"/>
      <c r="EQ77" s="66"/>
      <c r="ER77" s="66"/>
      <c r="ES77" s="66"/>
      <c r="ET77" s="66"/>
      <c r="EU77" s="66"/>
      <c r="EV77" s="66"/>
      <c r="EW77" s="66"/>
      <c r="EX77" s="66"/>
      <c r="EY77" s="66"/>
      <c r="EZ77" s="66"/>
      <c r="FA77" s="66"/>
      <c r="FB77" s="66"/>
      <c r="FC77" s="66"/>
      <c r="FD77" s="66"/>
      <c r="FE77" s="66"/>
      <c r="FF77" s="66"/>
      <c r="FG77" s="66"/>
      <c r="FH77" s="66"/>
      <c r="FI77" s="66"/>
      <c r="FJ77" s="66"/>
      <c r="FK77" s="66"/>
      <c r="FL77" s="66"/>
      <c r="FM77" s="66"/>
      <c r="FN77" s="66"/>
      <c r="FO77" s="66"/>
      <c r="FP77" s="66"/>
      <c r="FQ77" s="66"/>
      <c r="FR77" s="66"/>
      <c r="FS77" s="66"/>
      <c r="FT77" s="66"/>
      <c r="FU77" s="66"/>
      <c r="FV77" s="66"/>
      <c r="FW77" s="66"/>
      <c r="FX77" s="66"/>
      <c r="FY77" s="66"/>
      <c r="FZ77" s="66"/>
      <c r="GA77" s="66"/>
      <c r="GB77" s="66"/>
      <c r="GC77" s="66"/>
      <c r="GD77" s="66"/>
      <c r="GE77" s="66"/>
      <c r="GF77" s="66"/>
      <c r="GG77" s="66"/>
      <c r="GH77" s="66"/>
      <c r="GI77" s="66"/>
      <c r="GJ77" s="66"/>
      <c r="GK77" s="66"/>
      <c r="GL77" s="66"/>
      <c r="GM77" s="66"/>
      <c r="GN77" s="66"/>
      <c r="GO77" s="66"/>
      <c r="GP77" s="66"/>
      <c r="GQ77" s="66"/>
      <c r="GR77" s="66"/>
      <c r="GS77" s="66"/>
      <c r="GT77" s="66"/>
      <c r="GU77" s="66"/>
      <c r="GV77" s="66"/>
      <c r="GW77" s="66"/>
      <c r="GX77" s="66"/>
      <c r="GY77" s="66"/>
      <c r="GZ77" s="66"/>
      <c r="HA77" s="66"/>
      <c r="HB77" s="66"/>
      <c r="HC77" s="66"/>
      <c r="HD77" s="66"/>
      <c r="HE77" s="66"/>
      <c r="HF77" s="66"/>
      <c r="HG77" s="66"/>
      <c r="HH77" s="66"/>
      <c r="HI77" s="66"/>
      <c r="HJ77" s="66"/>
      <c r="HK77" s="66"/>
      <c r="HL77" s="66"/>
      <c r="HM77" s="66"/>
      <c r="HN77" s="66"/>
      <c r="HO77" s="66"/>
      <c r="HP77" s="66"/>
      <c r="HQ77" s="66"/>
      <c r="HR77" s="66"/>
      <c r="HS77" s="66"/>
      <c r="HT77" s="66"/>
      <c r="HU77" s="66"/>
      <c r="HV77" s="66"/>
      <c r="HW77" s="66"/>
      <c r="HX77" s="66"/>
      <c r="HY77" s="66"/>
      <c r="HZ77" s="66"/>
      <c r="IA77" s="66"/>
      <c r="IB77" s="66"/>
      <c r="IC77" s="66"/>
      <c r="ID77" s="66"/>
      <c r="IE77" s="66"/>
      <c r="IF77" s="66"/>
      <c r="IG77" s="66"/>
      <c r="IH77" s="66"/>
      <c r="II77" s="66"/>
      <c r="IJ77" s="66"/>
      <c r="IK77" s="66"/>
      <c r="IL77" s="66"/>
      <c r="IM77" s="66"/>
      <c r="IN77" s="66"/>
      <c r="IO77" s="66"/>
      <c r="IP77" s="66"/>
      <c r="IQ77" s="66"/>
      <c r="IR77" s="66"/>
    </row>
    <row r="78" customFormat="false" ht="22.5" hidden="false" customHeight="true" outlineLevel="0" collapsed="false">
      <c r="A78" s="66"/>
      <c r="B78" s="62" t="s">
        <v>252</v>
      </c>
      <c r="C78" s="63" t="s">
        <v>253</v>
      </c>
      <c r="D78" s="28" t="s">
        <v>103</v>
      </c>
      <c r="E78" s="64"/>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X78" s="66"/>
      <c r="BY78" s="66"/>
      <c r="BZ78" s="66"/>
      <c r="CA78" s="66"/>
      <c r="CB78" s="66"/>
      <c r="CC78" s="66"/>
      <c r="CD78" s="66"/>
      <c r="CE78" s="66"/>
      <c r="CF78" s="66"/>
      <c r="CG78" s="66"/>
      <c r="CH78" s="66"/>
      <c r="CI78" s="66"/>
      <c r="CJ78" s="66"/>
      <c r="CK78" s="66"/>
      <c r="CL78" s="66"/>
      <c r="CM78" s="66"/>
      <c r="CN78" s="66"/>
      <c r="CO78" s="66"/>
      <c r="CP78" s="66"/>
      <c r="CQ78" s="66"/>
      <c r="CR78" s="66"/>
      <c r="CS78" s="66"/>
      <c r="CT78" s="66"/>
      <c r="CU78" s="66"/>
      <c r="CV78" s="66"/>
      <c r="CW78" s="66"/>
      <c r="CX78" s="66"/>
      <c r="CY78" s="66"/>
      <c r="CZ78" s="66"/>
      <c r="DA78" s="66"/>
      <c r="DB78" s="66"/>
      <c r="DC78" s="66"/>
      <c r="DD78" s="66"/>
      <c r="DE78" s="66"/>
      <c r="DF78" s="66"/>
      <c r="DG78" s="66"/>
      <c r="DH78" s="66"/>
      <c r="DI78" s="66"/>
      <c r="DJ78" s="66"/>
      <c r="DK78" s="66"/>
      <c r="DL78" s="66"/>
      <c r="DM78" s="66"/>
      <c r="DN78" s="66"/>
      <c r="DO78" s="66"/>
      <c r="DP78" s="66"/>
      <c r="DQ78" s="66"/>
      <c r="DR78" s="66"/>
      <c r="DS78" s="66"/>
      <c r="DT78" s="66"/>
      <c r="DU78" s="66"/>
      <c r="DV78" s="66"/>
      <c r="DW78" s="66"/>
      <c r="DX78" s="66"/>
      <c r="DY78" s="66"/>
      <c r="DZ78" s="66"/>
      <c r="EA78" s="66"/>
      <c r="EB78" s="66"/>
      <c r="EC78" s="66"/>
      <c r="ED78" s="66"/>
      <c r="EE78" s="66"/>
      <c r="EF78" s="66"/>
      <c r="EG78" s="66"/>
      <c r="EH78" s="66"/>
      <c r="EI78" s="66"/>
      <c r="EJ78" s="66"/>
      <c r="EK78" s="66"/>
      <c r="EL78" s="66"/>
      <c r="EM78" s="66"/>
      <c r="EN78" s="66"/>
      <c r="EO78" s="66"/>
      <c r="EP78" s="66"/>
      <c r="EQ78" s="66"/>
      <c r="ER78" s="66"/>
      <c r="ES78" s="66"/>
      <c r="ET78" s="66"/>
      <c r="EU78" s="66"/>
      <c r="EV78" s="66"/>
      <c r="EW78" s="66"/>
      <c r="EX78" s="66"/>
      <c r="EY78" s="66"/>
      <c r="EZ78" s="66"/>
      <c r="FA78" s="66"/>
      <c r="FB78" s="66"/>
      <c r="FC78" s="66"/>
      <c r="FD78" s="66"/>
      <c r="FE78" s="66"/>
      <c r="FF78" s="66"/>
      <c r="FG78" s="66"/>
      <c r="FH78" s="66"/>
      <c r="FI78" s="66"/>
      <c r="FJ78" s="66"/>
      <c r="FK78" s="66"/>
      <c r="FL78" s="66"/>
      <c r="FM78" s="66"/>
      <c r="FN78" s="66"/>
      <c r="FO78" s="66"/>
      <c r="FP78" s="66"/>
      <c r="FQ78" s="66"/>
      <c r="FR78" s="66"/>
      <c r="FS78" s="66"/>
      <c r="FT78" s="66"/>
      <c r="FU78" s="66"/>
      <c r="FV78" s="66"/>
      <c r="FW78" s="66"/>
      <c r="FX78" s="66"/>
      <c r="FY78" s="66"/>
      <c r="FZ78" s="66"/>
      <c r="GA78" s="66"/>
      <c r="GB78" s="66"/>
      <c r="GC78" s="66"/>
      <c r="GD78" s="66"/>
      <c r="GE78" s="66"/>
      <c r="GF78" s="66"/>
      <c r="GG78" s="66"/>
      <c r="GH78" s="66"/>
      <c r="GI78" s="66"/>
      <c r="GJ78" s="66"/>
      <c r="GK78" s="66"/>
      <c r="GL78" s="66"/>
      <c r="GM78" s="66"/>
      <c r="GN78" s="66"/>
      <c r="GO78" s="66"/>
      <c r="GP78" s="66"/>
      <c r="GQ78" s="66"/>
      <c r="GR78" s="66"/>
      <c r="GS78" s="66"/>
      <c r="GT78" s="66"/>
      <c r="GU78" s="66"/>
      <c r="GV78" s="66"/>
      <c r="GW78" s="66"/>
      <c r="GX78" s="66"/>
      <c r="GY78" s="66"/>
      <c r="GZ78" s="66"/>
      <c r="HA78" s="66"/>
      <c r="HB78" s="66"/>
      <c r="HC78" s="66"/>
      <c r="HD78" s="66"/>
      <c r="HE78" s="66"/>
      <c r="HF78" s="66"/>
      <c r="HG78" s="66"/>
      <c r="HH78" s="66"/>
      <c r="HI78" s="66"/>
      <c r="HJ78" s="66"/>
      <c r="HK78" s="66"/>
      <c r="HL78" s="66"/>
      <c r="HM78" s="66"/>
      <c r="HN78" s="66"/>
      <c r="HO78" s="66"/>
      <c r="HP78" s="66"/>
      <c r="HQ78" s="66"/>
      <c r="HR78" s="66"/>
      <c r="HS78" s="66"/>
      <c r="HT78" s="66"/>
      <c r="HU78" s="66"/>
      <c r="HV78" s="66"/>
      <c r="HW78" s="66"/>
      <c r="HX78" s="66"/>
      <c r="HY78" s="66"/>
      <c r="HZ78" s="66"/>
      <c r="IA78" s="66"/>
      <c r="IB78" s="66"/>
      <c r="IC78" s="66"/>
      <c r="ID78" s="66"/>
      <c r="IE78" s="66"/>
      <c r="IF78" s="66"/>
      <c r="IG78" s="66"/>
      <c r="IH78" s="66"/>
      <c r="II78" s="66"/>
      <c r="IJ78" s="66"/>
      <c r="IK78" s="66"/>
      <c r="IL78" s="66"/>
      <c r="IM78" s="66"/>
      <c r="IN78" s="66"/>
      <c r="IO78" s="66"/>
      <c r="IP78" s="66"/>
      <c r="IQ78" s="66"/>
      <c r="IR78" s="66"/>
    </row>
    <row r="79" customFormat="false" ht="22.5" hidden="false" customHeight="true" outlineLevel="0" collapsed="false">
      <c r="A79" s="66"/>
      <c r="B79" s="62" t="s">
        <v>254</v>
      </c>
      <c r="C79" s="63" t="s">
        <v>255</v>
      </c>
      <c r="D79" s="28" t="s">
        <v>103</v>
      </c>
      <c r="E79" s="64"/>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66"/>
      <c r="CB79" s="66"/>
      <c r="CC79" s="66"/>
      <c r="CD79" s="66"/>
      <c r="CE79" s="66"/>
      <c r="CF79" s="66"/>
      <c r="CG79" s="66"/>
      <c r="CH79" s="66"/>
      <c r="CI79" s="66"/>
      <c r="CJ79" s="66"/>
      <c r="CK79" s="66"/>
      <c r="CL79" s="66"/>
      <c r="CM79" s="66"/>
      <c r="CN79" s="66"/>
      <c r="CO79" s="66"/>
      <c r="CP79" s="66"/>
      <c r="CQ79" s="66"/>
      <c r="CR79" s="66"/>
      <c r="CS79" s="66"/>
      <c r="CT79" s="66"/>
      <c r="CU79" s="66"/>
      <c r="CV79" s="66"/>
      <c r="CW79" s="66"/>
      <c r="CX79" s="66"/>
      <c r="CY79" s="66"/>
      <c r="CZ79" s="66"/>
      <c r="DA79" s="66"/>
      <c r="DB79" s="66"/>
      <c r="DC79" s="66"/>
      <c r="DD79" s="66"/>
      <c r="DE79" s="66"/>
      <c r="DF79" s="66"/>
      <c r="DG79" s="66"/>
      <c r="DH79" s="66"/>
      <c r="DI79" s="66"/>
      <c r="DJ79" s="66"/>
      <c r="DK79" s="66"/>
      <c r="DL79" s="66"/>
      <c r="DM79" s="66"/>
      <c r="DN79" s="66"/>
      <c r="DO79" s="66"/>
      <c r="DP79" s="66"/>
      <c r="DQ79" s="66"/>
      <c r="DR79" s="66"/>
      <c r="DS79" s="66"/>
      <c r="DT79" s="66"/>
      <c r="DU79" s="66"/>
      <c r="DV79" s="66"/>
      <c r="DW79" s="66"/>
      <c r="DX79" s="66"/>
      <c r="DY79" s="66"/>
      <c r="DZ79" s="66"/>
      <c r="EA79" s="66"/>
      <c r="EB79" s="66"/>
      <c r="EC79" s="66"/>
      <c r="ED79" s="66"/>
      <c r="EE79" s="66"/>
      <c r="EF79" s="66"/>
      <c r="EG79" s="66"/>
      <c r="EH79" s="66"/>
      <c r="EI79" s="66"/>
      <c r="EJ79" s="66"/>
      <c r="EK79" s="66"/>
      <c r="EL79" s="66"/>
      <c r="EM79" s="66"/>
      <c r="EN79" s="66"/>
      <c r="EO79" s="66"/>
      <c r="EP79" s="66"/>
      <c r="EQ79" s="66"/>
      <c r="ER79" s="66"/>
      <c r="ES79" s="66"/>
      <c r="ET79" s="66"/>
      <c r="EU79" s="66"/>
      <c r="EV79" s="66"/>
      <c r="EW79" s="66"/>
      <c r="EX79" s="66"/>
      <c r="EY79" s="66"/>
      <c r="EZ79" s="66"/>
      <c r="FA79" s="66"/>
      <c r="FB79" s="66"/>
      <c r="FC79" s="66"/>
      <c r="FD79" s="66"/>
      <c r="FE79" s="66"/>
      <c r="FF79" s="66"/>
      <c r="FG79" s="66"/>
      <c r="FH79" s="66"/>
      <c r="FI79" s="66"/>
      <c r="FJ79" s="66"/>
      <c r="FK79" s="66"/>
      <c r="FL79" s="66"/>
      <c r="FM79" s="66"/>
      <c r="FN79" s="66"/>
      <c r="FO79" s="66"/>
      <c r="FP79" s="66"/>
      <c r="FQ79" s="66"/>
      <c r="FR79" s="66"/>
      <c r="FS79" s="66"/>
      <c r="FT79" s="66"/>
      <c r="FU79" s="66"/>
      <c r="FV79" s="66"/>
      <c r="FW79" s="66"/>
      <c r="FX79" s="66"/>
      <c r="FY79" s="66"/>
      <c r="FZ79" s="66"/>
      <c r="GA79" s="66"/>
      <c r="GB79" s="66"/>
      <c r="GC79" s="66"/>
      <c r="GD79" s="66"/>
      <c r="GE79" s="66"/>
      <c r="GF79" s="66"/>
      <c r="GG79" s="66"/>
      <c r="GH79" s="66"/>
      <c r="GI79" s="66"/>
      <c r="GJ79" s="66"/>
      <c r="GK79" s="66"/>
      <c r="GL79" s="66"/>
      <c r="GM79" s="66"/>
      <c r="GN79" s="66"/>
      <c r="GO79" s="66"/>
      <c r="GP79" s="66"/>
      <c r="GQ79" s="66"/>
      <c r="GR79" s="66"/>
      <c r="GS79" s="66"/>
      <c r="GT79" s="66"/>
      <c r="GU79" s="66"/>
      <c r="GV79" s="66"/>
      <c r="GW79" s="66"/>
      <c r="GX79" s="66"/>
      <c r="GY79" s="66"/>
      <c r="GZ79" s="66"/>
      <c r="HA79" s="66"/>
      <c r="HB79" s="66"/>
      <c r="HC79" s="66"/>
      <c r="HD79" s="66"/>
      <c r="HE79" s="66"/>
      <c r="HF79" s="66"/>
      <c r="HG79" s="66"/>
      <c r="HH79" s="66"/>
      <c r="HI79" s="66"/>
      <c r="HJ79" s="66"/>
      <c r="HK79" s="66"/>
      <c r="HL79" s="66"/>
      <c r="HM79" s="66"/>
      <c r="HN79" s="66"/>
      <c r="HO79" s="66"/>
      <c r="HP79" s="66"/>
      <c r="HQ79" s="66"/>
      <c r="HR79" s="66"/>
      <c r="HS79" s="66"/>
      <c r="HT79" s="66"/>
      <c r="HU79" s="66"/>
      <c r="HV79" s="66"/>
      <c r="HW79" s="66"/>
      <c r="HX79" s="66"/>
      <c r="HY79" s="66"/>
      <c r="HZ79" s="66"/>
      <c r="IA79" s="66"/>
      <c r="IB79" s="66"/>
      <c r="IC79" s="66"/>
      <c r="ID79" s="66"/>
      <c r="IE79" s="66"/>
      <c r="IF79" s="66"/>
      <c r="IG79" s="66"/>
      <c r="IH79" s="66"/>
      <c r="II79" s="66"/>
      <c r="IJ79" s="66"/>
      <c r="IK79" s="66"/>
      <c r="IL79" s="66"/>
      <c r="IM79" s="66"/>
      <c r="IN79" s="66"/>
      <c r="IO79" s="66"/>
      <c r="IP79" s="66"/>
      <c r="IQ79" s="66"/>
      <c r="IR79" s="66"/>
    </row>
    <row r="80" customFormat="false" ht="22.5" hidden="false" customHeight="true" outlineLevel="0" collapsed="false">
      <c r="A80" s="66"/>
      <c r="B80" s="62" t="s">
        <v>256</v>
      </c>
      <c r="C80" s="63" t="s">
        <v>257</v>
      </c>
      <c r="D80" s="28" t="s">
        <v>103</v>
      </c>
      <c r="E80" s="64"/>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6"/>
      <c r="BX80" s="66"/>
      <c r="BY80" s="66"/>
      <c r="BZ80" s="66"/>
      <c r="CA80" s="66"/>
      <c r="CB80" s="66"/>
      <c r="CC80" s="66"/>
      <c r="CD80" s="66"/>
      <c r="CE80" s="66"/>
      <c r="CF80" s="66"/>
      <c r="CG80" s="66"/>
      <c r="CH80" s="66"/>
      <c r="CI80" s="66"/>
      <c r="CJ80" s="66"/>
      <c r="CK80" s="66"/>
      <c r="CL80" s="66"/>
      <c r="CM80" s="66"/>
      <c r="CN80" s="66"/>
      <c r="CO80" s="66"/>
      <c r="CP80" s="66"/>
      <c r="CQ80" s="66"/>
      <c r="CR80" s="66"/>
      <c r="CS80" s="66"/>
      <c r="CT80" s="66"/>
      <c r="CU80" s="66"/>
      <c r="CV80" s="66"/>
      <c r="CW80" s="66"/>
      <c r="CX80" s="66"/>
      <c r="CY80" s="66"/>
      <c r="CZ80" s="66"/>
      <c r="DA80" s="66"/>
      <c r="DB80" s="66"/>
      <c r="DC80" s="66"/>
      <c r="DD80" s="66"/>
      <c r="DE80" s="66"/>
      <c r="DF80" s="66"/>
      <c r="DG80" s="66"/>
      <c r="DH80" s="66"/>
      <c r="DI80" s="66"/>
      <c r="DJ80" s="66"/>
      <c r="DK80" s="66"/>
      <c r="DL80" s="66"/>
      <c r="DM80" s="66"/>
      <c r="DN80" s="66"/>
      <c r="DO80" s="66"/>
      <c r="DP80" s="66"/>
      <c r="DQ80" s="66"/>
      <c r="DR80" s="66"/>
      <c r="DS80" s="66"/>
      <c r="DT80" s="66"/>
      <c r="DU80" s="66"/>
      <c r="DV80" s="66"/>
      <c r="DW80" s="66"/>
      <c r="DX80" s="66"/>
      <c r="DY80" s="66"/>
      <c r="DZ80" s="66"/>
      <c r="EA80" s="66"/>
      <c r="EB80" s="66"/>
      <c r="EC80" s="66"/>
      <c r="ED80" s="66"/>
      <c r="EE80" s="66"/>
      <c r="EF80" s="66"/>
      <c r="EG80" s="66"/>
      <c r="EH80" s="66"/>
      <c r="EI80" s="66"/>
      <c r="EJ80" s="66"/>
      <c r="EK80" s="66"/>
      <c r="EL80" s="66"/>
      <c r="EM80" s="66"/>
      <c r="EN80" s="66"/>
      <c r="EO80" s="66"/>
      <c r="EP80" s="66"/>
      <c r="EQ80" s="66"/>
      <c r="ER80" s="66"/>
      <c r="ES80" s="66"/>
      <c r="ET80" s="66"/>
      <c r="EU80" s="66"/>
      <c r="EV80" s="66"/>
      <c r="EW80" s="66"/>
      <c r="EX80" s="66"/>
      <c r="EY80" s="66"/>
      <c r="EZ80" s="66"/>
      <c r="FA80" s="66"/>
      <c r="FB80" s="66"/>
      <c r="FC80" s="66"/>
      <c r="FD80" s="66"/>
      <c r="FE80" s="66"/>
      <c r="FF80" s="66"/>
      <c r="FG80" s="66"/>
      <c r="FH80" s="66"/>
      <c r="FI80" s="66"/>
      <c r="FJ80" s="66"/>
      <c r="FK80" s="66"/>
      <c r="FL80" s="66"/>
      <c r="FM80" s="66"/>
      <c r="FN80" s="66"/>
      <c r="FO80" s="66"/>
      <c r="FP80" s="66"/>
      <c r="FQ80" s="66"/>
      <c r="FR80" s="66"/>
      <c r="FS80" s="66"/>
      <c r="FT80" s="66"/>
      <c r="FU80" s="66"/>
      <c r="FV80" s="66"/>
      <c r="FW80" s="66"/>
      <c r="FX80" s="66"/>
      <c r="FY80" s="66"/>
      <c r="FZ80" s="66"/>
      <c r="GA80" s="66"/>
      <c r="GB80" s="66"/>
      <c r="GC80" s="66"/>
      <c r="GD80" s="66"/>
      <c r="GE80" s="66"/>
      <c r="GF80" s="66"/>
      <c r="GG80" s="66"/>
      <c r="GH80" s="66"/>
      <c r="GI80" s="66"/>
      <c r="GJ80" s="66"/>
      <c r="GK80" s="66"/>
      <c r="GL80" s="66"/>
      <c r="GM80" s="66"/>
      <c r="GN80" s="66"/>
      <c r="GO80" s="66"/>
      <c r="GP80" s="66"/>
      <c r="GQ80" s="66"/>
      <c r="GR80" s="66"/>
      <c r="GS80" s="66"/>
      <c r="GT80" s="66"/>
      <c r="GU80" s="66"/>
      <c r="GV80" s="66"/>
      <c r="GW80" s="66"/>
      <c r="GX80" s="66"/>
      <c r="GY80" s="66"/>
      <c r="GZ80" s="66"/>
      <c r="HA80" s="66"/>
      <c r="HB80" s="66"/>
      <c r="HC80" s="66"/>
      <c r="HD80" s="66"/>
      <c r="HE80" s="66"/>
      <c r="HF80" s="66"/>
      <c r="HG80" s="66"/>
      <c r="HH80" s="66"/>
      <c r="HI80" s="66"/>
      <c r="HJ80" s="66"/>
      <c r="HK80" s="66"/>
      <c r="HL80" s="66"/>
      <c r="HM80" s="66"/>
      <c r="HN80" s="66"/>
      <c r="HO80" s="66"/>
      <c r="HP80" s="66"/>
      <c r="HQ80" s="66"/>
      <c r="HR80" s="66"/>
      <c r="HS80" s="66"/>
      <c r="HT80" s="66"/>
      <c r="HU80" s="66"/>
      <c r="HV80" s="66"/>
      <c r="HW80" s="66"/>
      <c r="HX80" s="66"/>
      <c r="HY80" s="66"/>
      <c r="HZ80" s="66"/>
      <c r="IA80" s="66"/>
      <c r="IB80" s="66"/>
      <c r="IC80" s="66"/>
      <c r="ID80" s="66"/>
      <c r="IE80" s="66"/>
      <c r="IF80" s="66"/>
      <c r="IG80" s="66"/>
      <c r="IH80" s="66"/>
      <c r="II80" s="66"/>
      <c r="IJ80" s="66"/>
      <c r="IK80" s="66"/>
      <c r="IL80" s="66"/>
      <c r="IM80" s="66"/>
      <c r="IN80" s="66"/>
      <c r="IO80" s="66"/>
      <c r="IP80" s="66"/>
      <c r="IQ80" s="66"/>
      <c r="IR80" s="66"/>
    </row>
    <row r="81" customFormat="false" ht="22.5" hidden="false" customHeight="true" outlineLevel="0" collapsed="false">
      <c r="A81" s="66"/>
      <c r="B81" s="62" t="s">
        <v>258</v>
      </c>
      <c r="C81" s="63" t="s">
        <v>259</v>
      </c>
      <c r="D81" s="28" t="s">
        <v>103</v>
      </c>
      <c r="E81" s="64"/>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6"/>
      <c r="BZ81" s="66"/>
      <c r="CA81" s="66"/>
      <c r="CB81" s="66"/>
      <c r="CC81" s="66"/>
      <c r="CD81" s="66"/>
      <c r="CE81" s="66"/>
      <c r="CF81" s="66"/>
      <c r="CG81" s="66"/>
      <c r="CH81" s="66"/>
      <c r="CI81" s="66"/>
      <c r="CJ81" s="66"/>
      <c r="CK81" s="66"/>
      <c r="CL81" s="66"/>
      <c r="CM81" s="66"/>
      <c r="CN81" s="66"/>
      <c r="CO81" s="66"/>
      <c r="CP81" s="66"/>
      <c r="CQ81" s="66"/>
      <c r="CR81" s="66"/>
      <c r="CS81" s="66"/>
      <c r="CT81" s="66"/>
      <c r="CU81" s="66"/>
      <c r="CV81" s="66"/>
      <c r="CW81" s="66"/>
      <c r="CX81" s="66"/>
      <c r="CY81" s="66"/>
      <c r="CZ81" s="66"/>
      <c r="DA81" s="66"/>
      <c r="DB81" s="66"/>
      <c r="DC81" s="66"/>
      <c r="DD81" s="66"/>
      <c r="DE81" s="66"/>
      <c r="DF81" s="66"/>
      <c r="DG81" s="66"/>
      <c r="DH81" s="66"/>
      <c r="DI81" s="66"/>
      <c r="DJ81" s="66"/>
      <c r="DK81" s="66"/>
      <c r="DL81" s="66"/>
      <c r="DM81" s="66"/>
      <c r="DN81" s="66"/>
      <c r="DO81" s="66"/>
      <c r="DP81" s="66"/>
      <c r="DQ81" s="66"/>
      <c r="DR81" s="66"/>
      <c r="DS81" s="66"/>
      <c r="DT81" s="66"/>
      <c r="DU81" s="66"/>
      <c r="DV81" s="66"/>
      <c r="DW81" s="66"/>
      <c r="DX81" s="66"/>
      <c r="DY81" s="66"/>
      <c r="DZ81" s="66"/>
      <c r="EA81" s="66"/>
      <c r="EB81" s="66"/>
      <c r="EC81" s="66"/>
      <c r="ED81" s="66"/>
      <c r="EE81" s="66"/>
      <c r="EF81" s="66"/>
      <c r="EG81" s="66"/>
      <c r="EH81" s="66"/>
      <c r="EI81" s="66"/>
      <c r="EJ81" s="66"/>
      <c r="EK81" s="66"/>
      <c r="EL81" s="66"/>
      <c r="EM81" s="66"/>
      <c r="EN81" s="66"/>
      <c r="EO81" s="66"/>
      <c r="EP81" s="66"/>
      <c r="EQ81" s="66"/>
      <c r="ER81" s="66"/>
      <c r="ES81" s="66"/>
      <c r="ET81" s="66"/>
      <c r="EU81" s="66"/>
      <c r="EV81" s="66"/>
      <c r="EW81" s="66"/>
      <c r="EX81" s="66"/>
      <c r="EY81" s="66"/>
      <c r="EZ81" s="66"/>
      <c r="FA81" s="66"/>
      <c r="FB81" s="66"/>
      <c r="FC81" s="66"/>
      <c r="FD81" s="66"/>
      <c r="FE81" s="66"/>
      <c r="FF81" s="66"/>
      <c r="FG81" s="66"/>
      <c r="FH81" s="66"/>
      <c r="FI81" s="66"/>
      <c r="FJ81" s="66"/>
      <c r="FK81" s="66"/>
      <c r="FL81" s="66"/>
      <c r="FM81" s="66"/>
      <c r="FN81" s="66"/>
      <c r="FO81" s="66"/>
      <c r="FP81" s="66"/>
      <c r="FQ81" s="66"/>
      <c r="FR81" s="66"/>
      <c r="FS81" s="66"/>
      <c r="FT81" s="66"/>
      <c r="FU81" s="66"/>
      <c r="FV81" s="66"/>
      <c r="FW81" s="66"/>
      <c r="FX81" s="66"/>
      <c r="FY81" s="66"/>
      <c r="FZ81" s="66"/>
      <c r="GA81" s="66"/>
      <c r="GB81" s="66"/>
      <c r="GC81" s="66"/>
      <c r="GD81" s="66"/>
      <c r="GE81" s="66"/>
      <c r="GF81" s="66"/>
      <c r="GG81" s="66"/>
      <c r="GH81" s="66"/>
      <c r="GI81" s="66"/>
      <c r="GJ81" s="66"/>
      <c r="GK81" s="66"/>
      <c r="GL81" s="66"/>
      <c r="GM81" s="66"/>
      <c r="GN81" s="66"/>
      <c r="GO81" s="66"/>
      <c r="GP81" s="66"/>
      <c r="GQ81" s="66"/>
      <c r="GR81" s="66"/>
      <c r="GS81" s="66"/>
      <c r="GT81" s="66"/>
      <c r="GU81" s="66"/>
      <c r="GV81" s="66"/>
      <c r="GW81" s="66"/>
      <c r="GX81" s="66"/>
      <c r="GY81" s="66"/>
      <c r="GZ81" s="66"/>
      <c r="HA81" s="66"/>
      <c r="HB81" s="66"/>
      <c r="HC81" s="66"/>
      <c r="HD81" s="66"/>
      <c r="HE81" s="66"/>
      <c r="HF81" s="66"/>
      <c r="HG81" s="66"/>
      <c r="HH81" s="66"/>
      <c r="HI81" s="66"/>
      <c r="HJ81" s="66"/>
      <c r="HK81" s="66"/>
      <c r="HL81" s="66"/>
      <c r="HM81" s="66"/>
      <c r="HN81" s="66"/>
      <c r="HO81" s="66"/>
      <c r="HP81" s="66"/>
      <c r="HQ81" s="66"/>
      <c r="HR81" s="66"/>
      <c r="HS81" s="66"/>
      <c r="HT81" s="66"/>
      <c r="HU81" s="66"/>
      <c r="HV81" s="66"/>
      <c r="HW81" s="66"/>
      <c r="HX81" s="66"/>
      <c r="HY81" s="66"/>
      <c r="HZ81" s="66"/>
      <c r="IA81" s="66"/>
      <c r="IB81" s="66"/>
      <c r="IC81" s="66"/>
      <c r="ID81" s="66"/>
      <c r="IE81" s="66"/>
      <c r="IF81" s="66"/>
      <c r="IG81" s="66"/>
      <c r="IH81" s="66"/>
      <c r="II81" s="66"/>
      <c r="IJ81" s="66"/>
      <c r="IK81" s="66"/>
      <c r="IL81" s="66"/>
      <c r="IM81" s="66"/>
      <c r="IN81" s="66"/>
      <c r="IO81" s="66"/>
      <c r="IP81" s="66"/>
      <c r="IQ81" s="66"/>
      <c r="IR81" s="66"/>
    </row>
    <row r="82" customFormat="false" ht="22.5" hidden="false" customHeight="true" outlineLevel="0" collapsed="false">
      <c r="A82" s="66"/>
      <c r="B82" s="62" t="s">
        <v>260</v>
      </c>
      <c r="C82" s="63" t="s">
        <v>261</v>
      </c>
      <c r="D82" s="28" t="s">
        <v>103</v>
      </c>
      <c r="E82" s="64"/>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6"/>
      <c r="CD82" s="66"/>
      <c r="CE82" s="66"/>
      <c r="CF82" s="66"/>
      <c r="CG82" s="66"/>
      <c r="CH82" s="66"/>
      <c r="CI82" s="66"/>
      <c r="CJ82" s="66"/>
      <c r="CK82" s="66"/>
      <c r="CL82" s="66"/>
      <c r="CM82" s="66"/>
      <c r="CN82" s="66"/>
      <c r="CO82" s="66"/>
      <c r="CP82" s="66"/>
      <c r="CQ82" s="66"/>
      <c r="CR82" s="66"/>
      <c r="CS82" s="66"/>
      <c r="CT82" s="66"/>
      <c r="CU82" s="66"/>
      <c r="CV82" s="66"/>
      <c r="CW82" s="66"/>
      <c r="CX82" s="66"/>
      <c r="CY82" s="66"/>
      <c r="CZ82" s="66"/>
      <c r="DA82" s="66"/>
      <c r="DB82" s="66"/>
      <c r="DC82" s="66"/>
      <c r="DD82" s="66"/>
      <c r="DE82" s="66"/>
      <c r="DF82" s="66"/>
      <c r="DG82" s="66"/>
      <c r="DH82" s="66"/>
      <c r="DI82" s="66"/>
      <c r="DJ82" s="66"/>
      <c r="DK82" s="66"/>
      <c r="DL82" s="66"/>
      <c r="DM82" s="66"/>
      <c r="DN82" s="66"/>
      <c r="DO82" s="66"/>
      <c r="DP82" s="66"/>
      <c r="DQ82" s="66"/>
      <c r="DR82" s="66"/>
      <c r="DS82" s="66"/>
      <c r="DT82" s="66"/>
      <c r="DU82" s="66"/>
      <c r="DV82" s="66"/>
      <c r="DW82" s="66"/>
      <c r="DX82" s="66"/>
      <c r="DY82" s="66"/>
      <c r="DZ82" s="66"/>
      <c r="EA82" s="66"/>
      <c r="EB82" s="66"/>
      <c r="EC82" s="66"/>
      <c r="ED82" s="66"/>
      <c r="EE82" s="66"/>
      <c r="EF82" s="66"/>
      <c r="EG82" s="66"/>
      <c r="EH82" s="66"/>
      <c r="EI82" s="66"/>
      <c r="EJ82" s="66"/>
      <c r="EK82" s="66"/>
      <c r="EL82" s="66"/>
      <c r="EM82" s="66"/>
      <c r="EN82" s="66"/>
      <c r="EO82" s="66"/>
      <c r="EP82" s="66"/>
      <c r="EQ82" s="66"/>
      <c r="ER82" s="66"/>
      <c r="ES82" s="66"/>
      <c r="ET82" s="66"/>
      <c r="EU82" s="66"/>
      <c r="EV82" s="66"/>
      <c r="EW82" s="66"/>
      <c r="EX82" s="66"/>
      <c r="EY82" s="66"/>
      <c r="EZ82" s="66"/>
      <c r="FA82" s="66"/>
      <c r="FB82" s="66"/>
      <c r="FC82" s="66"/>
      <c r="FD82" s="66"/>
      <c r="FE82" s="66"/>
      <c r="FF82" s="66"/>
      <c r="FG82" s="66"/>
      <c r="FH82" s="66"/>
      <c r="FI82" s="66"/>
      <c r="FJ82" s="66"/>
      <c r="FK82" s="66"/>
      <c r="FL82" s="66"/>
      <c r="FM82" s="66"/>
      <c r="FN82" s="66"/>
      <c r="FO82" s="66"/>
      <c r="FP82" s="66"/>
      <c r="FQ82" s="66"/>
      <c r="FR82" s="66"/>
      <c r="FS82" s="66"/>
      <c r="FT82" s="66"/>
      <c r="FU82" s="66"/>
      <c r="FV82" s="66"/>
      <c r="FW82" s="66"/>
      <c r="FX82" s="66"/>
      <c r="FY82" s="66"/>
      <c r="FZ82" s="66"/>
      <c r="GA82" s="66"/>
      <c r="GB82" s="66"/>
      <c r="GC82" s="66"/>
      <c r="GD82" s="66"/>
      <c r="GE82" s="66"/>
      <c r="GF82" s="66"/>
      <c r="GG82" s="66"/>
      <c r="GH82" s="66"/>
      <c r="GI82" s="66"/>
      <c r="GJ82" s="66"/>
      <c r="GK82" s="66"/>
      <c r="GL82" s="66"/>
      <c r="GM82" s="66"/>
      <c r="GN82" s="66"/>
      <c r="GO82" s="66"/>
      <c r="GP82" s="66"/>
      <c r="GQ82" s="66"/>
      <c r="GR82" s="66"/>
      <c r="GS82" s="66"/>
      <c r="GT82" s="66"/>
      <c r="GU82" s="66"/>
      <c r="GV82" s="66"/>
      <c r="GW82" s="66"/>
      <c r="GX82" s="66"/>
      <c r="GY82" s="66"/>
      <c r="GZ82" s="66"/>
      <c r="HA82" s="66"/>
      <c r="HB82" s="66"/>
      <c r="HC82" s="66"/>
      <c r="HD82" s="66"/>
      <c r="HE82" s="66"/>
      <c r="HF82" s="66"/>
      <c r="HG82" s="66"/>
      <c r="HH82" s="66"/>
      <c r="HI82" s="66"/>
      <c r="HJ82" s="66"/>
      <c r="HK82" s="66"/>
      <c r="HL82" s="66"/>
      <c r="HM82" s="66"/>
      <c r="HN82" s="66"/>
      <c r="HO82" s="66"/>
      <c r="HP82" s="66"/>
      <c r="HQ82" s="66"/>
      <c r="HR82" s="66"/>
      <c r="HS82" s="66"/>
      <c r="HT82" s="66"/>
      <c r="HU82" s="66"/>
      <c r="HV82" s="66"/>
      <c r="HW82" s="66"/>
      <c r="HX82" s="66"/>
      <c r="HY82" s="66"/>
      <c r="HZ82" s="66"/>
      <c r="IA82" s="66"/>
      <c r="IB82" s="66"/>
      <c r="IC82" s="66"/>
      <c r="ID82" s="66"/>
      <c r="IE82" s="66"/>
      <c r="IF82" s="66"/>
      <c r="IG82" s="66"/>
      <c r="IH82" s="66"/>
      <c r="II82" s="66"/>
      <c r="IJ82" s="66"/>
      <c r="IK82" s="66"/>
      <c r="IL82" s="66"/>
      <c r="IM82" s="66"/>
      <c r="IN82" s="66"/>
      <c r="IO82" s="66"/>
      <c r="IP82" s="66"/>
      <c r="IQ82" s="66"/>
      <c r="IR82" s="66"/>
    </row>
    <row r="83" customFormat="false" ht="22.5" hidden="false" customHeight="true" outlineLevel="0" collapsed="false">
      <c r="A83" s="66"/>
      <c r="B83" s="62" t="s">
        <v>262</v>
      </c>
      <c r="C83" s="63" t="s">
        <v>263</v>
      </c>
      <c r="D83" s="28" t="s">
        <v>103</v>
      </c>
      <c r="E83" s="64"/>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6"/>
      <c r="CD83" s="66"/>
      <c r="CE83" s="66"/>
      <c r="CF83" s="66"/>
      <c r="CG83" s="66"/>
      <c r="CH83" s="66"/>
      <c r="CI83" s="66"/>
      <c r="CJ83" s="66"/>
      <c r="CK83" s="66"/>
      <c r="CL83" s="66"/>
      <c r="CM83" s="66"/>
      <c r="CN83" s="66"/>
      <c r="CO83" s="66"/>
      <c r="CP83" s="66"/>
      <c r="CQ83" s="66"/>
      <c r="CR83" s="66"/>
      <c r="CS83" s="66"/>
      <c r="CT83" s="66"/>
      <c r="CU83" s="66"/>
      <c r="CV83" s="66"/>
      <c r="CW83" s="66"/>
      <c r="CX83" s="66"/>
      <c r="CY83" s="66"/>
      <c r="CZ83" s="66"/>
      <c r="DA83" s="66"/>
      <c r="DB83" s="66"/>
      <c r="DC83" s="66"/>
      <c r="DD83" s="66"/>
      <c r="DE83" s="66"/>
      <c r="DF83" s="66"/>
      <c r="DG83" s="66"/>
      <c r="DH83" s="66"/>
      <c r="DI83" s="66"/>
      <c r="DJ83" s="66"/>
      <c r="DK83" s="66"/>
      <c r="DL83" s="66"/>
      <c r="DM83" s="66"/>
      <c r="DN83" s="66"/>
      <c r="DO83" s="66"/>
      <c r="DP83" s="66"/>
      <c r="DQ83" s="66"/>
      <c r="DR83" s="66"/>
      <c r="DS83" s="66"/>
      <c r="DT83" s="66"/>
      <c r="DU83" s="66"/>
      <c r="DV83" s="66"/>
      <c r="DW83" s="66"/>
      <c r="DX83" s="66"/>
      <c r="DY83" s="66"/>
      <c r="DZ83" s="66"/>
      <c r="EA83" s="66"/>
      <c r="EB83" s="66"/>
      <c r="EC83" s="66"/>
      <c r="ED83" s="66"/>
      <c r="EE83" s="66"/>
      <c r="EF83" s="66"/>
      <c r="EG83" s="66"/>
      <c r="EH83" s="66"/>
      <c r="EI83" s="66"/>
      <c r="EJ83" s="66"/>
      <c r="EK83" s="66"/>
      <c r="EL83" s="66"/>
      <c r="EM83" s="66"/>
      <c r="EN83" s="66"/>
      <c r="EO83" s="66"/>
      <c r="EP83" s="66"/>
      <c r="EQ83" s="66"/>
      <c r="ER83" s="66"/>
      <c r="ES83" s="66"/>
      <c r="ET83" s="66"/>
      <c r="EU83" s="66"/>
      <c r="EV83" s="66"/>
      <c r="EW83" s="66"/>
      <c r="EX83" s="66"/>
      <c r="EY83" s="66"/>
      <c r="EZ83" s="66"/>
      <c r="FA83" s="66"/>
      <c r="FB83" s="66"/>
      <c r="FC83" s="66"/>
      <c r="FD83" s="66"/>
      <c r="FE83" s="66"/>
      <c r="FF83" s="66"/>
      <c r="FG83" s="66"/>
      <c r="FH83" s="66"/>
      <c r="FI83" s="66"/>
      <c r="FJ83" s="66"/>
      <c r="FK83" s="66"/>
      <c r="FL83" s="66"/>
      <c r="FM83" s="66"/>
      <c r="FN83" s="66"/>
      <c r="FO83" s="66"/>
      <c r="FP83" s="66"/>
      <c r="FQ83" s="66"/>
      <c r="FR83" s="66"/>
      <c r="FS83" s="66"/>
      <c r="FT83" s="66"/>
      <c r="FU83" s="66"/>
      <c r="FV83" s="66"/>
      <c r="FW83" s="66"/>
      <c r="FX83" s="66"/>
      <c r="FY83" s="66"/>
      <c r="FZ83" s="66"/>
      <c r="GA83" s="66"/>
      <c r="GB83" s="66"/>
      <c r="GC83" s="66"/>
      <c r="GD83" s="66"/>
      <c r="GE83" s="66"/>
      <c r="GF83" s="66"/>
      <c r="GG83" s="66"/>
      <c r="GH83" s="66"/>
      <c r="GI83" s="66"/>
      <c r="GJ83" s="66"/>
      <c r="GK83" s="66"/>
      <c r="GL83" s="66"/>
      <c r="GM83" s="66"/>
      <c r="GN83" s="66"/>
      <c r="GO83" s="66"/>
      <c r="GP83" s="66"/>
      <c r="GQ83" s="66"/>
      <c r="GR83" s="66"/>
      <c r="GS83" s="66"/>
      <c r="GT83" s="66"/>
      <c r="GU83" s="66"/>
      <c r="GV83" s="66"/>
      <c r="GW83" s="66"/>
      <c r="GX83" s="66"/>
      <c r="GY83" s="66"/>
      <c r="GZ83" s="66"/>
      <c r="HA83" s="66"/>
      <c r="HB83" s="66"/>
      <c r="HC83" s="66"/>
      <c r="HD83" s="66"/>
      <c r="HE83" s="66"/>
      <c r="HF83" s="66"/>
      <c r="HG83" s="66"/>
      <c r="HH83" s="66"/>
      <c r="HI83" s="66"/>
      <c r="HJ83" s="66"/>
      <c r="HK83" s="66"/>
      <c r="HL83" s="66"/>
      <c r="HM83" s="66"/>
      <c r="HN83" s="66"/>
      <c r="HO83" s="66"/>
      <c r="HP83" s="66"/>
      <c r="HQ83" s="66"/>
      <c r="HR83" s="66"/>
      <c r="HS83" s="66"/>
      <c r="HT83" s="66"/>
      <c r="HU83" s="66"/>
      <c r="HV83" s="66"/>
      <c r="HW83" s="66"/>
      <c r="HX83" s="66"/>
      <c r="HY83" s="66"/>
      <c r="HZ83" s="66"/>
      <c r="IA83" s="66"/>
      <c r="IB83" s="66"/>
      <c r="IC83" s="66"/>
      <c r="ID83" s="66"/>
      <c r="IE83" s="66"/>
      <c r="IF83" s="66"/>
      <c r="IG83" s="66"/>
      <c r="IH83" s="66"/>
      <c r="II83" s="66"/>
      <c r="IJ83" s="66"/>
      <c r="IK83" s="66"/>
      <c r="IL83" s="66"/>
      <c r="IM83" s="66"/>
      <c r="IN83" s="66"/>
      <c r="IO83" s="66"/>
      <c r="IP83" s="66"/>
      <c r="IQ83" s="66"/>
      <c r="IR83" s="66"/>
    </row>
    <row r="84" customFormat="false" ht="22.5" hidden="false" customHeight="true" outlineLevel="0" collapsed="false">
      <c r="A84" s="66"/>
      <c r="B84" s="62" t="s">
        <v>264</v>
      </c>
      <c r="C84" s="63" t="s">
        <v>265</v>
      </c>
      <c r="D84" s="28" t="s">
        <v>103</v>
      </c>
      <c r="E84" s="64"/>
      <c r="F84" s="66"/>
      <c r="G84" s="66"/>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6"/>
      <c r="CD84" s="66"/>
      <c r="CE84" s="66"/>
      <c r="CF84" s="66"/>
      <c r="CG84" s="66"/>
      <c r="CH84" s="66"/>
      <c r="CI84" s="66"/>
      <c r="CJ84" s="66"/>
      <c r="CK84" s="66"/>
      <c r="CL84" s="66"/>
      <c r="CM84" s="66"/>
      <c r="CN84" s="66"/>
      <c r="CO84" s="66"/>
      <c r="CP84" s="66"/>
      <c r="CQ84" s="66"/>
      <c r="CR84" s="66"/>
      <c r="CS84" s="66"/>
      <c r="CT84" s="66"/>
      <c r="CU84" s="66"/>
      <c r="CV84" s="66"/>
      <c r="CW84" s="66"/>
      <c r="CX84" s="66"/>
      <c r="CY84" s="66"/>
      <c r="CZ84" s="66"/>
      <c r="DA84" s="66"/>
      <c r="DB84" s="66"/>
      <c r="DC84" s="66"/>
      <c r="DD84" s="66"/>
      <c r="DE84" s="66"/>
      <c r="DF84" s="66"/>
      <c r="DG84" s="66"/>
      <c r="DH84" s="66"/>
      <c r="DI84" s="66"/>
      <c r="DJ84" s="66"/>
      <c r="DK84" s="66"/>
      <c r="DL84" s="66"/>
      <c r="DM84" s="66"/>
      <c r="DN84" s="66"/>
      <c r="DO84" s="66"/>
      <c r="DP84" s="66"/>
      <c r="DQ84" s="66"/>
      <c r="DR84" s="66"/>
      <c r="DS84" s="66"/>
      <c r="DT84" s="66"/>
      <c r="DU84" s="66"/>
      <c r="DV84" s="66"/>
      <c r="DW84" s="66"/>
      <c r="DX84" s="66"/>
      <c r="DY84" s="66"/>
      <c r="DZ84" s="66"/>
      <c r="EA84" s="66"/>
      <c r="EB84" s="66"/>
      <c r="EC84" s="66"/>
      <c r="ED84" s="66"/>
      <c r="EE84" s="66"/>
      <c r="EF84" s="66"/>
      <c r="EG84" s="66"/>
      <c r="EH84" s="66"/>
      <c r="EI84" s="66"/>
      <c r="EJ84" s="66"/>
      <c r="EK84" s="66"/>
      <c r="EL84" s="66"/>
      <c r="EM84" s="66"/>
      <c r="EN84" s="66"/>
      <c r="EO84" s="66"/>
      <c r="EP84" s="66"/>
      <c r="EQ84" s="66"/>
      <c r="ER84" s="66"/>
      <c r="ES84" s="66"/>
      <c r="ET84" s="66"/>
      <c r="EU84" s="66"/>
      <c r="EV84" s="66"/>
      <c r="EW84" s="66"/>
      <c r="EX84" s="66"/>
      <c r="EY84" s="66"/>
      <c r="EZ84" s="66"/>
      <c r="FA84" s="66"/>
      <c r="FB84" s="66"/>
      <c r="FC84" s="66"/>
      <c r="FD84" s="66"/>
      <c r="FE84" s="66"/>
      <c r="FF84" s="66"/>
      <c r="FG84" s="66"/>
      <c r="FH84" s="66"/>
      <c r="FI84" s="66"/>
      <c r="FJ84" s="66"/>
      <c r="FK84" s="66"/>
      <c r="FL84" s="66"/>
      <c r="FM84" s="66"/>
      <c r="FN84" s="66"/>
      <c r="FO84" s="66"/>
      <c r="FP84" s="66"/>
      <c r="FQ84" s="66"/>
      <c r="FR84" s="66"/>
      <c r="FS84" s="66"/>
      <c r="FT84" s="66"/>
      <c r="FU84" s="66"/>
      <c r="FV84" s="66"/>
      <c r="FW84" s="66"/>
      <c r="FX84" s="66"/>
      <c r="FY84" s="66"/>
      <c r="FZ84" s="66"/>
      <c r="GA84" s="66"/>
      <c r="GB84" s="66"/>
      <c r="GC84" s="66"/>
      <c r="GD84" s="66"/>
      <c r="GE84" s="66"/>
      <c r="GF84" s="66"/>
      <c r="GG84" s="66"/>
      <c r="GH84" s="66"/>
      <c r="GI84" s="66"/>
      <c r="GJ84" s="66"/>
      <c r="GK84" s="66"/>
      <c r="GL84" s="66"/>
      <c r="GM84" s="66"/>
      <c r="GN84" s="66"/>
      <c r="GO84" s="66"/>
      <c r="GP84" s="66"/>
      <c r="GQ84" s="66"/>
      <c r="GR84" s="66"/>
      <c r="GS84" s="66"/>
      <c r="GT84" s="66"/>
      <c r="GU84" s="66"/>
      <c r="GV84" s="66"/>
      <c r="GW84" s="66"/>
      <c r="GX84" s="66"/>
      <c r="GY84" s="66"/>
      <c r="GZ84" s="66"/>
      <c r="HA84" s="66"/>
      <c r="HB84" s="66"/>
      <c r="HC84" s="66"/>
      <c r="HD84" s="66"/>
      <c r="HE84" s="66"/>
      <c r="HF84" s="66"/>
      <c r="HG84" s="66"/>
      <c r="HH84" s="66"/>
      <c r="HI84" s="66"/>
      <c r="HJ84" s="66"/>
      <c r="HK84" s="66"/>
      <c r="HL84" s="66"/>
      <c r="HM84" s="66"/>
      <c r="HN84" s="66"/>
      <c r="HO84" s="66"/>
      <c r="HP84" s="66"/>
      <c r="HQ84" s="66"/>
      <c r="HR84" s="66"/>
      <c r="HS84" s="66"/>
      <c r="HT84" s="66"/>
      <c r="HU84" s="66"/>
      <c r="HV84" s="66"/>
      <c r="HW84" s="66"/>
      <c r="HX84" s="66"/>
      <c r="HY84" s="66"/>
      <c r="HZ84" s="66"/>
      <c r="IA84" s="66"/>
      <c r="IB84" s="66"/>
      <c r="IC84" s="66"/>
      <c r="ID84" s="66"/>
      <c r="IE84" s="66"/>
      <c r="IF84" s="66"/>
      <c r="IG84" s="66"/>
      <c r="IH84" s="66"/>
      <c r="II84" s="66"/>
      <c r="IJ84" s="66"/>
      <c r="IK84" s="66"/>
      <c r="IL84" s="66"/>
      <c r="IM84" s="66"/>
      <c r="IN84" s="66"/>
      <c r="IO84" s="66"/>
      <c r="IP84" s="66"/>
      <c r="IQ84" s="66"/>
      <c r="IR84" s="66"/>
    </row>
    <row r="85" customFormat="false" ht="22.5" hidden="false" customHeight="true" outlineLevel="0" collapsed="false">
      <c r="A85" s="66"/>
      <c r="B85" s="62" t="s">
        <v>266</v>
      </c>
      <c r="C85" s="63" t="s">
        <v>267</v>
      </c>
      <c r="D85" s="28" t="s">
        <v>103</v>
      </c>
      <c r="E85" s="64"/>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c r="BZ85" s="66"/>
      <c r="CA85" s="66"/>
      <c r="CB85" s="66"/>
      <c r="CC85" s="66"/>
      <c r="CD85" s="66"/>
      <c r="CE85" s="66"/>
      <c r="CF85" s="66"/>
      <c r="CG85" s="66"/>
      <c r="CH85" s="66"/>
      <c r="CI85" s="66"/>
      <c r="CJ85" s="66"/>
      <c r="CK85" s="66"/>
      <c r="CL85" s="66"/>
      <c r="CM85" s="66"/>
      <c r="CN85" s="66"/>
      <c r="CO85" s="66"/>
      <c r="CP85" s="66"/>
      <c r="CQ85" s="66"/>
      <c r="CR85" s="66"/>
      <c r="CS85" s="66"/>
      <c r="CT85" s="66"/>
      <c r="CU85" s="66"/>
      <c r="CV85" s="66"/>
      <c r="CW85" s="66"/>
      <c r="CX85" s="66"/>
      <c r="CY85" s="66"/>
      <c r="CZ85" s="66"/>
      <c r="DA85" s="66"/>
      <c r="DB85" s="66"/>
      <c r="DC85" s="66"/>
      <c r="DD85" s="66"/>
      <c r="DE85" s="66"/>
      <c r="DF85" s="66"/>
      <c r="DG85" s="66"/>
      <c r="DH85" s="66"/>
      <c r="DI85" s="66"/>
      <c r="DJ85" s="66"/>
      <c r="DK85" s="66"/>
      <c r="DL85" s="66"/>
      <c r="DM85" s="66"/>
      <c r="DN85" s="66"/>
      <c r="DO85" s="66"/>
      <c r="DP85" s="66"/>
      <c r="DQ85" s="66"/>
      <c r="DR85" s="66"/>
      <c r="DS85" s="66"/>
      <c r="DT85" s="66"/>
      <c r="DU85" s="66"/>
      <c r="DV85" s="66"/>
      <c r="DW85" s="66"/>
      <c r="DX85" s="66"/>
      <c r="DY85" s="66"/>
      <c r="DZ85" s="66"/>
      <c r="EA85" s="66"/>
      <c r="EB85" s="66"/>
      <c r="EC85" s="66"/>
      <c r="ED85" s="66"/>
      <c r="EE85" s="66"/>
      <c r="EF85" s="66"/>
      <c r="EG85" s="66"/>
      <c r="EH85" s="66"/>
      <c r="EI85" s="66"/>
      <c r="EJ85" s="66"/>
      <c r="EK85" s="66"/>
      <c r="EL85" s="66"/>
      <c r="EM85" s="66"/>
      <c r="EN85" s="66"/>
      <c r="EO85" s="66"/>
      <c r="EP85" s="66"/>
      <c r="EQ85" s="66"/>
      <c r="ER85" s="66"/>
      <c r="ES85" s="66"/>
      <c r="ET85" s="66"/>
      <c r="EU85" s="66"/>
      <c r="EV85" s="66"/>
      <c r="EW85" s="66"/>
      <c r="EX85" s="66"/>
      <c r="EY85" s="66"/>
      <c r="EZ85" s="66"/>
      <c r="FA85" s="66"/>
      <c r="FB85" s="66"/>
      <c r="FC85" s="66"/>
      <c r="FD85" s="66"/>
      <c r="FE85" s="66"/>
      <c r="FF85" s="66"/>
      <c r="FG85" s="66"/>
      <c r="FH85" s="66"/>
      <c r="FI85" s="66"/>
      <c r="FJ85" s="66"/>
      <c r="FK85" s="66"/>
      <c r="FL85" s="66"/>
      <c r="FM85" s="66"/>
      <c r="FN85" s="66"/>
      <c r="FO85" s="66"/>
      <c r="FP85" s="66"/>
      <c r="FQ85" s="66"/>
      <c r="FR85" s="66"/>
      <c r="FS85" s="66"/>
      <c r="FT85" s="66"/>
      <c r="FU85" s="66"/>
      <c r="FV85" s="66"/>
      <c r="FW85" s="66"/>
      <c r="FX85" s="66"/>
      <c r="FY85" s="66"/>
      <c r="FZ85" s="66"/>
      <c r="GA85" s="66"/>
      <c r="GB85" s="66"/>
      <c r="GC85" s="66"/>
      <c r="GD85" s="66"/>
      <c r="GE85" s="66"/>
      <c r="GF85" s="66"/>
      <c r="GG85" s="66"/>
      <c r="GH85" s="66"/>
      <c r="GI85" s="66"/>
      <c r="GJ85" s="66"/>
      <c r="GK85" s="66"/>
      <c r="GL85" s="66"/>
      <c r="GM85" s="66"/>
      <c r="GN85" s="66"/>
      <c r="GO85" s="66"/>
      <c r="GP85" s="66"/>
      <c r="GQ85" s="66"/>
      <c r="GR85" s="66"/>
      <c r="GS85" s="66"/>
      <c r="GT85" s="66"/>
      <c r="GU85" s="66"/>
      <c r="GV85" s="66"/>
      <c r="GW85" s="66"/>
      <c r="GX85" s="66"/>
      <c r="GY85" s="66"/>
      <c r="GZ85" s="66"/>
      <c r="HA85" s="66"/>
      <c r="HB85" s="66"/>
      <c r="HC85" s="66"/>
      <c r="HD85" s="66"/>
      <c r="HE85" s="66"/>
      <c r="HF85" s="66"/>
      <c r="HG85" s="66"/>
      <c r="HH85" s="66"/>
      <c r="HI85" s="66"/>
      <c r="HJ85" s="66"/>
      <c r="HK85" s="66"/>
      <c r="HL85" s="66"/>
      <c r="HM85" s="66"/>
      <c r="HN85" s="66"/>
      <c r="HO85" s="66"/>
      <c r="HP85" s="66"/>
      <c r="HQ85" s="66"/>
      <c r="HR85" s="66"/>
      <c r="HS85" s="66"/>
      <c r="HT85" s="66"/>
      <c r="HU85" s="66"/>
      <c r="HV85" s="66"/>
      <c r="HW85" s="66"/>
      <c r="HX85" s="66"/>
      <c r="HY85" s="66"/>
      <c r="HZ85" s="66"/>
      <c r="IA85" s="66"/>
      <c r="IB85" s="66"/>
      <c r="IC85" s="66"/>
      <c r="ID85" s="66"/>
      <c r="IE85" s="66"/>
      <c r="IF85" s="66"/>
      <c r="IG85" s="66"/>
      <c r="IH85" s="66"/>
      <c r="II85" s="66"/>
      <c r="IJ85" s="66"/>
      <c r="IK85" s="66"/>
      <c r="IL85" s="66"/>
      <c r="IM85" s="66"/>
      <c r="IN85" s="66"/>
      <c r="IO85" s="66"/>
      <c r="IP85" s="66"/>
      <c r="IQ85" s="66"/>
      <c r="IR85" s="66"/>
    </row>
    <row r="86" customFormat="false" ht="22.5" hidden="false" customHeight="true" outlineLevel="0" collapsed="false">
      <c r="A86" s="66"/>
      <c r="B86" s="62" t="s">
        <v>268</v>
      </c>
      <c r="C86" s="63" t="s">
        <v>269</v>
      </c>
      <c r="D86" s="28" t="s">
        <v>103</v>
      </c>
      <c r="E86" s="64"/>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6"/>
      <c r="BX86" s="66"/>
      <c r="BY86" s="66"/>
      <c r="BZ86" s="66"/>
      <c r="CA86" s="66"/>
      <c r="CB86" s="66"/>
      <c r="CC86" s="66"/>
      <c r="CD86" s="66"/>
      <c r="CE86" s="66"/>
      <c r="CF86" s="66"/>
      <c r="CG86" s="66"/>
      <c r="CH86" s="66"/>
      <c r="CI86" s="66"/>
      <c r="CJ86" s="66"/>
      <c r="CK86" s="66"/>
      <c r="CL86" s="66"/>
      <c r="CM86" s="66"/>
      <c r="CN86" s="66"/>
      <c r="CO86" s="66"/>
      <c r="CP86" s="66"/>
      <c r="CQ86" s="66"/>
      <c r="CR86" s="66"/>
      <c r="CS86" s="66"/>
      <c r="CT86" s="66"/>
      <c r="CU86" s="66"/>
      <c r="CV86" s="66"/>
      <c r="CW86" s="66"/>
      <c r="CX86" s="66"/>
      <c r="CY86" s="66"/>
      <c r="CZ86" s="66"/>
      <c r="DA86" s="66"/>
      <c r="DB86" s="66"/>
      <c r="DC86" s="66"/>
      <c r="DD86" s="66"/>
      <c r="DE86" s="66"/>
      <c r="DF86" s="66"/>
      <c r="DG86" s="66"/>
      <c r="DH86" s="66"/>
      <c r="DI86" s="66"/>
      <c r="DJ86" s="66"/>
      <c r="DK86" s="66"/>
      <c r="DL86" s="66"/>
      <c r="DM86" s="66"/>
      <c r="DN86" s="66"/>
      <c r="DO86" s="66"/>
      <c r="DP86" s="66"/>
      <c r="DQ86" s="66"/>
      <c r="DR86" s="66"/>
      <c r="DS86" s="66"/>
      <c r="DT86" s="66"/>
      <c r="DU86" s="66"/>
      <c r="DV86" s="66"/>
      <c r="DW86" s="66"/>
      <c r="DX86" s="66"/>
      <c r="DY86" s="66"/>
      <c r="DZ86" s="66"/>
      <c r="EA86" s="66"/>
      <c r="EB86" s="66"/>
      <c r="EC86" s="66"/>
      <c r="ED86" s="66"/>
      <c r="EE86" s="66"/>
      <c r="EF86" s="66"/>
      <c r="EG86" s="66"/>
      <c r="EH86" s="66"/>
      <c r="EI86" s="66"/>
      <c r="EJ86" s="66"/>
      <c r="EK86" s="66"/>
      <c r="EL86" s="66"/>
      <c r="EM86" s="66"/>
      <c r="EN86" s="66"/>
      <c r="EO86" s="66"/>
      <c r="EP86" s="66"/>
      <c r="EQ86" s="66"/>
      <c r="ER86" s="66"/>
      <c r="ES86" s="66"/>
      <c r="ET86" s="66"/>
      <c r="EU86" s="66"/>
      <c r="EV86" s="66"/>
      <c r="EW86" s="66"/>
      <c r="EX86" s="66"/>
      <c r="EY86" s="66"/>
      <c r="EZ86" s="66"/>
      <c r="FA86" s="66"/>
      <c r="FB86" s="66"/>
      <c r="FC86" s="66"/>
      <c r="FD86" s="66"/>
      <c r="FE86" s="66"/>
      <c r="FF86" s="66"/>
      <c r="FG86" s="66"/>
      <c r="FH86" s="66"/>
      <c r="FI86" s="66"/>
      <c r="FJ86" s="66"/>
      <c r="FK86" s="66"/>
      <c r="FL86" s="66"/>
      <c r="FM86" s="66"/>
      <c r="FN86" s="66"/>
      <c r="FO86" s="66"/>
      <c r="FP86" s="66"/>
      <c r="FQ86" s="66"/>
      <c r="FR86" s="66"/>
      <c r="FS86" s="66"/>
      <c r="FT86" s="66"/>
      <c r="FU86" s="66"/>
      <c r="FV86" s="66"/>
      <c r="FW86" s="66"/>
      <c r="FX86" s="66"/>
      <c r="FY86" s="66"/>
      <c r="FZ86" s="66"/>
      <c r="GA86" s="66"/>
      <c r="GB86" s="66"/>
      <c r="GC86" s="66"/>
      <c r="GD86" s="66"/>
      <c r="GE86" s="66"/>
      <c r="GF86" s="66"/>
      <c r="GG86" s="66"/>
      <c r="GH86" s="66"/>
      <c r="GI86" s="66"/>
      <c r="GJ86" s="66"/>
      <c r="GK86" s="66"/>
      <c r="GL86" s="66"/>
      <c r="GM86" s="66"/>
      <c r="GN86" s="66"/>
      <c r="GO86" s="66"/>
      <c r="GP86" s="66"/>
      <c r="GQ86" s="66"/>
      <c r="GR86" s="66"/>
      <c r="GS86" s="66"/>
      <c r="GT86" s="66"/>
      <c r="GU86" s="66"/>
      <c r="GV86" s="66"/>
      <c r="GW86" s="66"/>
      <c r="GX86" s="66"/>
      <c r="GY86" s="66"/>
      <c r="GZ86" s="66"/>
      <c r="HA86" s="66"/>
      <c r="HB86" s="66"/>
      <c r="HC86" s="66"/>
      <c r="HD86" s="66"/>
      <c r="HE86" s="66"/>
      <c r="HF86" s="66"/>
      <c r="HG86" s="66"/>
      <c r="HH86" s="66"/>
      <c r="HI86" s="66"/>
      <c r="HJ86" s="66"/>
      <c r="HK86" s="66"/>
      <c r="HL86" s="66"/>
      <c r="HM86" s="66"/>
      <c r="HN86" s="66"/>
      <c r="HO86" s="66"/>
      <c r="HP86" s="66"/>
      <c r="HQ86" s="66"/>
      <c r="HR86" s="66"/>
      <c r="HS86" s="66"/>
      <c r="HT86" s="66"/>
      <c r="HU86" s="66"/>
      <c r="HV86" s="66"/>
      <c r="HW86" s="66"/>
      <c r="HX86" s="66"/>
      <c r="HY86" s="66"/>
      <c r="HZ86" s="66"/>
      <c r="IA86" s="66"/>
      <c r="IB86" s="66"/>
      <c r="IC86" s="66"/>
      <c r="ID86" s="66"/>
      <c r="IE86" s="66"/>
      <c r="IF86" s="66"/>
      <c r="IG86" s="66"/>
      <c r="IH86" s="66"/>
      <c r="II86" s="66"/>
      <c r="IJ86" s="66"/>
      <c r="IK86" s="66"/>
      <c r="IL86" s="66"/>
      <c r="IM86" s="66"/>
      <c r="IN86" s="66"/>
      <c r="IO86" s="66"/>
      <c r="IP86" s="66"/>
      <c r="IQ86" s="66"/>
      <c r="IR86" s="66"/>
    </row>
    <row r="87" customFormat="false" ht="22.5" hidden="false" customHeight="true" outlineLevel="0" collapsed="false">
      <c r="A87" s="66"/>
      <c r="B87" s="62" t="s">
        <v>270</v>
      </c>
      <c r="C87" s="63" t="s">
        <v>271</v>
      </c>
      <c r="D87" s="28" t="s">
        <v>103</v>
      </c>
      <c r="E87" s="64"/>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66"/>
      <c r="CB87" s="66"/>
      <c r="CC87" s="66"/>
      <c r="CD87" s="66"/>
      <c r="CE87" s="66"/>
      <c r="CF87" s="66"/>
      <c r="CG87" s="66"/>
      <c r="CH87" s="66"/>
      <c r="CI87" s="66"/>
      <c r="CJ87" s="66"/>
      <c r="CK87" s="66"/>
      <c r="CL87" s="66"/>
      <c r="CM87" s="66"/>
      <c r="CN87" s="66"/>
      <c r="CO87" s="66"/>
      <c r="CP87" s="66"/>
      <c r="CQ87" s="66"/>
      <c r="CR87" s="66"/>
      <c r="CS87" s="66"/>
      <c r="CT87" s="66"/>
      <c r="CU87" s="66"/>
      <c r="CV87" s="66"/>
      <c r="CW87" s="66"/>
      <c r="CX87" s="66"/>
      <c r="CY87" s="66"/>
      <c r="CZ87" s="66"/>
      <c r="DA87" s="66"/>
      <c r="DB87" s="66"/>
      <c r="DC87" s="66"/>
      <c r="DD87" s="66"/>
      <c r="DE87" s="66"/>
      <c r="DF87" s="66"/>
      <c r="DG87" s="66"/>
      <c r="DH87" s="66"/>
      <c r="DI87" s="66"/>
      <c r="DJ87" s="66"/>
      <c r="DK87" s="66"/>
      <c r="DL87" s="66"/>
      <c r="DM87" s="66"/>
      <c r="DN87" s="66"/>
      <c r="DO87" s="66"/>
      <c r="DP87" s="66"/>
      <c r="DQ87" s="66"/>
      <c r="DR87" s="66"/>
      <c r="DS87" s="66"/>
      <c r="DT87" s="66"/>
      <c r="DU87" s="66"/>
      <c r="DV87" s="66"/>
      <c r="DW87" s="66"/>
      <c r="DX87" s="66"/>
      <c r="DY87" s="66"/>
      <c r="DZ87" s="66"/>
      <c r="EA87" s="66"/>
      <c r="EB87" s="66"/>
      <c r="EC87" s="66"/>
      <c r="ED87" s="66"/>
      <c r="EE87" s="66"/>
      <c r="EF87" s="66"/>
      <c r="EG87" s="66"/>
      <c r="EH87" s="66"/>
      <c r="EI87" s="66"/>
      <c r="EJ87" s="66"/>
      <c r="EK87" s="66"/>
      <c r="EL87" s="66"/>
      <c r="EM87" s="66"/>
      <c r="EN87" s="66"/>
      <c r="EO87" s="66"/>
      <c r="EP87" s="66"/>
      <c r="EQ87" s="66"/>
      <c r="ER87" s="66"/>
      <c r="ES87" s="66"/>
      <c r="ET87" s="66"/>
      <c r="EU87" s="66"/>
      <c r="EV87" s="66"/>
      <c r="EW87" s="66"/>
      <c r="EX87" s="66"/>
      <c r="EY87" s="66"/>
      <c r="EZ87" s="66"/>
      <c r="FA87" s="66"/>
      <c r="FB87" s="66"/>
      <c r="FC87" s="66"/>
      <c r="FD87" s="66"/>
      <c r="FE87" s="66"/>
      <c r="FF87" s="66"/>
      <c r="FG87" s="66"/>
      <c r="FH87" s="66"/>
      <c r="FI87" s="66"/>
      <c r="FJ87" s="66"/>
      <c r="FK87" s="66"/>
      <c r="FL87" s="66"/>
      <c r="FM87" s="66"/>
      <c r="FN87" s="66"/>
      <c r="FO87" s="66"/>
      <c r="FP87" s="66"/>
      <c r="FQ87" s="66"/>
      <c r="FR87" s="66"/>
      <c r="FS87" s="66"/>
      <c r="FT87" s="66"/>
      <c r="FU87" s="66"/>
      <c r="FV87" s="66"/>
      <c r="FW87" s="66"/>
      <c r="FX87" s="66"/>
      <c r="FY87" s="66"/>
      <c r="FZ87" s="66"/>
      <c r="GA87" s="66"/>
      <c r="GB87" s="66"/>
      <c r="GC87" s="66"/>
      <c r="GD87" s="66"/>
      <c r="GE87" s="66"/>
      <c r="GF87" s="66"/>
      <c r="GG87" s="66"/>
      <c r="GH87" s="66"/>
      <c r="GI87" s="66"/>
      <c r="GJ87" s="66"/>
      <c r="GK87" s="66"/>
      <c r="GL87" s="66"/>
      <c r="GM87" s="66"/>
      <c r="GN87" s="66"/>
      <c r="GO87" s="66"/>
      <c r="GP87" s="66"/>
      <c r="GQ87" s="66"/>
      <c r="GR87" s="66"/>
      <c r="GS87" s="66"/>
      <c r="GT87" s="66"/>
      <c r="GU87" s="66"/>
      <c r="GV87" s="66"/>
      <c r="GW87" s="66"/>
      <c r="GX87" s="66"/>
      <c r="GY87" s="66"/>
      <c r="GZ87" s="66"/>
      <c r="HA87" s="66"/>
      <c r="HB87" s="66"/>
      <c r="HC87" s="66"/>
      <c r="HD87" s="66"/>
      <c r="HE87" s="66"/>
      <c r="HF87" s="66"/>
      <c r="HG87" s="66"/>
      <c r="HH87" s="66"/>
      <c r="HI87" s="66"/>
      <c r="HJ87" s="66"/>
      <c r="HK87" s="66"/>
      <c r="HL87" s="66"/>
      <c r="HM87" s="66"/>
      <c r="HN87" s="66"/>
      <c r="HO87" s="66"/>
      <c r="HP87" s="66"/>
      <c r="HQ87" s="66"/>
      <c r="HR87" s="66"/>
      <c r="HS87" s="66"/>
      <c r="HT87" s="66"/>
      <c r="HU87" s="66"/>
      <c r="HV87" s="66"/>
      <c r="HW87" s="66"/>
      <c r="HX87" s="66"/>
      <c r="HY87" s="66"/>
      <c r="HZ87" s="66"/>
      <c r="IA87" s="66"/>
      <c r="IB87" s="66"/>
      <c r="IC87" s="66"/>
      <c r="ID87" s="66"/>
      <c r="IE87" s="66"/>
      <c r="IF87" s="66"/>
      <c r="IG87" s="66"/>
      <c r="IH87" s="66"/>
      <c r="II87" s="66"/>
      <c r="IJ87" s="66"/>
      <c r="IK87" s="66"/>
      <c r="IL87" s="66"/>
      <c r="IM87" s="66"/>
      <c r="IN87" s="66"/>
      <c r="IO87" s="66"/>
      <c r="IP87" s="66"/>
      <c r="IQ87" s="66"/>
      <c r="IR87" s="66"/>
    </row>
    <row r="88" customFormat="false" ht="22.5" hidden="false" customHeight="true" outlineLevel="0" collapsed="false">
      <c r="A88" s="66"/>
      <c r="B88" s="62" t="s">
        <v>272</v>
      </c>
      <c r="C88" s="63" t="s">
        <v>273</v>
      </c>
      <c r="D88" s="28" t="s">
        <v>103</v>
      </c>
      <c r="E88" s="64"/>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c r="BV88" s="66"/>
      <c r="BW88" s="66"/>
      <c r="BX88" s="66"/>
      <c r="BY88" s="66"/>
      <c r="BZ88" s="66"/>
      <c r="CA88" s="66"/>
      <c r="CB88" s="66"/>
      <c r="CC88" s="66"/>
      <c r="CD88" s="66"/>
      <c r="CE88" s="66"/>
      <c r="CF88" s="66"/>
      <c r="CG88" s="66"/>
      <c r="CH88" s="66"/>
      <c r="CI88" s="66"/>
      <c r="CJ88" s="66"/>
      <c r="CK88" s="66"/>
      <c r="CL88" s="66"/>
      <c r="CM88" s="66"/>
      <c r="CN88" s="66"/>
      <c r="CO88" s="66"/>
      <c r="CP88" s="66"/>
      <c r="CQ88" s="66"/>
      <c r="CR88" s="66"/>
      <c r="CS88" s="66"/>
      <c r="CT88" s="66"/>
      <c r="CU88" s="66"/>
      <c r="CV88" s="66"/>
      <c r="CW88" s="66"/>
      <c r="CX88" s="66"/>
      <c r="CY88" s="66"/>
      <c r="CZ88" s="66"/>
      <c r="DA88" s="66"/>
      <c r="DB88" s="66"/>
      <c r="DC88" s="66"/>
      <c r="DD88" s="66"/>
      <c r="DE88" s="66"/>
      <c r="DF88" s="66"/>
      <c r="DG88" s="66"/>
      <c r="DH88" s="66"/>
      <c r="DI88" s="66"/>
      <c r="DJ88" s="66"/>
      <c r="DK88" s="66"/>
      <c r="DL88" s="66"/>
      <c r="DM88" s="66"/>
      <c r="DN88" s="66"/>
      <c r="DO88" s="66"/>
      <c r="DP88" s="66"/>
      <c r="DQ88" s="66"/>
      <c r="DR88" s="66"/>
      <c r="DS88" s="66"/>
      <c r="DT88" s="66"/>
      <c r="DU88" s="66"/>
      <c r="DV88" s="66"/>
      <c r="DW88" s="66"/>
      <c r="DX88" s="66"/>
      <c r="DY88" s="66"/>
      <c r="DZ88" s="66"/>
      <c r="EA88" s="66"/>
      <c r="EB88" s="66"/>
      <c r="EC88" s="66"/>
      <c r="ED88" s="66"/>
      <c r="EE88" s="66"/>
      <c r="EF88" s="66"/>
      <c r="EG88" s="66"/>
      <c r="EH88" s="66"/>
      <c r="EI88" s="66"/>
      <c r="EJ88" s="66"/>
      <c r="EK88" s="66"/>
      <c r="EL88" s="66"/>
      <c r="EM88" s="66"/>
      <c r="EN88" s="66"/>
      <c r="EO88" s="66"/>
      <c r="EP88" s="66"/>
      <c r="EQ88" s="66"/>
      <c r="ER88" s="66"/>
      <c r="ES88" s="66"/>
      <c r="ET88" s="66"/>
      <c r="EU88" s="66"/>
      <c r="EV88" s="66"/>
      <c r="EW88" s="66"/>
      <c r="EX88" s="66"/>
      <c r="EY88" s="66"/>
      <c r="EZ88" s="66"/>
      <c r="FA88" s="66"/>
      <c r="FB88" s="66"/>
      <c r="FC88" s="66"/>
      <c r="FD88" s="66"/>
      <c r="FE88" s="66"/>
      <c r="FF88" s="66"/>
      <c r="FG88" s="66"/>
      <c r="FH88" s="66"/>
      <c r="FI88" s="66"/>
      <c r="FJ88" s="66"/>
      <c r="FK88" s="66"/>
      <c r="FL88" s="66"/>
      <c r="FM88" s="66"/>
      <c r="FN88" s="66"/>
      <c r="FO88" s="66"/>
      <c r="FP88" s="66"/>
      <c r="FQ88" s="66"/>
      <c r="FR88" s="66"/>
      <c r="FS88" s="66"/>
      <c r="FT88" s="66"/>
      <c r="FU88" s="66"/>
      <c r="FV88" s="66"/>
      <c r="FW88" s="66"/>
      <c r="FX88" s="66"/>
      <c r="FY88" s="66"/>
      <c r="FZ88" s="66"/>
      <c r="GA88" s="66"/>
      <c r="GB88" s="66"/>
      <c r="GC88" s="66"/>
      <c r="GD88" s="66"/>
      <c r="GE88" s="66"/>
      <c r="GF88" s="66"/>
      <c r="GG88" s="66"/>
      <c r="GH88" s="66"/>
      <c r="GI88" s="66"/>
      <c r="GJ88" s="66"/>
      <c r="GK88" s="66"/>
      <c r="GL88" s="66"/>
      <c r="GM88" s="66"/>
      <c r="GN88" s="66"/>
      <c r="GO88" s="66"/>
      <c r="GP88" s="66"/>
      <c r="GQ88" s="66"/>
      <c r="GR88" s="66"/>
      <c r="GS88" s="66"/>
      <c r="GT88" s="66"/>
      <c r="GU88" s="66"/>
      <c r="GV88" s="66"/>
      <c r="GW88" s="66"/>
      <c r="GX88" s="66"/>
      <c r="GY88" s="66"/>
      <c r="GZ88" s="66"/>
      <c r="HA88" s="66"/>
      <c r="HB88" s="66"/>
      <c r="HC88" s="66"/>
      <c r="HD88" s="66"/>
      <c r="HE88" s="66"/>
      <c r="HF88" s="66"/>
      <c r="HG88" s="66"/>
      <c r="HH88" s="66"/>
      <c r="HI88" s="66"/>
      <c r="HJ88" s="66"/>
      <c r="HK88" s="66"/>
      <c r="HL88" s="66"/>
      <c r="HM88" s="66"/>
      <c r="HN88" s="66"/>
      <c r="HO88" s="66"/>
      <c r="HP88" s="66"/>
      <c r="HQ88" s="66"/>
      <c r="HR88" s="66"/>
      <c r="HS88" s="66"/>
      <c r="HT88" s="66"/>
      <c r="HU88" s="66"/>
      <c r="HV88" s="66"/>
      <c r="HW88" s="66"/>
      <c r="HX88" s="66"/>
      <c r="HY88" s="66"/>
      <c r="HZ88" s="66"/>
      <c r="IA88" s="66"/>
      <c r="IB88" s="66"/>
      <c r="IC88" s="66"/>
      <c r="ID88" s="66"/>
      <c r="IE88" s="66"/>
      <c r="IF88" s="66"/>
      <c r="IG88" s="66"/>
      <c r="IH88" s="66"/>
      <c r="II88" s="66"/>
      <c r="IJ88" s="66"/>
      <c r="IK88" s="66"/>
      <c r="IL88" s="66"/>
      <c r="IM88" s="66"/>
      <c r="IN88" s="66"/>
      <c r="IO88" s="66"/>
      <c r="IP88" s="66"/>
      <c r="IQ88" s="66"/>
      <c r="IR88" s="66"/>
    </row>
    <row r="89" customFormat="false" ht="22.5" hidden="false" customHeight="true" outlineLevel="0" collapsed="false">
      <c r="A89" s="66"/>
      <c r="B89" s="62" t="s">
        <v>274</v>
      </c>
      <c r="C89" s="63" t="s">
        <v>275</v>
      </c>
      <c r="D89" s="28" t="s">
        <v>103</v>
      </c>
      <c r="E89" s="64"/>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6"/>
      <c r="BW89" s="66"/>
      <c r="BX89" s="66"/>
      <c r="BY89" s="66"/>
      <c r="BZ89" s="66"/>
      <c r="CA89" s="66"/>
      <c r="CB89" s="66"/>
      <c r="CC89" s="66"/>
      <c r="CD89" s="66"/>
      <c r="CE89" s="66"/>
      <c r="CF89" s="66"/>
      <c r="CG89" s="66"/>
      <c r="CH89" s="66"/>
      <c r="CI89" s="66"/>
      <c r="CJ89" s="66"/>
      <c r="CK89" s="66"/>
      <c r="CL89" s="66"/>
      <c r="CM89" s="66"/>
      <c r="CN89" s="66"/>
      <c r="CO89" s="66"/>
      <c r="CP89" s="66"/>
      <c r="CQ89" s="66"/>
      <c r="CR89" s="66"/>
      <c r="CS89" s="66"/>
      <c r="CT89" s="66"/>
      <c r="CU89" s="66"/>
      <c r="CV89" s="66"/>
      <c r="CW89" s="66"/>
      <c r="CX89" s="66"/>
      <c r="CY89" s="66"/>
      <c r="CZ89" s="66"/>
      <c r="DA89" s="66"/>
      <c r="DB89" s="66"/>
      <c r="DC89" s="66"/>
      <c r="DD89" s="66"/>
      <c r="DE89" s="66"/>
      <c r="DF89" s="66"/>
      <c r="DG89" s="66"/>
      <c r="DH89" s="66"/>
      <c r="DI89" s="66"/>
      <c r="DJ89" s="66"/>
      <c r="DK89" s="66"/>
      <c r="DL89" s="66"/>
      <c r="DM89" s="66"/>
      <c r="DN89" s="66"/>
      <c r="DO89" s="66"/>
      <c r="DP89" s="66"/>
      <c r="DQ89" s="66"/>
      <c r="DR89" s="66"/>
      <c r="DS89" s="66"/>
      <c r="DT89" s="66"/>
      <c r="DU89" s="66"/>
      <c r="DV89" s="66"/>
      <c r="DW89" s="66"/>
      <c r="DX89" s="66"/>
      <c r="DY89" s="66"/>
      <c r="DZ89" s="66"/>
      <c r="EA89" s="66"/>
      <c r="EB89" s="66"/>
      <c r="EC89" s="66"/>
      <c r="ED89" s="66"/>
      <c r="EE89" s="66"/>
      <c r="EF89" s="66"/>
      <c r="EG89" s="66"/>
      <c r="EH89" s="66"/>
      <c r="EI89" s="66"/>
      <c r="EJ89" s="66"/>
      <c r="EK89" s="66"/>
      <c r="EL89" s="66"/>
      <c r="EM89" s="66"/>
      <c r="EN89" s="66"/>
      <c r="EO89" s="66"/>
      <c r="EP89" s="66"/>
      <c r="EQ89" s="66"/>
      <c r="ER89" s="66"/>
      <c r="ES89" s="66"/>
      <c r="ET89" s="66"/>
      <c r="EU89" s="66"/>
      <c r="EV89" s="66"/>
      <c r="EW89" s="66"/>
      <c r="EX89" s="66"/>
      <c r="EY89" s="66"/>
      <c r="EZ89" s="66"/>
      <c r="FA89" s="66"/>
      <c r="FB89" s="66"/>
      <c r="FC89" s="66"/>
      <c r="FD89" s="66"/>
      <c r="FE89" s="66"/>
      <c r="FF89" s="66"/>
      <c r="FG89" s="66"/>
      <c r="FH89" s="66"/>
      <c r="FI89" s="66"/>
      <c r="FJ89" s="66"/>
      <c r="FK89" s="66"/>
      <c r="FL89" s="66"/>
      <c r="FM89" s="66"/>
      <c r="FN89" s="66"/>
      <c r="FO89" s="66"/>
      <c r="FP89" s="66"/>
      <c r="FQ89" s="66"/>
      <c r="FR89" s="66"/>
      <c r="FS89" s="66"/>
      <c r="FT89" s="66"/>
      <c r="FU89" s="66"/>
      <c r="FV89" s="66"/>
      <c r="FW89" s="66"/>
      <c r="FX89" s="66"/>
      <c r="FY89" s="66"/>
      <c r="FZ89" s="66"/>
      <c r="GA89" s="66"/>
      <c r="GB89" s="66"/>
      <c r="GC89" s="66"/>
      <c r="GD89" s="66"/>
      <c r="GE89" s="66"/>
      <c r="GF89" s="66"/>
      <c r="GG89" s="66"/>
      <c r="GH89" s="66"/>
      <c r="GI89" s="66"/>
      <c r="GJ89" s="66"/>
      <c r="GK89" s="66"/>
      <c r="GL89" s="66"/>
      <c r="GM89" s="66"/>
      <c r="GN89" s="66"/>
      <c r="GO89" s="66"/>
      <c r="GP89" s="66"/>
      <c r="GQ89" s="66"/>
      <c r="GR89" s="66"/>
      <c r="GS89" s="66"/>
      <c r="GT89" s="66"/>
      <c r="GU89" s="66"/>
      <c r="GV89" s="66"/>
      <c r="GW89" s="66"/>
      <c r="GX89" s="66"/>
      <c r="GY89" s="66"/>
      <c r="GZ89" s="66"/>
      <c r="HA89" s="66"/>
      <c r="HB89" s="66"/>
      <c r="HC89" s="66"/>
      <c r="HD89" s="66"/>
      <c r="HE89" s="66"/>
      <c r="HF89" s="66"/>
      <c r="HG89" s="66"/>
      <c r="HH89" s="66"/>
      <c r="HI89" s="66"/>
      <c r="HJ89" s="66"/>
      <c r="HK89" s="66"/>
      <c r="HL89" s="66"/>
      <c r="HM89" s="66"/>
      <c r="HN89" s="66"/>
      <c r="HO89" s="66"/>
      <c r="HP89" s="66"/>
      <c r="HQ89" s="66"/>
      <c r="HR89" s="66"/>
      <c r="HS89" s="66"/>
      <c r="HT89" s="66"/>
      <c r="HU89" s="66"/>
      <c r="HV89" s="66"/>
      <c r="HW89" s="66"/>
      <c r="HX89" s="66"/>
      <c r="HY89" s="66"/>
      <c r="HZ89" s="66"/>
      <c r="IA89" s="66"/>
      <c r="IB89" s="66"/>
      <c r="IC89" s="66"/>
      <c r="ID89" s="66"/>
      <c r="IE89" s="66"/>
      <c r="IF89" s="66"/>
      <c r="IG89" s="66"/>
      <c r="IH89" s="66"/>
      <c r="II89" s="66"/>
      <c r="IJ89" s="66"/>
      <c r="IK89" s="66"/>
      <c r="IL89" s="66"/>
      <c r="IM89" s="66"/>
      <c r="IN89" s="66"/>
      <c r="IO89" s="66"/>
      <c r="IP89" s="66"/>
      <c r="IQ89" s="66"/>
      <c r="IR89" s="66"/>
    </row>
    <row r="90" customFormat="false" ht="22.5" hidden="false" customHeight="true" outlineLevel="0" collapsed="false">
      <c r="A90" s="66"/>
      <c r="B90" s="62" t="s">
        <v>276</v>
      </c>
      <c r="C90" s="63" t="s">
        <v>277</v>
      </c>
      <c r="D90" s="28" t="s">
        <v>103</v>
      </c>
      <c r="E90" s="64"/>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c r="BV90" s="66"/>
      <c r="BW90" s="66"/>
      <c r="BX90" s="66"/>
      <c r="BY90" s="66"/>
      <c r="BZ90" s="66"/>
      <c r="CA90" s="66"/>
      <c r="CB90" s="66"/>
      <c r="CC90" s="66"/>
      <c r="CD90" s="66"/>
      <c r="CE90" s="66"/>
      <c r="CF90" s="66"/>
      <c r="CG90" s="66"/>
      <c r="CH90" s="66"/>
      <c r="CI90" s="66"/>
      <c r="CJ90" s="66"/>
      <c r="CK90" s="66"/>
      <c r="CL90" s="66"/>
      <c r="CM90" s="66"/>
      <c r="CN90" s="66"/>
      <c r="CO90" s="66"/>
      <c r="CP90" s="66"/>
      <c r="CQ90" s="66"/>
      <c r="CR90" s="66"/>
      <c r="CS90" s="66"/>
      <c r="CT90" s="66"/>
      <c r="CU90" s="66"/>
      <c r="CV90" s="66"/>
      <c r="CW90" s="66"/>
      <c r="CX90" s="66"/>
      <c r="CY90" s="66"/>
      <c r="CZ90" s="66"/>
      <c r="DA90" s="66"/>
      <c r="DB90" s="66"/>
      <c r="DC90" s="66"/>
      <c r="DD90" s="66"/>
      <c r="DE90" s="66"/>
      <c r="DF90" s="66"/>
      <c r="DG90" s="66"/>
      <c r="DH90" s="66"/>
      <c r="DI90" s="66"/>
      <c r="DJ90" s="66"/>
      <c r="DK90" s="66"/>
      <c r="DL90" s="66"/>
      <c r="DM90" s="66"/>
      <c r="DN90" s="66"/>
      <c r="DO90" s="66"/>
      <c r="DP90" s="66"/>
      <c r="DQ90" s="66"/>
      <c r="DR90" s="66"/>
      <c r="DS90" s="66"/>
      <c r="DT90" s="66"/>
      <c r="DU90" s="66"/>
      <c r="DV90" s="66"/>
      <c r="DW90" s="66"/>
      <c r="DX90" s="66"/>
      <c r="DY90" s="66"/>
      <c r="DZ90" s="66"/>
      <c r="EA90" s="66"/>
      <c r="EB90" s="66"/>
      <c r="EC90" s="66"/>
      <c r="ED90" s="66"/>
      <c r="EE90" s="66"/>
      <c r="EF90" s="66"/>
      <c r="EG90" s="66"/>
      <c r="EH90" s="66"/>
      <c r="EI90" s="66"/>
      <c r="EJ90" s="66"/>
      <c r="EK90" s="66"/>
      <c r="EL90" s="66"/>
      <c r="EM90" s="66"/>
      <c r="EN90" s="66"/>
      <c r="EO90" s="66"/>
      <c r="EP90" s="66"/>
      <c r="EQ90" s="66"/>
      <c r="ER90" s="66"/>
      <c r="ES90" s="66"/>
      <c r="ET90" s="66"/>
      <c r="EU90" s="66"/>
      <c r="EV90" s="66"/>
      <c r="EW90" s="66"/>
      <c r="EX90" s="66"/>
      <c r="EY90" s="66"/>
      <c r="EZ90" s="66"/>
      <c r="FA90" s="66"/>
      <c r="FB90" s="66"/>
      <c r="FC90" s="66"/>
      <c r="FD90" s="66"/>
      <c r="FE90" s="66"/>
      <c r="FF90" s="66"/>
      <c r="FG90" s="66"/>
      <c r="FH90" s="66"/>
      <c r="FI90" s="66"/>
      <c r="FJ90" s="66"/>
      <c r="FK90" s="66"/>
      <c r="FL90" s="66"/>
      <c r="FM90" s="66"/>
      <c r="FN90" s="66"/>
      <c r="FO90" s="66"/>
      <c r="FP90" s="66"/>
      <c r="FQ90" s="66"/>
      <c r="FR90" s="66"/>
      <c r="FS90" s="66"/>
      <c r="FT90" s="66"/>
      <c r="FU90" s="66"/>
      <c r="FV90" s="66"/>
      <c r="FW90" s="66"/>
      <c r="FX90" s="66"/>
      <c r="FY90" s="66"/>
      <c r="FZ90" s="66"/>
      <c r="GA90" s="66"/>
      <c r="GB90" s="66"/>
      <c r="GC90" s="66"/>
      <c r="GD90" s="66"/>
      <c r="GE90" s="66"/>
      <c r="GF90" s="66"/>
      <c r="GG90" s="66"/>
      <c r="GH90" s="66"/>
      <c r="GI90" s="66"/>
      <c r="GJ90" s="66"/>
      <c r="GK90" s="66"/>
      <c r="GL90" s="66"/>
      <c r="GM90" s="66"/>
      <c r="GN90" s="66"/>
      <c r="GO90" s="66"/>
      <c r="GP90" s="66"/>
      <c r="GQ90" s="66"/>
      <c r="GR90" s="66"/>
      <c r="GS90" s="66"/>
      <c r="GT90" s="66"/>
      <c r="GU90" s="66"/>
      <c r="GV90" s="66"/>
      <c r="GW90" s="66"/>
      <c r="GX90" s="66"/>
      <c r="GY90" s="66"/>
      <c r="GZ90" s="66"/>
      <c r="HA90" s="66"/>
      <c r="HB90" s="66"/>
      <c r="HC90" s="66"/>
      <c r="HD90" s="66"/>
      <c r="HE90" s="66"/>
      <c r="HF90" s="66"/>
      <c r="HG90" s="66"/>
      <c r="HH90" s="66"/>
      <c r="HI90" s="66"/>
      <c r="HJ90" s="66"/>
      <c r="HK90" s="66"/>
      <c r="HL90" s="66"/>
      <c r="HM90" s="66"/>
      <c r="HN90" s="66"/>
      <c r="HO90" s="66"/>
      <c r="HP90" s="66"/>
      <c r="HQ90" s="66"/>
      <c r="HR90" s="66"/>
      <c r="HS90" s="66"/>
      <c r="HT90" s="66"/>
      <c r="HU90" s="66"/>
      <c r="HV90" s="66"/>
      <c r="HW90" s="66"/>
      <c r="HX90" s="66"/>
      <c r="HY90" s="66"/>
      <c r="HZ90" s="66"/>
      <c r="IA90" s="66"/>
      <c r="IB90" s="66"/>
      <c r="IC90" s="66"/>
      <c r="ID90" s="66"/>
      <c r="IE90" s="66"/>
      <c r="IF90" s="66"/>
      <c r="IG90" s="66"/>
      <c r="IH90" s="66"/>
      <c r="II90" s="66"/>
      <c r="IJ90" s="66"/>
      <c r="IK90" s="66"/>
      <c r="IL90" s="66"/>
      <c r="IM90" s="66"/>
      <c r="IN90" s="66"/>
      <c r="IO90" s="66"/>
      <c r="IP90" s="66"/>
      <c r="IQ90" s="66"/>
      <c r="IR90" s="66"/>
    </row>
    <row r="91" customFormat="false" ht="22.5" hidden="false" customHeight="true" outlineLevel="0" collapsed="false">
      <c r="A91" s="66"/>
      <c r="B91" s="62" t="s">
        <v>278</v>
      </c>
      <c r="C91" s="63" t="s">
        <v>279</v>
      </c>
      <c r="D91" s="28" t="s">
        <v>103</v>
      </c>
      <c r="E91" s="64"/>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c r="CD91" s="66"/>
      <c r="CE91" s="66"/>
      <c r="CF91" s="66"/>
      <c r="CG91" s="66"/>
      <c r="CH91" s="66"/>
      <c r="CI91" s="66"/>
      <c r="CJ91" s="66"/>
      <c r="CK91" s="66"/>
      <c r="CL91" s="66"/>
      <c r="CM91" s="66"/>
      <c r="CN91" s="66"/>
      <c r="CO91" s="66"/>
      <c r="CP91" s="66"/>
      <c r="CQ91" s="66"/>
      <c r="CR91" s="66"/>
      <c r="CS91" s="66"/>
      <c r="CT91" s="66"/>
      <c r="CU91" s="66"/>
      <c r="CV91" s="66"/>
      <c r="CW91" s="66"/>
      <c r="CX91" s="66"/>
      <c r="CY91" s="66"/>
      <c r="CZ91" s="66"/>
      <c r="DA91" s="66"/>
      <c r="DB91" s="66"/>
      <c r="DC91" s="66"/>
      <c r="DD91" s="66"/>
      <c r="DE91" s="66"/>
      <c r="DF91" s="66"/>
      <c r="DG91" s="66"/>
      <c r="DH91" s="66"/>
      <c r="DI91" s="66"/>
      <c r="DJ91" s="66"/>
      <c r="DK91" s="66"/>
      <c r="DL91" s="66"/>
      <c r="DM91" s="66"/>
      <c r="DN91" s="66"/>
      <c r="DO91" s="66"/>
      <c r="DP91" s="66"/>
      <c r="DQ91" s="66"/>
      <c r="DR91" s="66"/>
      <c r="DS91" s="66"/>
      <c r="DT91" s="66"/>
      <c r="DU91" s="66"/>
      <c r="DV91" s="66"/>
      <c r="DW91" s="66"/>
      <c r="DX91" s="66"/>
      <c r="DY91" s="66"/>
      <c r="DZ91" s="66"/>
      <c r="EA91" s="66"/>
      <c r="EB91" s="66"/>
      <c r="EC91" s="66"/>
      <c r="ED91" s="66"/>
      <c r="EE91" s="66"/>
      <c r="EF91" s="66"/>
      <c r="EG91" s="66"/>
      <c r="EH91" s="66"/>
      <c r="EI91" s="66"/>
      <c r="EJ91" s="66"/>
      <c r="EK91" s="66"/>
      <c r="EL91" s="66"/>
      <c r="EM91" s="66"/>
      <c r="EN91" s="66"/>
      <c r="EO91" s="66"/>
      <c r="EP91" s="66"/>
      <c r="EQ91" s="66"/>
      <c r="ER91" s="66"/>
      <c r="ES91" s="66"/>
      <c r="ET91" s="66"/>
      <c r="EU91" s="66"/>
      <c r="EV91" s="66"/>
      <c r="EW91" s="66"/>
      <c r="EX91" s="66"/>
      <c r="EY91" s="66"/>
      <c r="EZ91" s="66"/>
      <c r="FA91" s="66"/>
      <c r="FB91" s="66"/>
      <c r="FC91" s="66"/>
      <c r="FD91" s="66"/>
      <c r="FE91" s="66"/>
      <c r="FF91" s="66"/>
      <c r="FG91" s="66"/>
      <c r="FH91" s="66"/>
      <c r="FI91" s="66"/>
      <c r="FJ91" s="66"/>
      <c r="FK91" s="66"/>
      <c r="FL91" s="66"/>
      <c r="FM91" s="66"/>
      <c r="FN91" s="66"/>
      <c r="FO91" s="66"/>
      <c r="FP91" s="66"/>
      <c r="FQ91" s="66"/>
      <c r="FR91" s="66"/>
      <c r="FS91" s="66"/>
      <c r="FT91" s="66"/>
      <c r="FU91" s="66"/>
      <c r="FV91" s="66"/>
      <c r="FW91" s="66"/>
      <c r="FX91" s="66"/>
      <c r="FY91" s="66"/>
      <c r="FZ91" s="66"/>
      <c r="GA91" s="66"/>
      <c r="GB91" s="66"/>
      <c r="GC91" s="66"/>
      <c r="GD91" s="66"/>
      <c r="GE91" s="66"/>
      <c r="GF91" s="66"/>
      <c r="GG91" s="66"/>
      <c r="GH91" s="66"/>
      <c r="GI91" s="66"/>
      <c r="GJ91" s="66"/>
      <c r="GK91" s="66"/>
      <c r="GL91" s="66"/>
      <c r="GM91" s="66"/>
      <c r="GN91" s="66"/>
      <c r="GO91" s="66"/>
      <c r="GP91" s="66"/>
      <c r="GQ91" s="66"/>
      <c r="GR91" s="66"/>
      <c r="GS91" s="66"/>
      <c r="GT91" s="66"/>
      <c r="GU91" s="66"/>
      <c r="GV91" s="66"/>
      <c r="GW91" s="66"/>
      <c r="GX91" s="66"/>
      <c r="GY91" s="66"/>
      <c r="GZ91" s="66"/>
      <c r="HA91" s="66"/>
      <c r="HB91" s="66"/>
      <c r="HC91" s="66"/>
      <c r="HD91" s="66"/>
      <c r="HE91" s="66"/>
      <c r="HF91" s="66"/>
      <c r="HG91" s="66"/>
      <c r="HH91" s="66"/>
      <c r="HI91" s="66"/>
      <c r="HJ91" s="66"/>
      <c r="HK91" s="66"/>
      <c r="HL91" s="66"/>
      <c r="HM91" s="66"/>
      <c r="HN91" s="66"/>
      <c r="HO91" s="66"/>
      <c r="HP91" s="66"/>
      <c r="HQ91" s="66"/>
      <c r="HR91" s="66"/>
      <c r="HS91" s="66"/>
      <c r="HT91" s="66"/>
      <c r="HU91" s="66"/>
      <c r="HV91" s="66"/>
      <c r="HW91" s="66"/>
      <c r="HX91" s="66"/>
      <c r="HY91" s="66"/>
      <c r="HZ91" s="66"/>
      <c r="IA91" s="66"/>
      <c r="IB91" s="66"/>
      <c r="IC91" s="66"/>
      <c r="ID91" s="66"/>
      <c r="IE91" s="66"/>
      <c r="IF91" s="66"/>
      <c r="IG91" s="66"/>
      <c r="IH91" s="66"/>
      <c r="II91" s="66"/>
      <c r="IJ91" s="66"/>
      <c r="IK91" s="66"/>
      <c r="IL91" s="66"/>
      <c r="IM91" s="66"/>
      <c r="IN91" s="66"/>
      <c r="IO91" s="66"/>
      <c r="IP91" s="66"/>
      <c r="IQ91" s="66"/>
      <c r="IR91" s="66"/>
    </row>
    <row r="92" customFormat="false" ht="22.5" hidden="false" customHeight="true" outlineLevel="0" collapsed="false">
      <c r="A92" s="66"/>
      <c r="B92" s="62" t="s">
        <v>280</v>
      </c>
      <c r="C92" s="63" t="s">
        <v>281</v>
      </c>
      <c r="D92" s="28" t="s">
        <v>103</v>
      </c>
      <c r="E92" s="64"/>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c r="CD92" s="66"/>
      <c r="CE92" s="66"/>
      <c r="CF92" s="66"/>
      <c r="CG92" s="66"/>
      <c r="CH92" s="66"/>
      <c r="CI92" s="66"/>
      <c r="CJ92" s="66"/>
      <c r="CK92" s="66"/>
      <c r="CL92" s="66"/>
      <c r="CM92" s="66"/>
      <c r="CN92" s="66"/>
      <c r="CO92" s="66"/>
      <c r="CP92" s="66"/>
      <c r="CQ92" s="66"/>
      <c r="CR92" s="66"/>
      <c r="CS92" s="66"/>
      <c r="CT92" s="66"/>
      <c r="CU92" s="66"/>
      <c r="CV92" s="66"/>
      <c r="CW92" s="66"/>
      <c r="CX92" s="66"/>
      <c r="CY92" s="66"/>
      <c r="CZ92" s="66"/>
      <c r="DA92" s="66"/>
      <c r="DB92" s="66"/>
      <c r="DC92" s="66"/>
      <c r="DD92" s="66"/>
      <c r="DE92" s="66"/>
      <c r="DF92" s="66"/>
      <c r="DG92" s="66"/>
      <c r="DH92" s="66"/>
      <c r="DI92" s="66"/>
      <c r="DJ92" s="66"/>
      <c r="DK92" s="66"/>
      <c r="DL92" s="66"/>
      <c r="DM92" s="66"/>
      <c r="DN92" s="66"/>
      <c r="DO92" s="66"/>
      <c r="DP92" s="66"/>
      <c r="DQ92" s="66"/>
      <c r="DR92" s="66"/>
      <c r="DS92" s="66"/>
      <c r="DT92" s="66"/>
      <c r="DU92" s="66"/>
      <c r="DV92" s="66"/>
      <c r="DW92" s="66"/>
      <c r="DX92" s="66"/>
      <c r="DY92" s="66"/>
      <c r="DZ92" s="66"/>
      <c r="EA92" s="66"/>
      <c r="EB92" s="66"/>
      <c r="EC92" s="66"/>
      <c r="ED92" s="66"/>
      <c r="EE92" s="66"/>
      <c r="EF92" s="66"/>
      <c r="EG92" s="66"/>
      <c r="EH92" s="66"/>
      <c r="EI92" s="66"/>
      <c r="EJ92" s="66"/>
      <c r="EK92" s="66"/>
      <c r="EL92" s="66"/>
      <c r="EM92" s="66"/>
      <c r="EN92" s="66"/>
      <c r="EO92" s="66"/>
      <c r="EP92" s="66"/>
      <c r="EQ92" s="66"/>
      <c r="ER92" s="66"/>
      <c r="ES92" s="66"/>
      <c r="ET92" s="66"/>
      <c r="EU92" s="66"/>
      <c r="EV92" s="66"/>
      <c r="EW92" s="66"/>
      <c r="EX92" s="66"/>
      <c r="EY92" s="66"/>
      <c r="EZ92" s="66"/>
      <c r="FA92" s="66"/>
      <c r="FB92" s="66"/>
      <c r="FC92" s="66"/>
      <c r="FD92" s="66"/>
      <c r="FE92" s="66"/>
      <c r="FF92" s="66"/>
      <c r="FG92" s="66"/>
      <c r="FH92" s="66"/>
      <c r="FI92" s="66"/>
      <c r="FJ92" s="66"/>
      <c r="FK92" s="66"/>
      <c r="FL92" s="66"/>
      <c r="FM92" s="66"/>
      <c r="FN92" s="66"/>
      <c r="FO92" s="66"/>
      <c r="FP92" s="66"/>
      <c r="FQ92" s="66"/>
      <c r="FR92" s="66"/>
      <c r="FS92" s="66"/>
      <c r="FT92" s="66"/>
      <c r="FU92" s="66"/>
      <c r="FV92" s="66"/>
      <c r="FW92" s="66"/>
      <c r="FX92" s="66"/>
      <c r="FY92" s="66"/>
      <c r="FZ92" s="66"/>
      <c r="GA92" s="66"/>
      <c r="GB92" s="66"/>
      <c r="GC92" s="66"/>
      <c r="GD92" s="66"/>
      <c r="GE92" s="66"/>
      <c r="GF92" s="66"/>
      <c r="GG92" s="66"/>
      <c r="GH92" s="66"/>
      <c r="GI92" s="66"/>
      <c r="GJ92" s="66"/>
      <c r="GK92" s="66"/>
      <c r="GL92" s="66"/>
      <c r="GM92" s="66"/>
      <c r="GN92" s="66"/>
      <c r="GO92" s="66"/>
      <c r="GP92" s="66"/>
      <c r="GQ92" s="66"/>
      <c r="GR92" s="66"/>
      <c r="GS92" s="66"/>
      <c r="GT92" s="66"/>
      <c r="GU92" s="66"/>
      <c r="GV92" s="66"/>
      <c r="GW92" s="66"/>
      <c r="GX92" s="66"/>
      <c r="GY92" s="66"/>
      <c r="GZ92" s="66"/>
      <c r="HA92" s="66"/>
      <c r="HB92" s="66"/>
      <c r="HC92" s="66"/>
      <c r="HD92" s="66"/>
      <c r="HE92" s="66"/>
      <c r="HF92" s="66"/>
      <c r="HG92" s="66"/>
      <c r="HH92" s="66"/>
      <c r="HI92" s="66"/>
      <c r="HJ92" s="66"/>
      <c r="HK92" s="66"/>
      <c r="HL92" s="66"/>
      <c r="HM92" s="66"/>
      <c r="HN92" s="66"/>
      <c r="HO92" s="66"/>
      <c r="HP92" s="66"/>
      <c r="HQ92" s="66"/>
      <c r="HR92" s="66"/>
      <c r="HS92" s="66"/>
      <c r="HT92" s="66"/>
      <c r="HU92" s="66"/>
      <c r="HV92" s="66"/>
      <c r="HW92" s="66"/>
      <c r="HX92" s="66"/>
      <c r="HY92" s="66"/>
      <c r="HZ92" s="66"/>
      <c r="IA92" s="66"/>
      <c r="IB92" s="66"/>
      <c r="IC92" s="66"/>
      <c r="ID92" s="66"/>
      <c r="IE92" s="66"/>
      <c r="IF92" s="66"/>
      <c r="IG92" s="66"/>
      <c r="IH92" s="66"/>
      <c r="II92" s="66"/>
      <c r="IJ92" s="66"/>
      <c r="IK92" s="66"/>
      <c r="IL92" s="66"/>
      <c r="IM92" s="66"/>
      <c r="IN92" s="66"/>
      <c r="IO92" s="66"/>
      <c r="IP92" s="66"/>
      <c r="IQ92" s="66"/>
      <c r="IR92" s="66"/>
    </row>
    <row r="93" customFormat="false" ht="22.5" hidden="false" customHeight="true" outlineLevel="0" collapsed="false">
      <c r="A93" s="66"/>
      <c r="B93" s="62" t="s">
        <v>282</v>
      </c>
      <c r="C93" s="63" t="s">
        <v>283</v>
      </c>
      <c r="D93" s="28" t="s">
        <v>103</v>
      </c>
      <c r="E93" s="64"/>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c r="BV93" s="66"/>
      <c r="BW93" s="66"/>
      <c r="BX93" s="66"/>
      <c r="BY93" s="66"/>
      <c r="BZ93" s="66"/>
      <c r="CA93" s="66"/>
      <c r="CB93" s="66"/>
      <c r="CC93" s="66"/>
      <c r="CD93" s="66"/>
      <c r="CE93" s="66"/>
      <c r="CF93" s="66"/>
      <c r="CG93" s="66"/>
      <c r="CH93" s="66"/>
      <c r="CI93" s="66"/>
      <c r="CJ93" s="66"/>
      <c r="CK93" s="66"/>
      <c r="CL93" s="66"/>
      <c r="CM93" s="66"/>
      <c r="CN93" s="66"/>
      <c r="CO93" s="66"/>
      <c r="CP93" s="66"/>
      <c r="CQ93" s="66"/>
      <c r="CR93" s="66"/>
      <c r="CS93" s="66"/>
      <c r="CT93" s="66"/>
      <c r="CU93" s="66"/>
      <c r="CV93" s="66"/>
      <c r="CW93" s="66"/>
      <c r="CX93" s="66"/>
      <c r="CY93" s="66"/>
      <c r="CZ93" s="66"/>
      <c r="DA93" s="66"/>
      <c r="DB93" s="66"/>
      <c r="DC93" s="66"/>
      <c r="DD93" s="66"/>
      <c r="DE93" s="66"/>
      <c r="DF93" s="66"/>
      <c r="DG93" s="66"/>
      <c r="DH93" s="66"/>
      <c r="DI93" s="66"/>
      <c r="DJ93" s="66"/>
      <c r="DK93" s="66"/>
      <c r="DL93" s="66"/>
      <c r="DM93" s="66"/>
      <c r="DN93" s="66"/>
      <c r="DO93" s="66"/>
      <c r="DP93" s="66"/>
      <c r="DQ93" s="66"/>
      <c r="DR93" s="66"/>
      <c r="DS93" s="66"/>
      <c r="DT93" s="66"/>
      <c r="DU93" s="66"/>
      <c r="DV93" s="66"/>
      <c r="DW93" s="66"/>
      <c r="DX93" s="66"/>
      <c r="DY93" s="66"/>
      <c r="DZ93" s="66"/>
      <c r="EA93" s="66"/>
      <c r="EB93" s="66"/>
      <c r="EC93" s="66"/>
      <c r="ED93" s="66"/>
      <c r="EE93" s="66"/>
      <c r="EF93" s="66"/>
      <c r="EG93" s="66"/>
      <c r="EH93" s="66"/>
      <c r="EI93" s="66"/>
      <c r="EJ93" s="66"/>
      <c r="EK93" s="66"/>
      <c r="EL93" s="66"/>
      <c r="EM93" s="66"/>
      <c r="EN93" s="66"/>
      <c r="EO93" s="66"/>
      <c r="EP93" s="66"/>
      <c r="EQ93" s="66"/>
      <c r="ER93" s="66"/>
      <c r="ES93" s="66"/>
      <c r="ET93" s="66"/>
      <c r="EU93" s="66"/>
      <c r="EV93" s="66"/>
      <c r="EW93" s="66"/>
      <c r="EX93" s="66"/>
      <c r="EY93" s="66"/>
      <c r="EZ93" s="66"/>
      <c r="FA93" s="66"/>
      <c r="FB93" s="66"/>
      <c r="FC93" s="66"/>
      <c r="FD93" s="66"/>
      <c r="FE93" s="66"/>
      <c r="FF93" s="66"/>
      <c r="FG93" s="66"/>
      <c r="FH93" s="66"/>
      <c r="FI93" s="66"/>
      <c r="FJ93" s="66"/>
      <c r="FK93" s="66"/>
      <c r="FL93" s="66"/>
      <c r="FM93" s="66"/>
      <c r="FN93" s="66"/>
      <c r="FO93" s="66"/>
      <c r="FP93" s="66"/>
      <c r="FQ93" s="66"/>
      <c r="FR93" s="66"/>
      <c r="FS93" s="66"/>
      <c r="FT93" s="66"/>
      <c r="FU93" s="66"/>
      <c r="FV93" s="66"/>
      <c r="FW93" s="66"/>
      <c r="FX93" s="66"/>
      <c r="FY93" s="66"/>
      <c r="FZ93" s="66"/>
      <c r="GA93" s="66"/>
      <c r="GB93" s="66"/>
      <c r="GC93" s="66"/>
      <c r="GD93" s="66"/>
      <c r="GE93" s="66"/>
      <c r="GF93" s="66"/>
      <c r="GG93" s="66"/>
      <c r="GH93" s="66"/>
      <c r="GI93" s="66"/>
      <c r="GJ93" s="66"/>
      <c r="GK93" s="66"/>
      <c r="GL93" s="66"/>
      <c r="GM93" s="66"/>
      <c r="GN93" s="66"/>
      <c r="GO93" s="66"/>
      <c r="GP93" s="66"/>
      <c r="GQ93" s="66"/>
      <c r="GR93" s="66"/>
      <c r="GS93" s="66"/>
      <c r="GT93" s="66"/>
      <c r="GU93" s="66"/>
      <c r="GV93" s="66"/>
      <c r="GW93" s="66"/>
      <c r="GX93" s="66"/>
      <c r="GY93" s="66"/>
      <c r="GZ93" s="66"/>
      <c r="HA93" s="66"/>
      <c r="HB93" s="66"/>
      <c r="HC93" s="66"/>
      <c r="HD93" s="66"/>
      <c r="HE93" s="66"/>
      <c r="HF93" s="66"/>
      <c r="HG93" s="66"/>
      <c r="HH93" s="66"/>
      <c r="HI93" s="66"/>
      <c r="HJ93" s="66"/>
      <c r="HK93" s="66"/>
      <c r="HL93" s="66"/>
      <c r="HM93" s="66"/>
      <c r="HN93" s="66"/>
      <c r="HO93" s="66"/>
      <c r="HP93" s="66"/>
      <c r="HQ93" s="66"/>
      <c r="HR93" s="66"/>
      <c r="HS93" s="66"/>
      <c r="HT93" s="66"/>
      <c r="HU93" s="66"/>
      <c r="HV93" s="66"/>
      <c r="HW93" s="66"/>
      <c r="HX93" s="66"/>
      <c r="HY93" s="66"/>
      <c r="HZ93" s="66"/>
      <c r="IA93" s="66"/>
      <c r="IB93" s="66"/>
      <c r="IC93" s="66"/>
      <c r="ID93" s="66"/>
      <c r="IE93" s="66"/>
      <c r="IF93" s="66"/>
      <c r="IG93" s="66"/>
      <c r="IH93" s="66"/>
      <c r="II93" s="66"/>
      <c r="IJ93" s="66"/>
      <c r="IK93" s="66"/>
      <c r="IL93" s="66"/>
      <c r="IM93" s="66"/>
      <c r="IN93" s="66"/>
      <c r="IO93" s="66"/>
      <c r="IP93" s="66"/>
      <c r="IQ93" s="66"/>
      <c r="IR93" s="66"/>
    </row>
    <row r="94" customFormat="false" ht="22.5" hidden="false" customHeight="true" outlineLevel="0" collapsed="false">
      <c r="A94" s="66"/>
      <c r="B94" s="62" t="s">
        <v>284</v>
      </c>
      <c r="C94" s="63" t="s">
        <v>285</v>
      </c>
      <c r="D94" s="28" t="s">
        <v>103</v>
      </c>
      <c r="E94" s="64"/>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c r="CD94" s="66"/>
      <c r="CE94" s="66"/>
      <c r="CF94" s="66"/>
      <c r="CG94" s="66"/>
      <c r="CH94" s="66"/>
      <c r="CI94" s="66"/>
      <c r="CJ94" s="66"/>
      <c r="CK94" s="66"/>
      <c r="CL94" s="66"/>
      <c r="CM94" s="66"/>
      <c r="CN94" s="66"/>
      <c r="CO94" s="66"/>
      <c r="CP94" s="66"/>
      <c r="CQ94" s="66"/>
      <c r="CR94" s="66"/>
      <c r="CS94" s="66"/>
      <c r="CT94" s="66"/>
      <c r="CU94" s="66"/>
      <c r="CV94" s="66"/>
      <c r="CW94" s="66"/>
      <c r="CX94" s="66"/>
      <c r="CY94" s="66"/>
      <c r="CZ94" s="66"/>
      <c r="DA94" s="66"/>
      <c r="DB94" s="66"/>
      <c r="DC94" s="66"/>
      <c r="DD94" s="66"/>
      <c r="DE94" s="66"/>
      <c r="DF94" s="66"/>
      <c r="DG94" s="66"/>
      <c r="DH94" s="66"/>
      <c r="DI94" s="66"/>
      <c r="DJ94" s="66"/>
      <c r="DK94" s="66"/>
      <c r="DL94" s="66"/>
      <c r="DM94" s="66"/>
      <c r="DN94" s="66"/>
      <c r="DO94" s="66"/>
      <c r="DP94" s="66"/>
      <c r="DQ94" s="66"/>
      <c r="DR94" s="66"/>
      <c r="DS94" s="66"/>
      <c r="DT94" s="66"/>
      <c r="DU94" s="66"/>
      <c r="DV94" s="66"/>
      <c r="DW94" s="66"/>
      <c r="DX94" s="66"/>
      <c r="DY94" s="66"/>
      <c r="DZ94" s="66"/>
      <c r="EA94" s="66"/>
      <c r="EB94" s="66"/>
      <c r="EC94" s="66"/>
      <c r="ED94" s="66"/>
      <c r="EE94" s="66"/>
      <c r="EF94" s="66"/>
      <c r="EG94" s="66"/>
      <c r="EH94" s="66"/>
      <c r="EI94" s="66"/>
      <c r="EJ94" s="66"/>
      <c r="EK94" s="66"/>
      <c r="EL94" s="66"/>
      <c r="EM94" s="66"/>
      <c r="EN94" s="66"/>
      <c r="EO94" s="66"/>
      <c r="EP94" s="66"/>
      <c r="EQ94" s="66"/>
      <c r="ER94" s="66"/>
      <c r="ES94" s="66"/>
      <c r="ET94" s="66"/>
      <c r="EU94" s="66"/>
      <c r="EV94" s="66"/>
      <c r="EW94" s="66"/>
      <c r="EX94" s="66"/>
      <c r="EY94" s="66"/>
      <c r="EZ94" s="66"/>
      <c r="FA94" s="66"/>
      <c r="FB94" s="66"/>
      <c r="FC94" s="66"/>
      <c r="FD94" s="66"/>
      <c r="FE94" s="66"/>
      <c r="FF94" s="66"/>
      <c r="FG94" s="66"/>
      <c r="FH94" s="66"/>
      <c r="FI94" s="66"/>
      <c r="FJ94" s="66"/>
      <c r="FK94" s="66"/>
      <c r="FL94" s="66"/>
      <c r="FM94" s="66"/>
      <c r="FN94" s="66"/>
      <c r="FO94" s="66"/>
      <c r="FP94" s="66"/>
      <c r="FQ94" s="66"/>
      <c r="FR94" s="66"/>
      <c r="FS94" s="66"/>
      <c r="FT94" s="66"/>
      <c r="FU94" s="66"/>
      <c r="FV94" s="66"/>
      <c r="FW94" s="66"/>
      <c r="FX94" s="66"/>
      <c r="FY94" s="66"/>
      <c r="FZ94" s="66"/>
      <c r="GA94" s="66"/>
      <c r="GB94" s="66"/>
      <c r="GC94" s="66"/>
      <c r="GD94" s="66"/>
      <c r="GE94" s="66"/>
      <c r="GF94" s="66"/>
      <c r="GG94" s="66"/>
      <c r="GH94" s="66"/>
      <c r="GI94" s="66"/>
      <c r="GJ94" s="66"/>
      <c r="GK94" s="66"/>
      <c r="GL94" s="66"/>
      <c r="GM94" s="66"/>
      <c r="GN94" s="66"/>
      <c r="GO94" s="66"/>
      <c r="GP94" s="66"/>
      <c r="GQ94" s="66"/>
      <c r="GR94" s="66"/>
      <c r="GS94" s="66"/>
      <c r="GT94" s="66"/>
      <c r="GU94" s="66"/>
      <c r="GV94" s="66"/>
      <c r="GW94" s="66"/>
      <c r="GX94" s="66"/>
      <c r="GY94" s="66"/>
      <c r="GZ94" s="66"/>
      <c r="HA94" s="66"/>
      <c r="HB94" s="66"/>
      <c r="HC94" s="66"/>
      <c r="HD94" s="66"/>
      <c r="HE94" s="66"/>
      <c r="HF94" s="66"/>
      <c r="HG94" s="66"/>
      <c r="HH94" s="66"/>
      <c r="HI94" s="66"/>
      <c r="HJ94" s="66"/>
      <c r="HK94" s="66"/>
      <c r="HL94" s="66"/>
      <c r="HM94" s="66"/>
      <c r="HN94" s="66"/>
      <c r="HO94" s="66"/>
      <c r="HP94" s="66"/>
      <c r="HQ94" s="66"/>
      <c r="HR94" s="66"/>
      <c r="HS94" s="66"/>
      <c r="HT94" s="66"/>
      <c r="HU94" s="66"/>
      <c r="HV94" s="66"/>
      <c r="HW94" s="66"/>
      <c r="HX94" s="66"/>
      <c r="HY94" s="66"/>
      <c r="HZ94" s="66"/>
      <c r="IA94" s="66"/>
      <c r="IB94" s="66"/>
      <c r="IC94" s="66"/>
      <c r="ID94" s="66"/>
      <c r="IE94" s="66"/>
      <c r="IF94" s="66"/>
      <c r="IG94" s="66"/>
      <c r="IH94" s="66"/>
      <c r="II94" s="66"/>
      <c r="IJ94" s="66"/>
      <c r="IK94" s="66"/>
      <c r="IL94" s="66"/>
      <c r="IM94" s="66"/>
      <c r="IN94" s="66"/>
      <c r="IO94" s="66"/>
      <c r="IP94" s="66"/>
      <c r="IQ94" s="66"/>
      <c r="IR94" s="66"/>
    </row>
    <row r="95" customFormat="false" ht="22.5" hidden="false" customHeight="true" outlineLevel="0" collapsed="false">
      <c r="A95" s="66"/>
      <c r="B95" s="62" t="s">
        <v>286</v>
      </c>
      <c r="C95" s="63" t="s">
        <v>287</v>
      </c>
      <c r="D95" s="28" t="s">
        <v>103</v>
      </c>
      <c r="E95" s="64"/>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c r="CD95" s="66"/>
      <c r="CE95" s="66"/>
      <c r="CF95" s="66"/>
      <c r="CG95" s="66"/>
      <c r="CH95" s="66"/>
      <c r="CI95" s="66"/>
      <c r="CJ95" s="66"/>
      <c r="CK95" s="66"/>
      <c r="CL95" s="66"/>
      <c r="CM95" s="66"/>
      <c r="CN95" s="66"/>
      <c r="CO95" s="66"/>
      <c r="CP95" s="66"/>
      <c r="CQ95" s="66"/>
      <c r="CR95" s="66"/>
      <c r="CS95" s="66"/>
      <c r="CT95" s="66"/>
      <c r="CU95" s="66"/>
      <c r="CV95" s="66"/>
      <c r="CW95" s="66"/>
      <c r="CX95" s="66"/>
      <c r="CY95" s="66"/>
      <c r="CZ95" s="66"/>
      <c r="DA95" s="66"/>
      <c r="DB95" s="66"/>
      <c r="DC95" s="66"/>
      <c r="DD95" s="66"/>
      <c r="DE95" s="66"/>
      <c r="DF95" s="66"/>
      <c r="DG95" s="66"/>
      <c r="DH95" s="66"/>
      <c r="DI95" s="66"/>
      <c r="DJ95" s="66"/>
      <c r="DK95" s="66"/>
      <c r="DL95" s="66"/>
      <c r="DM95" s="66"/>
      <c r="DN95" s="66"/>
      <c r="DO95" s="66"/>
      <c r="DP95" s="66"/>
      <c r="DQ95" s="66"/>
      <c r="DR95" s="66"/>
      <c r="DS95" s="66"/>
      <c r="DT95" s="66"/>
      <c r="DU95" s="66"/>
      <c r="DV95" s="66"/>
      <c r="DW95" s="66"/>
      <c r="DX95" s="66"/>
      <c r="DY95" s="66"/>
      <c r="DZ95" s="66"/>
      <c r="EA95" s="66"/>
      <c r="EB95" s="66"/>
      <c r="EC95" s="66"/>
      <c r="ED95" s="66"/>
      <c r="EE95" s="66"/>
      <c r="EF95" s="66"/>
      <c r="EG95" s="66"/>
      <c r="EH95" s="66"/>
      <c r="EI95" s="66"/>
      <c r="EJ95" s="66"/>
      <c r="EK95" s="66"/>
      <c r="EL95" s="66"/>
      <c r="EM95" s="66"/>
      <c r="EN95" s="66"/>
      <c r="EO95" s="66"/>
      <c r="EP95" s="66"/>
      <c r="EQ95" s="66"/>
      <c r="ER95" s="66"/>
      <c r="ES95" s="66"/>
      <c r="ET95" s="66"/>
      <c r="EU95" s="66"/>
      <c r="EV95" s="66"/>
      <c r="EW95" s="66"/>
      <c r="EX95" s="66"/>
      <c r="EY95" s="66"/>
      <c r="EZ95" s="66"/>
      <c r="FA95" s="66"/>
      <c r="FB95" s="66"/>
      <c r="FC95" s="66"/>
      <c r="FD95" s="66"/>
      <c r="FE95" s="66"/>
      <c r="FF95" s="66"/>
      <c r="FG95" s="66"/>
      <c r="FH95" s="66"/>
      <c r="FI95" s="66"/>
      <c r="FJ95" s="66"/>
      <c r="FK95" s="66"/>
      <c r="FL95" s="66"/>
      <c r="FM95" s="66"/>
      <c r="FN95" s="66"/>
      <c r="FO95" s="66"/>
      <c r="FP95" s="66"/>
      <c r="FQ95" s="66"/>
      <c r="FR95" s="66"/>
      <c r="FS95" s="66"/>
      <c r="FT95" s="66"/>
      <c r="FU95" s="66"/>
      <c r="FV95" s="66"/>
      <c r="FW95" s="66"/>
      <c r="FX95" s="66"/>
      <c r="FY95" s="66"/>
      <c r="FZ95" s="66"/>
      <c r="GA95" s="66"/>
      <c r="GB95" s="66"/>
      <c r="GC95" s="66"/>
      <c r="GD95" s="66"/>
      <c r="GE95" s="66"/>
      <c r="GF95" s="66"/>
      <c r="GG95" s="66"/>
      <c r="GH95" s="66"/>
      <c r="GI95" s="66"/>
      <c r="GJ95" s="66"/>
      <c r="GK95" s="66"/>
      <c r="GL95" s="66"/>
      <c r="GM95" s="66"/>
      <c r="GN95" s="66"/>
      <c r="GO95" s="66"/>
      <c r="GP95" s="66"/>
      <c r="GQ95" s="66"/>
      <c r="GR95" s="66"/>
      <c r="GS95" s="66"/>
      <c r="GT95" s="66"/>
      <c r="GU95" s="66"/>
      <c r="GV95" s="66"/>
      <c r="GW95" s="66"/>
      <c r="GX95" s="66"/>
      <c r="GY95" s="66"/>
      <c r="GZ95" s="66"/>
      <c r="HA95" s="66"/>
      <c r="HB95" s="66"/>
      <c r="HC95" s="66"/>
      <c r="HD95" s="66"/>
      <c r="HE95" s="66"/>
      <c r="HF95" s="66"/>
      <c r="HG95" s="66"/>
      <c r="HH95" s="66"/>
      <c r="HI95" s="66"/>
      <c r="HJ95" s="66"/>
      <c r="HK95" s="66"/>
      <c r="HL95" s="66"/>
      <c r="HM95" s="66"/>
      <c r="HN95" s="66"/>
      <c r="HO95" s="66"/>
      <c r="HP95" s="66"/>
      <c r="HQ95" s="66"/>
      <c r="HR95" s="66"/>
      <c r="HS95" s="66"/>
      <c r="HT95" s="66"/>
      <c r="HU95" s="66"/>
      <c r="HV95" s="66"/>
      <c r="HW95" s="66"/>
      <c r="HX95" s="66"/>
      <c r="HY95" s="66"/>
      <c r="HZ95" s="66"/>
      <c r="IA95" s="66"/>
      <c r="IB95" s="66"/>
      <c r="IC95" s="66"/>
      <c r="ID95" s="66"/>
      <c r="IE95" s="66"/>
      <c r="IF95" s="66"/>
      <c r="IG95" s="66"/>
      <c r="IH95" s="66"/>
      <c r="II95" s="66"/>
      <c r="IJ95" s="66"/>
      <c r="IK95" s="66"/>
      <c r="IL95" s="66"/>
      <c r="IM95" s="66"/>
      <c r="IN95" s="66"/>
      <c r="IO95" s="66"/>
      <c r="IP95" s="66"/>
      <c r="IQ95" s="66"/>
      <c r="IR95" s="66"/>
    </row>
    <row r="96" customFormat="false" ht="22.5" hidden="false" customHeight="true" outlineLevel="0" collapsed="false">
      <c r="A96" s="66"/>
      <c r="B96" s="62" t="s">
        <v>288</v>
      </c>
      <c r="C96" s="63" t="s">
        <v>289</v>
      </c>
      <c r="D96" s="28" t="s">
        <v>103</v>
      </c>
      <c r="E96" s="64"/>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X96" s="66"/>
      <c r="BY96" s="66"/>
      <c r="BZ96" s="66"/>
      <c r="CA96" s="66"/>
      <c r="CB96" s="66"/>
      <c r="CC96" s="66"/>
      <c r="CD96" s="66"/>
      <c r="CE96" s="66"/>
      <c r="CF96" s="66"/>
      <c r="CG96" s="66"/>
      <c r="CH96" s="66"/>
      <c r="CI96" s="66"/>
      <c r="CJ96" s="66"/>
      <c r="CK96" s="66"/>
      <c r="CL96" s="66"/>
      <c r="CM96" s="66"/>
      <c r="CN96" s="66"/>
      <c r="CO96" s="66"/>
      <c r="CP96" s="66"/>
      <c r="CQ96" s="66"/>
      <c r="CR96" s="66"/>
      <c r="CS96" s="66"/>
      <c r="CT96" s="66"/>
      <c r="CU96" s="66"/>
      <c r="CV96" s="66"/>
      <c r="CW96" s="66"/>
      <c r="CX96" s="66"/>
      <c r="CY96" s="66"/>
      <c r="CZ96" s="66"/>
      <c r="DA96" s="66"/>
      <c r="DB96" s="66"/>
      <c r="DC96" s="66"/>
      <c r="DD96" s="66"/>
      <c r="DE96" s="66"/>
      <c r="DF96" s="66"/>
      <c r="DG96" s="66"/>
      <c r="DH96" s="66"/>
      <c r="DI96" s="66"/>
      <c r="DJ96" s="66"/>
      <c r="DK96" s="66"/>
      <c r="DL96" s="66"/>
      <c r="DM96" s="66"/>
      <c r="DN96" s="66"/>
      <c r="DO96" s="66"/>
      <c r="DP96" s="66"/>
      <c r="DQ96" s="66"/>
      <c r="DR96" s="66"/>
      <c r="DS96" s="66"/>
      <c r="DT96" s="66"/>
      <c r="DU96" s="66"/>
      <c r="DV96" s="66"/>
      <c r="DW96" s="66"/>
      <c r="DX96" s="66"/>
      <c r="DY96" s="66"/>
      <c r="DZ96" s="66"/>
      <c r="EA96" s="66"/>
      <c r="EB96" s="66"/>
      <c r="EC96" s="66"/>
      <c r="ED96" s="66"/>
      <c r="EE96" s="66"/>
      <c r="EF96" s="66"/>
      <c r="EG96" s="66"/>
      <c r="EH96" s="66"/>
      <c r="EI96" s="66"/>
      <c r="EJ96" s="66"/>
      <c r="EK96" s="66"/>
      <c r="EL96" s="66"/>
      <c r="EM96" s="66"/>
      <c r="EN96" s="66"/>
      <c r="EO96" s="66"/>
      <c r="EP96" s="66"/>
      <c r="EQ96" s="66"/>
      <c r="ER96" s="66"/>
      <c r="ES96" s="66"/>
      <c r="ET96" s="66"/>
      <c r="EU96" s="66"/>
      <c r="EV96" s="66"/>
      <c r="EW96" s="66"/>
      <c r="EX96" s="66"/>
      <c r="EY96" s="66"/>
      <c r="EZ96" s="66"/>
      <c r="FA96" s="66"/>
      <c r="FB96" s="66"/>
      <c r="FC96" s="66"/>
      <c r="FD96" s="66"/>
      <c r="FE96" s="66"/>
      <c r="FF96" s="66"/>
      <c r="FG96" s="66"/>
      <c r="FH96" s="66"/>
      <c r="FI96" s="66"/>
      <c r="FJ96" s="66"/>
      <c r="FK96" s="66"/>
      <c r="FL96" s="66"/>
      <c r="FM96" s="66"/>
      <c r="FN96" s="66"/>
      <c r="FO96" s="66"/>
      <c r="FP96" s="66"/>
      <c r="FQ96" s="66"/>
      <c r="FR96" s="66"/>
      <c r="FS96" s="66"/>
      <c r="FT96" s="66"/>
      <c r="FU96" s="66"/>
      <c r="FV96" s="66"/>
      <c r="FW96" s="66"/>
      <c r="FX96" s="66"/>
      <c r="FY96" s="66"/>
      <c r="FZ96" s="66"/>
      <c r="GA96" s="66"/>
      <c r="GB96" s="66"/>
      <c r="GC96" s="66"/>
      <c r="GD96" s="66"/>
      <c r="GE96" s="66"/>
      <c r="GF96" s="66"/>
      <c r="GG96" s="66"/>
      <c r="GH96" s="66"/>
      <c r="GI96" s="66"/>
      <c r="GJ96" s="66"/>
      <c r="GK96" s="66"/>
      <c r="GL96" s="66"/>
      <c r="GM96" s="66"/>
      <c r="GN96" s="66"/>
      <c r="GO96" s="66"/>
      <c r="GP96" s="66"/>
      <c r="GQ96" s="66"/>
      <c r="GR96" s="66"/>
      <c r="GS96" s="66"/>
      <c r="GT96" s="66"/>
      <c r="GU96" s="66"/>
      <c r="GV96" s="66"/>
      <c r="GW96" s="66"/>
      <c r="GX96" s="66"/>
      <c r="GY96" s="66"/>
      <c r="GZ96" s="66"/>
      <c r="HA96" s="66"/>
      <c r="HB96" s="66"/>
      <c r="HC96" s="66"/>
      <c r="HD96" s="66"/>
      <c r="HE96" s="66"/>
      <c r="HF96" s="66"/>
      <c r="HG96" s="66"/>
      <c r="HH96" s="66"/>
      <c r="HI96" s="66"/>
      <c r="HJ96" s="66"/>
      <c r="HK96" s="66"/>
      <c r="HL96" s="66"/>
      <c r="HM96" s="66"/>
      <c r="HN96" s="66"/>
      <c r="HO96" s="66"/>
      <c r="HP96" s="66"/>
      <c r="HQ96" s="66"/>
      <c r="HR96" s="66"/>
      <c r="HS96" s="66"/>
      <c r="HT96" s="66"/>
      <c r="HU96" s="66"/>
      <c r="HV96" s="66"/>
      <c r="HW96" s="66"/>
      <c r="HX96" s="66"/>
      <c r="HY96" s="66"/>
      <c r="HZ96" s="66"/>
      <c r="IA96" s="66"/>
      <c r="IB96" s="66"/>
      <c r="IC96" s="66"/>
      <c r="ID96" s="66"/>
      <c r="IE96" s="66"/>
      <c r="IF96" s="66"/>
      <c r="IG96" s="66"/>
      <c r="IH96" s="66"/>
      <c r="II96" s="66"/>
      <c r="IJ96" s="66"/>
      <c r="IK96" s="66"/>
      <c r="IL96" s="66"/>
      <c r="IM96" s="66"/>
      <c r="IN96" s="66"/>
      <c r="IO96" s="66"/>
      <c r="IP96" s="66"/>
      <c r="IQ96" s="66"/>
      <c r="IR96" s="66"/>
    </row>
    <row r="97" customFormat="false" ht="22.5" hidden="false" customHeight="true" outlineLevel="0" collapsed="false">
      <c r="A97" s="66"/>
      <c r="B97" s="62" t="s">
        <v>290</v>
      </c>
      <c r="C97" s="63" t="s">
        <v>291</v>
      </c>
      <c r="D97" s="28" t="s">
        <v>103</v>
      </c>
      <c r="E97" s="64"/>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6"/>
      <c r="BZ97" s="66"/>
      <c r="CA97" s="66"/>
      <c r="CB97" s="66"/>
      <c r="CC97" s="66"/>
      <c r="CD97" s="66"/>
      <c r="CE97" s="66"/>
      <c r="CF97" s="66"/>
      <c r="CG97" s="66"/>
      <c r="CH97" s="66"/>
      <c r="CI97" s="66"/>
      <c r="CJ97" s="66"/>
      <c r="CK97" s="66"/>
      <c r="CL97" s="66"/>
      <c r="CM97" s="66"/>
      <c r="CN97" s="66"/>
      <c r="CO97" s="66"/>
      <c r="CP97" s="66"/>
      <c r="CQ97" s="66"/>
      <c r="CR97" s="66"/>
      <c r="CS97" s="66"/>
      <c r="CT97" s="66"/>
      <c r="CU97" s="66"/>
      <c r="CV97" s="66"/>
      <c r="CW97" s="66"/>
      <c r="CX97" s="66"/>
      <c r="CY97" s="66"/>
      <c r="CZ97" s="66"/>
      <c r="DA97" s="66"/>
      <c r="DB97" s="66"/>
      <c r="DC97" s="66"/>
      <c r="DD97" s="66"/>
      <c r="DE97" s="66"/>
      <c r="DF97" s="66"/>
      <c r="DG97" s="66"/>
      <c r="DH97" s="66"/>
      <c r="DI97" s="66"/>
      <c r="DJ97" s="66"/>
      <c r="DK97" s="66"/>
      <c r="DL97" s="66"/>
      <c r="DM97" s="66"/>
      <c r="DN97" s="66"/>
      <c r="DO97" s="66"/>
      <c r="DP97" s="66"/>
      <c r="DQ97" s="66"/>
      <c r="DR97" s="66"/>
      <c r="DS97" s="66"/>
      <c r="DT97" s="66"/>
      <c r="DU97" s="66"/>
      <c r="DV97" s="66"/>
      <c r="DW97" s="66"/>
      <c r="DX97" s="66"/>
      <c r="DY97" s="66"/>
      <c r="DZ97" s="66"/>
      <c r="EA97" s="66"/>
      <c r="EB97" s="66"/>
      <c r="EC97" s="66"/>
      <c r="ED97" s="66"/>
      <c r="EE97" s="66"/>
      <c r="EF97" s="66"/>
      <c r="EG97" s="66"/>
      <c r="EH97" s="66"/>
      <c r="EI97" s="66"/>
      <c r="EJ97" s="66"/>
      <c r="EK97" s="66"/>
      <c r="EL97" s="66"/>
      <c r="EM97" s="66"/>
      <c r="EN97" s="66"/>
      <c r="EO97" s="66"/>
      <c r="EP97" s="66"/>
      <c r="EQ97" s="66"/>
      <c r="ER97" s="66"/>
      <c r="ES97" s="66"/>
      <c r="ET97" s="66"/>
      <c r="EU97" s="66"/>
      <c r="EV97" s="66"/>
      <c r="EW97" s="66"/>
      <c r="EX97" s="66"/>
      <c r="EY97" s="66"/>
      <c r="EZ97" s="66"/>
      <c r="FA97" s="66"/>
      <c r="FB97" s="66"/>
      <c r="FC97" s="66"/>
      <c r="FD97" s="66"/>
      <c r="FE97" s="66"/>
      <c r="FF97" s="66"/>
      <c r="FG97" s="66"/>
      <c r="FH97" s="66"/>
      <c r="FI97" s="66"/>
      <c r="FJ97" s="66"/>
      <c r="FK97" s="66"/>
      <c r="FL97" s="66"/>
      <c r="FM97" s="66"/>
      <c r="FN97" s="66"/>
      <c r="FO97" s="66"/>
      <c r="FP97" s="66"/>
      <c r="FQ97" s="66"/>
      <c r="FR97" s="66"/>
      <c r="FS97" s="66"/>
      <c r="FT97" s="66"/>
      <c r="FU97" s="66"/>
      <c r="FV97" s="66"/>
      <c r="FW97" s="66"/>
      <c r="FX97" s="66"/>
      <c r="FY97" s="66"/>
      <c r="FZ97" s="66"/>
      <c r="GA97" s="66"/>
      <c r="GB97" s="66"/>
      <c r="GC97" s="66"/>
      <c r="GD97" s="66"/>
      <c r="GE97" s="66"/>
      <c r="GF97" s="66"/>
      <c r="GG97" s="66"/>
      <c r="GH97" s="66"/>
      <c r="GI97" s="66"/>
      <c r="GJ97" s="66"/>
      <c r="GK97" s="66"/>
      <c r="GL97" s="66"/>
      <c r="GM97" s="66"/>
      <c r="GN97" s="66"/>
      <c r="GO97" s="66"/>
      <c r="GP97" s="66"/>
      <c r="GQ97" s="66"/>
      <c r="GR97" s="66"/>
      <c r="GS97" s="66"/>
      <c r="GT97" s="66"/>
      <c r="GU97" s="66"/>
      <c r="GV97" s="66"/>
      <c r="GW97" s="66"/>
      <c r="GX97" s="66"/>
      <c r="GY97" s="66"/>
      <c r="GZ97" s="66"/>
      <c r="HA97" s="66"/>
      <c r="HB97" s="66"/>
      <c r="HC97" s="66"/>
      <c r="HD97" s="66"/>
      <c r="HE97" s="66"/>
      <c r="HF97" s="66"/>
      <c r="HG97" s="66"/>
      <c r="HH97" s="66"/>
      <c r="HI97" s="66"/>
      <c r="HJ97" s="66"/>
      <c r="HK97" s="66"/>
      <c r="HL97" s="66"/>
      <c r="HM97" s="66"/>
      <c r="HN97" s="66"/>
      <c r="HO97" s="66"/>
      <c r="HP97" s="66"/>
      <c r="HQ97" s="66"/>
      <c r="HR97" s="66"/>
      <c r="HS97" s="66"/>
      <c r="HT97" s="66"/>
      <c r="HU97" s="66"/>
      <c r="HV97" s="66"/>
      <c r="HW97" s="66"/>
      <c r="HX97" s="66"/>
      <c r="HY97" s="66"/>
      <c r="HZ97" s="66"/>
      <c r="IA97" s="66"/>
      <c r="IB97" s="66"/>
      <c r="IC97" s="66"/>
      <c r="ID97" s="66"/>
      <c r="IE97" s="66"/>
      <c r="IF97" s="66"/>
      <c r="IG97" s="66"/>
      <c r="IH97" s="66"/>
      <c r="II97" s="66"/>
      <c r="IJ97" s="66"/>
      <c r="IK97" s="66"/>
      <c r="IL97" s="66"/>
      <c r="IM97" s="66"/>
      <c r="IN97" s="66"/>
      <c r="IO97" s="66"/>
      <c r="IP97" s="66"/>
      <c r="IQ97" s="66"/>
      <c r="IR97" s="66"/>
    </row>
    <row r="98" customFormat="false" ht="22.5" hidden="false" customHeight="true" outlineLevel="0" collapsed="false">
      <c r="A98" s="66"/>
      <c r="B98" s="62" t="s">
        <v>292</v>
      </c>
      <c r="C98" s="63" t="s">
        <v>293</v>
      </c>
      <c r="D98" s="28" t="s">
        <v>103</v>
      </c>
      <c r="E98" s="64"/>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66"/>
      <c r="CO98" s="66"/>
      <c r="CP98" s="66"/>
      <c r="CQ98" s="66"/>
      <c r="CR98" s="66"/>
      <c r="CS98" s="66"/>
      <c r="CT98" s="66"/>
      <c r="CU98" s="66"/>
      <c r="CV98" s="66"/>
      <c r="CW98" s="66"/>
      <c r="CX98" s="66"/>
      <c r="CY98" s="66"/>
      <c r="CZ98" s="66"/>
      <c r="DA98" s="66"/>
      <c r="DB98" s="66"/>
      <c r="DC98" s="66"/>
      <c r="DD98" s="66"/>
      <c r="DE98" s="66"/>
      <c r="DF98" s="66"/>
      <c r="DG98" s="66"/>
      <c r="DH98" s="66"/>
      <c r="DI98" s="66"/>
      <c r="DJ98" s="66"/>
      <c r="DK98" s="66"/>
      <c r="DL98" s="66"/>
      <c r="DM98" s="66"/>
      <c r="DN98" s="66"/>
      <c r="DO98" s="66"/>
      <c r="DP98" s="66"/>
      <c r="DQ98" s="66"/>
      <c r="DR98" s="66"/>
      <c r="DS98" s="66"/>
      <c r="DT98" s="66"/>
      <c r="DU98" s="66"/>
      <c r="DV98" s="66"/>
      <c r="DW98" s="66"/>
      <c r="DX98" s="66"/>
      <c r="DY98" s="66"/>
      <c r="DZ98" s="66"/>
      <c r="EA98" s="66"/>
      <c r="EB98" s="66"/>
      <c r="EC98" s="66"/>
      <c r="ED98" s="66"/>
      <c r="EE98" s="66"/>
      <c r="EF98" s="66"/>
      <c r="EG98" s="66"/>
      <c r="EH98" s="66"/>
      <c r="EI98" s="66"/>
      <c r="EJ98" s="66"/>
      <c r="EK98" s="66"/>
      <c r="EL98" s="66"/>
      <c r="EM98" s="66"/>
      <c r="EN98" s="66"/>
      <c r="EO98" s="66"/>
      <c r="EP98" s="66"/>
      <c r="EQ98" s="66"/>
      <c r="ER98" s="66"/>
      <c r="ES98" s="66"/>
      <c r="ET98" s="66"/>
      <c r="EU98" s="66"/>
      <c r="EV98" s="66"/>
      <c r="EW98" s="66"/>
      <c r="EX98" s="66"/>
      <c r="EY98" s="66"/>
      <c r="EZ98" s="66"/>
      <c r="FA98" s="66"/>
      <c r="FB98" s="66"/>
      <c r="FC98" s="66"/>
      <c r="FD98" s="66"/>
      <c r="FE98" s="66"/>
      <c r="FF98" s="66"/>
      <c r="FG98" s="66"/>
      <c r="FH98" s="66"/>
      <c r="FI98" s="66"/>
      <c r="FJ98" s="66"/>
      <c r="FK98" s="66"/>
      <c r="FL98" s="66"/>
      <c r="FM98" s="66"/>
      <c r="FN98" s="66"/>
      <c r="FO98" s="66"/>
      <c r="FP98" s="66"/>
      <c r="FQ98" s="66"/>
      <c r="FR98" s="66"/>
      <c r="FS98" s="66"/>
      <c r="FT98" s="66"/>
      <c r="FU98" s="66"/>
      <c r="FV98" s="66"/>
      <c r="FW98" s="66"/>
      <c r="FX98" s="66"/>
      <c r="FY98" s="66"/>
      <c r="FZ98" s="66"/>
      <c r="GA98" s="66"/>
      <c r="GB98" s="66"/>
      <c r="GC98" s="66"/>
      <c r="GD98" s="66"/>
      <c r="GE98" s="66"/>
      <c r="GF98" s="66"/>
      <c r="GG98" s="66"/>
      <c r="GH98" s="66"/>
      <c r="GI98" s="66"/>
      <c r="GJ98" s="66"/>
      <c r="GK98" s="66"/>
      <c r="GL98" s="66"/>
      <c r="GM98" s="66"/>
      <c r="GN98" s="66"/>
      <c r="GO98" s="66"/>
      <c r="GP98" s="66"/>
      <c r="GQ98" s="66"/>
      <c r="GR98" s="66"/>
      <c r="GS98" s="66"/>
      <c r="GT98" s="66"/>
      <c r="GU98" s="66"/>
      <c r="GV98" s="66"/>
      <c r="GW98" s="66"/>
      <c r="GX98" s="66"/>
      <c r="GY98" s="66"/>
      <c r="GZ98" s="66"/>
      <c r="HA98" s="66"/>
      <c r="HB98" s="66"/>
      <c r="HC98" s="66"/>
      <c r="HD98" s="66"/>
      <c r="HE98" s="66"/>
      <c r="HF98" s="66"/>
      <c r="HG98" s="66"/>
      <c r="HH98" s="66"/>
      <c r="HI98" s="66"/>
      <c r="HJ98" s="66"/>
      <c r="HK98" s="66"/>
      <c r="HL98" s="66"/>
      <c r="HM98" s="66"/>
      <c r="HN98" s="66"/>
      <c r="HO98" s="66"/>
      <c r="HP98" s="66"/>
      <c r="HQ98" s="66"/>
      <c r="HR98" s="66"/>
      <c r="HS98" s="66"/>
      <c r="HT98" s="66"/>
      <c r="HU98" s="66"/>
      <c r="HV98" s="66"/>
      <c r="HW98" s="66"/>
      <c r="HX98" s="66"/>
      <c r="HY98" s="66"/>
      <c r="HZ98" s="66"/>
      <c r="IA98" s="66"/>
      <c r="IB98" s="66"/>
      <c r="IC98" s="66"/>
      <c r="ID98" s="66"/>
      <c r="IE98" s="66"/>
      <c r="IF98" s="66"/>
      <c r="IG98" s="66"/>
      <c r="IH98" s="66"/>
      <c r="II98" s="66"/>
      <c r="IJ98" s="66"/>
      <c r="IK98" s="66"/>
      <c r="IL98" s="66"/>
      <c r="IM98" s="66"/>
      <c r="IN98" s="66"/>
      <c r="IO98" s="66"/>
      <c r="IP98" s="66"/>
      <c r="IQ98" s="66"/>
      <c r="IR98" s="66"/>
    </row>
    <row r="99" customFormat="false" ht="22.5" hidden="false" customHeight="true" outlineLevel="0" collapsed="false">
      <c r="A99" s="66"/>
      <c r="B99" s="62" t="s">
        <v>294</v>
      </c>
      <c r="C99" s="63" t="s">
        <v>295</v>
      </c>
      <c r="D99" s="28" t="s">
        <v>103</v>
      </c>
      <c r="E99" s="64"/>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66"/>
      <c r="CO99" s="66"/>
      <c r="CP99" s="66"/>
      <c r="CQ99" s="66"/>
      <c r="CR99" s="66"/>
      <c r="CS99" s="66"/>
      <c r="CT99" s="66"/>
      <c r="CU99" s="66"/>
      <c r="CV99" s="66"/>
      <c r="CW99" s="66"/>
      <c r="CX99" s="66"/>
      <c r="CY99" s="66"/>
      <c r="CZ99" s="66"/>
      <c r="DA99" s="66"/>
      <c r="DB99" s="66"/>
      <c r="DC99" s="66"/>
      <c r="DD99" s="66"/>
      <c r="DE99" s="66"/>
      <c r="DF99" s="66"/>
      <c r="DG99" s="66"/>
      <c r="DH99" s="66"/>
      <c r="DI99" s="66"/>
      <c r="DJ99" s="66"/>
      <c r="DK99" s="66"/>
      <c r="DL99" s="66"/>
      <c r="DM99" s="66"/>
      <c r="DN99" s="66"/>
      <c r="DO99" s="66"/>
      <c r="DP99" s="66"/>
      <c r="DQ99" s="66"/>
      <c r="DR99" s="66"/>
      <c r="DS99" s="66"/>
      <c r="DT99" s="66"/>
      <c r="DU99" s="66"/>
      <c r="DV99" s="66"/>
      <c r="DW99" s="66"/>
      <c r="DX99" s="66"/>
      <c r="DY99" s="66"/>
      <c r="DZ99" s="66"/>
      <c r="EA99" s="66"/>
      <c r="EB99" s="66"/>
      <c r="EC99" s="66"/>
      <c r="ED99" s="66"/>
      <c r="EE99" s="66"/>
      <c r="EF99" s="66"/>
      <c r="EG99" s="66"/>
      <c r="EH99" s="66"/>
      <c r="EI99" s="66"/>
      <c r="EJ99" s="66"/>
      <c r="EK99" s="66"/>
      <c r="EL99" s="66"/>
      <c r="EM99" s="66"/>
      <c r="EN99" s="66"/>
      <c r="EO99" s="66"/>
      <c r="EP99" s="66"/>
      <c r="EQ99" s="66"/>
      <c r="ER99" s="66"/>
      <c r="ES99" s="66"/>
      <c r="ET99" s="66"/>
      <c r="EU99" s="66"/>
      <c r="EV99" s="66"/>
      <c r="EW99" s="66"/>
      <c r="EX99" s="66"/>
      <c r="EY99" s="66"/>
      <c r="EZ99" s="66"/>
      <c r="FA99" s="66"/>
      <c r="FB99" s="66"/>
      <c r="FC99" s="66"/>
      <c r="FD99" s="66"/>
      <c r="FE99" s="66"/>
      <c r="FF99" s="66"/>
      <c r="FG99" s="66"/>
      <c r="FH99" s="66"/>
      <c r="FI99" s="66"/>
      <c r="FJ99" s="66"/>
      <c r="FK99" s="66"/>
      <c r="FL99" s="66"/>
      <c r="FM99" s="66"/>
      <c r="FN99" s="66"/>
      <c r="FO99" s="66"/>
      <c r="FP99" s="66"/>
      <c r="FQ99" s="66"/>
      <c r="FR99" s="66"/>
      <c r="FS99" s="66"/>
      <c r="FT99" s="66"/>
      <c r="FU99" s="66"/>
      <c r="FV99" s="66"/>
      <c r="FW99" s="66"/>
      <c r="FX99" s="66"/>
      <c r="FY99" s="66"/>
      <c r="FZ99" s="66"/>
      <c r="GA99" s="66"/>
      <c r="GB99" s="66"/>
      <c r="GC99" s="66"/>
      <c r="GD99" s="66"/>
      <c r="GE99" s="66"/>
      <c r="GF99" s="66"/>
      <c r="GG99" s="66"/>
      <c r="GH99" s="66"/>
      <c r="GI99" s="66"/>
      <c r="GJ99" s="66"/>
      <c r="GK99" s="66"/>
      <c r="GL99" s="66"/>
      <c r="GM99" s="66"/>
      <c r="GN99" s="66"/>
      <c r="GO99" s="66"/>
      <c r="GP99" s="66"/>
      <c r="GQ99" s="66"/>
      <c r="GR99" s="66"/>
      <c r="GS99" s="66"/>
      <c r="GT99" s="66"/>
      <c r="GU99" s="66"/>
      <c r="GV99" s="66"/>
      <c r="GW99" s="66"/>
      <c r="GX99" s="66"/>
      <c r="GY99" s="66"/>
      <c r="GZ99" s="66"/>
      <c r="HA99" s="66"/>
      <c r="HB99" s="66"/>
      <c r="HC99" s="66"/>
      <c r="HD99" s="66"/>
      <c r="HE99" s="66"/>
      <c r="HF99" s="66"/>
      <c r="HG99" s="66"/>
      <c r="HH99" s="66"/>
      <c r="HI99" s="66"/>
      <c r="HJ99" s="66"/>
      <c r="HK99" s="66"/>
      <c r="HL99" s="66"/>
      <c r="HM99" s="66"/>
      <c r="HN99" s="66"/>
      <c r="HO99" s="66"/>
      <c r="HP99" s="66"/>
      <c r="HQ99" s="66"/>
      <c r="HR99" s="66"/>
      <c r="HS99" s="66"/>
      <c r="HT99" s="66"/>
      <c r="HU99" s="66"/>
      <c r="HV99" s="66"/>
      <c r="HW99" s="66"/>
      <c r="HX99" s="66"/>
      <c r="HY99" s="66"/>
      <c r="HZ99" s="66"/>
      <c r="IA99" s="66"/>
      <c r="IB99" s="66"/>
      <c r="IC99" s="66"/>
      <c r="ID99" s="66"/>
      <c r="IE99" s="66"/>
      <c r="IF99" s="66"/>
      <c r="IG99" s="66"/>
      <c r="IH99" s="66"/>
      <c r="II99" s="66"/>
      <c r="IJ99" s="66"/>
      <c r="IK99" s="66"/>
      <c r="IL99" s="66"/>
      <c r="IM99" s="66"/>
      <c r="IN99" s="66"/>
      <c r="IO99" s="66"/>
      <c r="IP99" s="66"/>
      <c r="IQ99" s="66"/>
      <c r="IR99" s="66"/>
    </row>
    <row r="100" customFormat="false" ht="17.9" hidden="false" customHeight="false" outlineLevel="0" collapsed="false">
      <c r="A100" s="67"/>
      <c r="B100" s="68"/>
      <c r="C100" s="69"/>
      <c r="D100" s="40" t="n">
        <f aca="false">COUNTA(D3:D99)</f>
        <v>93</v>
      </c>
      <c r="E100" s="70" t="s">
        <v>296</v>
      </c>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c r="BK100" s="71"/>
      <c r="BL100" s="71"/>
      <c r="BM100" s="71"/>
      <c r="BN100" s="71"/>
      <c r="BO100" s="71"/>
      <c r="BP100" s="71"/>
      <c r="BQ100" s="71"/>
      <c r="BR100" s="71"/>
      <c r="BS100" s="71"/>
      <c r="BT100" s="71"/>
      <c r="BU100" s="71"/>
      <c r="BV100" s="71"/>
      <c r="BW100" s="71"/>
      <c r="BX100" s="71"/>
      <c r="BY100" s="71"/>
      <c r="BZ100" s="71"/>
      <c r="CA100" s="71"/>
      <c r="CB100" s="71"/>
      <c r="CC100" s="71"/>
      <c r="CD100" s="71"/>
      <c r="CE100" s="71"/>
      <c r="CF100" s="71"/>
      <c r="CG100" s="71"/>
      <c r="CH100" s="71"/>
      <c r="CI100" s="71"/>
      <c r="CJ100" s="71"/>
      <c r="CK100" s="71"/>
      <c r="CL100" s="71"/>
      <c r="CM100" s="71"/>
      <c r="CN100" s="71"/>
      <c r="CO100" s="71"/>
      <c r="CP100" s="71"/>
      <c r="CQ100" s="71"/>
      <c r="CR100" s="71"/>
      <c r="CS100" s="71"/>
      <c r="CT100" s="71"/>
      <c r="CU100" s="71"/>
      <c r="CV100" s="71"/>
      <c r="CW100" s="71"/>
      <c r="CX100" s="71"/>
      <c r="CY100" s="71"/>
      <c r="CZ100" s="71"/>
      <c r="DA100" s="71"/>
      <c r="DB100" s="71"/>
      <c r="DC100" s="71"/>
      <c r="DD100" s="71"/>
      <c r="DE100" s="71"/>
      <c r="DF100" s="71"/>
      <c r="DG100" s="71"/>
      <c r="DH100" s="71"/>
      <c r="DI100" s="71"/>
      <c r="DJ100" s="71"/>
      <c r="DK100" s="71"/>
      <c r="DL100" s="71"/>
      <c r="DM100" s="71"/>
      <c r="DN100" s="71"/>
      <c r="DO100" s="71"/>
      <c r="DP100" s="71"/>
      <c r="DQ100" s="71"/>
      <c r="DR100" s="71"/>
      <c r="DS100" s="71"/>
      <c r="DT100" s="71"/>
      <c r="DU100" s="71"/>
      <c r="DV100" s="71"/>
      <c r="DW100" s="71"/>
      <c r="DX100" s="71"/>
      <c r="DY100" s="71"/>
      <c r="DZ100" s="71"/>
      <c r="EA100" s="71"/>
      <c r="EB100" s="71"/>
      <c r="EC100" s="71"/>
      <c r="ED100" s="71"/>
      <c r="EE100" s="71"/>
      <c r="EF100" s="71"/>
      <c r="EG100" s="71"/>
      <c r="EH100" s="71"/>
      <c r="EI100" s="71"/>
      <c r="EJ100" s="71"/>
      <c r="EK100" s="71"/>
      <c r="EL100" s="71"/>
      <c r="EM100" s="71"/>
      <c r="EN100" s="71"/>
      <c r="EO100" s="71"/>
      <c r="EP100" s="71"/>
      <c r="EQ100" s="71"/>
      <c r="ER100" s="71"/>
      <c r="ES100" s="71"/>
      <c r="ET100" s="71"/>
      <c r="EU100" s="71"/>
      <c r="EV100" s="71"/>
      <c r="EW100" s="71"/>
      <c r="EX100" s="71"/>
      <c r="EY100" s="71"/>
      <c r="EZ100" s="71"/>
      <c r="FA100" s="71"/>
      <c r="FB100" s="71"/>
      <c r="FC100" s="71"/>
      <c r="FD100" s="71"/>
      <c r="FE100" s="71"/>
      <c r="FF100" s="71"/>
      <c r="FG100" s="71"/>
      <c r="FH100" s="71"/>
      <c r="FI100" s="71"/>
      <c r="FJ100" s="71"/>
      <c r="FK100" s="71"/>
      <c r="FL100" s="71"/>
      <c r="FM100" s="71"/>
      <c r="FN100" s="71"/>
      <c r="FO100" s="71"/>
      <c r="FP100" s="71"/>
      <c r="FQ100" s="71"/>
      <c r="FR100" s="71"/>
      <c r="FS100" s="71"/>
      <c r="FT100" s="71"/>
      <c r="FU100" s="71"/>
      <c r="FV100" s="71"/>
      <c r="FW100" s="71"/>
      <c r="FX100" s="71"/>
      <c r="FY100" s="71"/>
      <c r="FZ100" s="71"/>
      <c r="GA100" s="71"/>
      <c r="GB100" s="71"/>
      <c r="GC100" s="71"/>
      <c r="GD100" s="71"/>
      <c r="GE100" s="71"/>
      <c r="GF100" s="71"/>
      <c r="GG100" s="71"/>
      <c r="GH100" s="71"/>
      <c r="GI100" s="71"/>
      <c r="GJ100" s="71"/>
      <c r="GK100" s="71"/>
      <c r="GL100" s="71"/>
      <c r="GM100" s="71"/>
      <c r="GN100" s="71"/>
      <c r="GO100" s="71"/>
      <c r="GP100" s="71"/>
      <c r="GQ100" s="71"/>
      <c r="GR100" s="71"/>
      <c r="GS100" s="71"/>
      <c r="GT100" s="71"/>
      <c r="GU100" s="71"/>
      <c r="GV100" s="71"/>
      <c r="GW100" s="71"/>
      <c r="GX100" s="71"/>
      <c r="GY100" s="71"/>
      <c r="GZ100" s="71"/>
      <c r="HA100" s="71"/>
      <c r="HB100" s="71"/>
      <c r="HC100" s="71"/>
      <c r="HD100" s="71"/>
      <c r="HE100" s="71"/>
      <c r="HF100" s="71"/>
      <c r="HG100" s="71"/>
      <c r="HH100" s="71"/>
      <c r="HI100" s="71"/>
      <c r="HJ100" s="71"/>
      <c r="HK100" s="71"/>
      <c r="HL100" s="71"/>
      <c r="HM100" s="71"/>
      <c r="HN100" s="71"/>
      <c r="HO100" s="71"/>
      <c r="HP100" s="71"/>
      <c r="HQ100" s="71"/>
      <c r="HR100" s="71"/>
      <c r="HS100" s="71"/>
      <c r="HT100" s="71"/>
      <c r="HU100" s="71"/>
      <c r="HV100" s="71"/>
      <c r="HW100" s="71"/>
      <c r="HX100" s="71"/>
      <c r="HY100" s="71"/>
      <c r="HZ100" s="71"/>
      <c r="IA100" s="71"/>
      <c r="IB100" s="71"/>
      <c r="IC100" s="71"/>
      <c r="ID100" s="71"/>
      <c r="IE100" s="71"/>
      <c r="IF100" s="71"/>
      <c r="IG100" s="71"/>
      <c r="IH100" s="71"/>
      <c r="II100" s="71"/>
      <c r="IJ100" s="71"/>
      <c r="IK100" s="71"/>
      <c r="IL100" s="71"/>
      <c r="IM100" s="71"/>
      <c r="IN100" s="71"/>
      <c r="IO100" s="71"/>
      <c r="IP100" s="71"/>
      <c r="IQ100" s="71"/>
      <c r="IR100" s="71"/>
    </row>
    <row r="101" customFormat="false" ht="15.75" hidden="false" customHeight="false" outlineLevel="0" collapsed="false">
      <c r="A101" s="72"/>
      <c r="B101" s="72"/>
      <c r="C101" s="73"/>
      <c r="D101" s="68"/>
      <c r="E101" s="72"/>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c r="BK101" s="71"/>
      <c r="BL101" s="71"/>
      <c r="BM101" s="71"/>
      <c r="BN101" s="71"/>
      <c r="BO101" s="71"/>
      <c r="BP101" s="71"/>
      <c r="BQ101" s="71"/>
      <c r="BR101" s="71"/>
      <c r="BS101" s="71"/>
      <c r="BT101" s="71"/>
      <c r="BU101" s="71"/>
      <c r="BV101" s="71"/>
      <c r="BW101" s="71"/>
      <c r="BX101" s="71"/>
      <c r="BY101" s="71"/>
      <c r="BZ101" s="71"/>
      <c r="CA101" s="71"/>
      <c r="CB101" s="71"/>
      <c r="CC101" s="71"/>
      <c r="CD101" s="71"/>
      <c r="CE101" s="71"/>
      <c r="CF101" s="71"/>
      <c r="CG101" s="71"/>
      <c r="CH101" s="71"/>
      <c r="CI101" s="71"/>
      <c r="CJ101" s="71"/>
      <c r="CK101" s="71"/>
      <c r="CL101" s="71"/>
      <c r="CM101" s="71"/>
      <c r="CN101" s="71"/>
      <c r="CO101" s="71"/>
      <c r="CP101" s="71"/>
      <c r="CQ101" s="71"/>
      <c r="CR101" s="71"/>
      <c r="CS101" s="71"/>
      <c r="CT101" s="71"/>
      <c r="CU101" s="71"/>
      <c r="CV101" s="71"/>
      <c r="CW101" s="71"/>
      <c r="CX101" s="71"/>
      <c r="CY101" s="71"/>
      <c r="CZ101" s="71"/>
      <c r="DA101" s="71"/>
      <c r="DB101" s="71"/>
      <c r="DC101" s="71"/>
      <c r="DD101" s="71"/>
      <c r="DE101" s="71"/>
      <c r="DF101" s="71"/>
      <c r="DG101" s="71"/>
      <c r="DH101" s="71"/>
      <c r="DI101" s="71"/>
      <c r="DJ101" s="71"/>
      <c r="DK101" s="71"/>
      <c r="DL101" s="71"/>
      <c r="DM101" s="71"/>
      <c r="DN101" s="71"/>
      <c r="DO101" s="71"/>
      <c r="DP101" s="71"/>
      <c r="DQ101" s="71"/>
      <c r="DR101" s="71"/>
      <c r="DS101" s="71"/>
      <c r="DT101" s="71"/>
      <c r="DU101" s="71"/>
      <c r="DV101" s="71"/>
      <c r="DW101" s="71"/>
      <c r="DX101" s="71"/>
      <c r="DY101" s="71"/>
      <c r="DZ101" s="71"/>
      <c r="EA101" s="71"/>
      <c r="EB101" s="71"/>
      <c r="EC101" s="71"/>
      <c r="ED101" s="71"/>
      <c r="EE101" s="71"/>
      <c r="EF101" s="71"/>
      <c r="EG101" s="71"/>
      <c r="EH101" s="71"/>
      <c r="EI101" s="71"/>
      <c r="EJ101" s="71"/>
      <c r="EK101" s="71"/>
      <c r="EL101" s="71"/>
      <c r="EM101" s="71"/>
      <c r="EN101" s="71"/>
      <c r="EO101" s="71"/>
      <c r="EP101" s="71"/>
      <c r="EQ101" s="71"/>
      <c r="ER101" s="71"/>
      <c r="ES101" s="71"/>
      <c r="ET101" s="71"/>
      <c r="EU101" s="71"/>
      <c r="EV101" s="71"/>
      <c r="EW101" s="71"/>
      <c r="EX101" s="71"/>
      <c r="EY101" s="71"/>
      <c r="EZ101" s="71"/>
      <c r="FA101" s="71"/>
      <c r="FB101" s="71"/>
      <c r="FC101" s="71"/>
      <c r="FD101" s="71"/>
      <c r="FE101" s="71"/>
      <c r="FF101" s="71"/>
      <c r="FG101" s="71"/>
      <c r="FH101" s="71"/>
      <c r="FI101" s="71"/>
      <c r="FJ101" s="71"/>
      <c r="FK101" s="71"/>
      <c r="FL101" s="71"/>
      <c r="FM101" s="71"/>
      <c r="FN101" s="71"/>
      <c r="FO101" s="71"/>
      <c r="FP101" s="71"/>
      <c r="FQ101" s="71"/>
      <c r="FR101" s="71"/>
      <c r="FS101" s="71"/>
      <c r="FT101" s="71"/>
      <c r="FU101" s="71"/>
      <c r="FV101" s="71"/>
      <c r="FW101" s="71"/>
      <c r="FX101" s="71"/>
      <c r="FY101" s="71"/>
      <c r="FZ101" s="71"/>
      <c r="GA101" s="71"/>
      <c r="GB101" s="71"/>
      <c r="GC101" s="71"/>
      <c r="GD101" s="71"/>
      <c r="GE101" s="71"/>
      <c r="GF101" s="71"/>
      <c r="GG101" s="71"/>
      <c r="GH101" s="71"/>
      <c r="GI101" s="71"/>
      <c r="GJ101" s="71"/>
      <c r="GK101" s="71"/>
      <c r="GL101" s="71"/>
      <c r="GM101" s="71"/>
      <c r="GN101" s="71"/>
      <c r="GO101" s="71"/>
      <c r="GP101" s="71"/>
      <c r="GQ101" s="71"/>
      <c r="GR101" s="71"/>
      <c r="GS101" s="71"/>
      <c r="GT101" s="71"/>
      <c r="GU101" s="71"/>
      <c r="GV101" s="71"/>
      <c r="GW101" s="71"/>
      <c r="GX101" s="71"/>
      <c r="GY101" s="71"/>
      <c r="GZ101" s="71"/>
      <c r="HA101" s="71"/>
      <c r="HB101" s="71"/>
      <c r="HC101" s="71"/>
      <c r="HD101" s="71"/>
      <c r="HE101" s="71"/>
      <c r="HF101" s="71"/>
      <c r="HG101" s="71"/>
      <c r="HH101" s="71"/>
      <c r="HI101" s="71"/>
      <c r="HJ101" s="71"/>
      <c r="HK101" s="71"/>
      <c r="HL101" s="71"/>
      <c r="HM101" s="71"/>
      <c r="HN101" s="71"/>
      <c r="HO101" s="71"/>
      <c r="HP101" s="71"/>
      <c r="HQ101" s="71"/>
      <c r="HR101" s="71"/>
      <c r="HS101" s="71"/>
      <c r="HT101" s="71"/>
      <c r="HU101" s="71"/>
      <c r="HV101" s="71"/>
      <c r="HW101" s="71"/>
      <c r="HX101" s="71"/>
      <c r="HY101" s="71"/>
      <c r="HZ101" s="71"/>
      <c r="IA101" s="71"/>
      <c r="IB101" s="71"/>
      <c r="IC101" s="71"/>
      <c r="ID101" s="71"/>
      <c r="IE101" s="71"/>
      <c r="IF101" s="71"/>
      <c r="IG101" s="71"/>
      <c r="IH101" s="71"/>
      <c r="II101" s="71"/>
      <c r="IJ101" s="71"/>
      <c r="IK101" s="71"/>
      <c r="IL101" s="71"/>
      <c r="IM101" s="71"/>
      <c r="IN101" s="71"/>
      <c r="IO101" s="71"/>
      <c r="IP101" s="71"/>
      <c r="IQ101" s="71"/>
      <c r="IR101" s="71"/>
    </row>
    <row r="102" customFormat="false" ht="15.75" hidden="false" customHeight="false" outlineLevel="0" collapsed="false">
      <c r="A102" s="72"/>
      <c r="B102" s="72"/>
      <c r="C102" s="73"/>
      <c r="D102" s="68"/>
      <c r="E102" s="72"/>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c r="BL102" s="71"/>
      <c r="BM102" s="71"/>
      <c r="BN102" s="71"/>
      <c r="BO102" s="71"/>
      <c r="BP102" s="71"/>
      <c r="BQ102" s="71"/>
      <c r="BR102" s="71"/>
      <c r="BS102" s="71"/>
      <c r="BT102" s="71"/>
      <c r="BU102" s="71"/>
      <c r="BV102" s="71"/>
      <c r="BW102" s="71"/>
      <c r="BX102" s="71"/>
      <c r="BY102" s="71"/>
      <c r="BZ102" s="71"/>
      <c r="CA102" s="71"/>
      <c r="CB102" s="71"/>
      <c r="CC102" s="71"/>
      <c r="CD102" s="71"/>
      <c r="CE102" s="71"/>
      <c r="CF102" s="71"/>
      <c r="CG102" s="71"/>
      <c r="CH102" s="71"/>
      <c r="CI102" s="71"/>
      <c r="CJ102" s="71"/>
      <c r="CK102" s="71"/>
      <c r="CL102" s="71"/>
      <c r="CM102" s="71"/>
      <c r="CN102" s="71"/>
      <c r="CO102" s="71"/>
      <c r="CP102" s="71"/>
      <c r="CQ102" s="71"/>
      <c r="CR102" s="71"/>
      <c r="CS102" s="71"/>
      <c r="CT102" s="71"/>
      <c r="CU102" s="71"/>
      <c r="CV102" s="71"/>
      <c r="CW102" s="71"/>
      <c r="CX102" s="71"/>
      <c r="CY102" s="71"/>
      <c r="CZ102" s="71"/>
      <c r="DA102" s="71"/>
      <c r="DB102" s="71"/>
      <c r="DC102" s="71"/>
      <c r="DD102" s="71"/>
      <c r="DE102" s="71"/>
      <c r="DF102" s="71"/>
      <c r="DG102" s="71"/>
      <c r="DH102" s="71"/>
      <c r="DI102" s="71"/>
      <c r="DJ102" s="71"/>
      <c r="DK102" s="71"/>
      <c r="DL102" s="71"/>
      <c r="DM102" s="71"/>
      <c r="DN102" s="71"/>
      <c r="DO102" s="71"/>
      <c r="DP102" s="71"/>
      <c r="DQ102" s="71"/>
      <c r="DR102" s="71"/>
      <c r="DS102" s="71"/>
      <c r="DT102" s="71"/>
      <c r="DU102" s="71"/>
      <c r="DV102" s="71"/>
      <c r="DW102" s="71"/>
      <c r="DX102" s="71"/>
      <c r="DY102" s="71"/>
      <c r="DZ102" s="71"/>
      <c r="EA102" s="71"/>
      <c r="EB102" s="71"/>
      <c r="EC102" s="71"/>
      <c r="ED102" s="71"/>
      <c r="EE102" s="71"/>
      <c r="EF102" s="71"/>
      <c r="EG102" s="71"/>
      <c r="EH102" s="71"/>
      <c r="EI102" s="71"/>
      <c r="EJ102" s="71"/>
      <c r="EK102" s="71"/>
      <c r="EL102" s="71"/>
      <c r="EM102" s="71"/>
      <c r="EN102" s="71"/>
      <c r="EO102" s="71"/>
      <c r="EP102" s="71"/>
      <c r="EQ102" s="71"/>
      <c r="ER102" s="71"/>
      <c r="ES102" s="71"/>
      <c r="ET102" s="71"/>
      <c r="EU102" s="71"/>
      <c r="EV102" s="71"/>
      <c r="EW102" s="71"/>
      <c r="EX102" s="71"/>
      <c r="EY102" s="71"/>
      <c r="EZ102" s="71"/>
      <c r="FA102" s="71"/>
      <c r="FB102" s="71"/>
      <c r="FC102" s="71"/>
      <c r="FD102" s="71"/>
      <c r="FE102" s="71"/>
      <c r="FF102" s="71"/>
      <c r="FG102" s="71"/>
      <c r="FH102" s="71"/>
      <c r="FI102" s="71"/>
      <c r="FJ102" s="71"/>
      <c r="FK102" s="71"/>
      <c r="FL102" s="71"/>
      <c r="FM102" s="71"/>
      <c r="FN102" s="71"/>
      <c r="FO102" s="71"/>
      <c r="FP102" s="71"/>
      <c r="FQ102" s="71"/>
      <c r="FR102" s="71"/>
      <c r="FS102" s="71"/>
      <c r="FT102" s="71"/>
      <c r="FU102" s="71"/>
      <c r="FV102" s="71"/>
      <c r="FW102" s="71"/>
      <c r="FX102" s="71"/>
      <c r="FY102" s="71"/>
      <c r="FZ102" s="71"/>
      <c r="GA102" s="71"/>
      <c r="GB102" s="71"/>
      <c r="GC102" s="71"/>
      <c r="GD102" s="71"/>
      <c r="GE102" s="71"/>
      <c r="GF102" s="71"/>
      <c r="GG102" s="71"/>
      <c r="GH102" s="71"/>
      <c r="GI102" s="71"/>
      <c r="GJ102" s="71"/>
      <c r="GK102" s="71"/>
      <c r="GL102" s="71"/>
      <c r="GM102" s="71"/>
      <c r="GN102" s="71"/>
      <c r="GO102" s="71"/>
      <c r="GP102" s="71"/>
      <c r="GQ102" s="71"/>
      <c r="GR102" s="71"/>
      <c r="GS102" s="71"/>
      <c r="GT102" s="71"/>
      <c r="GU102" s="71"/>
      <c r="GV102" s="71"/>
      <c r="GW102" s="71"/>
      <c r="GX102" s="71"/>
      <c r="GY102" s="71"/>
      <c r="GZ102" s="71"/>
      <c r="HA102" s="71"/>
      <c r="HB102" s="71"/>
      <c r="HC102" s="71"/>
      <c r="HD102" s="71"/>
      <c r="HE102" s="71"/>
      <c r="HF102" s="71"/>
      <c r="HG102" s="71"/>
      <c r="HH102" s="71"/>
      <c r="HI102" s="71"/>
      <c r="HJ102" s="71"/>
      <c r="HK102" s="71"/>
      <c r="HL102" s="71"/>
      <c r="HM102" s="71"/>
      <c r="HN102" s="71"/>
      <c r="HO102" s="71"/>
      <c r="HP102" s="71"/>
      <c r="HQ102" s="71"/>
      <c r="HR102" s="71"/>
      <c r="HS102" s="71"/>
      <c r="HT102" s="71"/>
      <c r="HU102" s="71"/>
      <c r="HV102" s="71"/>
      <c r="HW102" s="71"/>
      <c r="HX102" s="71"/>
      <c r="HY102" s="71"/>
      <c r="HZ102" s="71"/>
      <c r="IA102" s="71"/>
      <c r="IB102" s="71"/>
      <c r="IC102" s="71"/>
      <c r="ID102" s="71"/>
      <c r="IE102" s="71"/>
      <c r="IF102" s="71"/>
      <c r="IG102" s="71"/>
      <c r="IH102" s="71"/>
      <c r="II102" s="71"/>
      <c r="IJ102" s="71"/>
      <c r="IK102" s="71"/>
      <c r="IL102" s="71"/>
      <c r="IM102" s="71"/>
      <c r="IN102" s="71"/>
      <c r="IO102" s="71"/>
      <c r="IP102" s="71"/>
      <c r="IQ102" s="71"/>
      <c r="IR102" s="71"/>
    </row>
    <row r="103" customFormat="false" ht="15.75" hidden="false" customHeight="false" outlineLevel="0" collapsed="false">
      <c r="A103" s="72"/>
      <c r="B103" s="72"/>
      <c r="C103" s="73"/>
      <c r="D103" s="68"/>
      <c r="E103" s="72"/>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c r="BK103" s="71"/>
      <c r="BL103" s="71"/>
      <c r="BM103" s="71"/>
      <c r="BN103" s="71"/>
      <c r="BO103" s="71"/>
      <c r="BP103" s="71"/>
      <c r="BQ103" s="71"/>
      <c r="BR103" s="71"/>
      <c r="BS103" s="71"/>
      <c r="BT103" s="71"/>
      <c r="BU103" s="71"/>
      <c r="BV103" s="71"/>
      <c r="BW103" s="71"/>
      <c r="BX103" s="71"/>
      <c r="BY103" s="71"/>
      <c r="BZ103" s="71"/>
      <c r="CA103" s="71"/>
      <c r="CB103" s="71"/>
      <c r="CC103" s="71"/>
      <c r="CD103" s="71"/>
      <c r="CE103" s="71"/>
      <c r="CF103" s="71"/>
      <c r="CG103" s="71"/>
      <c r="CH103" s="71"/>
      <c r="CI103" s="71"/>
      <c r="CJ103" s="71"/>
      <c r="CK103" s="71"/>
      <c r="CL103" s="71"/>
      <c r="CM103" s="71"/>
      <c r="CN103" s="71"/>
      <c r="CO103" s="71"/>
      <c r="CP103" s="71"/>
      <c r="CQ103" s="71"/>
      <c r="CR103" s="71"/>
      <c r="CS103" s="71"/>
      <c r="CT103" s="71"/>
      <c r="CU103" s="71"/>
      <c r="CV103" s="71"/>
      <c r="CW103" s="71"/>
      <c r="CX103" s="71"/>
      <c r="CY103" s="71"/>
      <c r="CZ103" s="71"/>
      <c r="DA103" s="71"/>
      <c r="DB103" s="71"/>
      <c r="DC103" s="71"/>
      <c r="DD103" s="71"/>
      <c r="DE103" s="71"/>
      <c r="DF103" s="71"/>
      <c r="DG103" s="71"/>
      <c r="DH103" s="71"/>
      <c r="DI103" s="71"/>
      <c r="DJ103" s="71"/>
      <c r="DK103" s="71"/>
      <c r="DL103" s="71"/>
      <c r="DM103" s="71"/>
      <c r="DN103" s="71"/>
      <c r="DO103" s="71"/>
      <c r="DP103" s="71"/>
      <c r="DQ103" s="71"/>
      <c r="DR103" s="71"/>
      <c r="DS103" s="71"/>
      <c r="DT103" s="71"/>
      <c r="DU103" s="71"/>
      <c r="DV103" s="71"/>
      <c r="DW103" s="71"/>
      <c r="DX103" s="71"/>
      <c r="DY103" s="71"/>
      <c r="DZ103" s="71"/>
      <c r="EA103" s="71"/>
      <c r="EB103" s="71"/>
      <c r="EC103" s="71"/>
      <c r="ED103" s="71"/>
      <c r="EE103" s="71"/>
      <c r="EF103" s="71"/>
      <c r="EG103" s="71"/>
      <c r="EH103" s="71"/>
      <c r="EI103" s="71"/>
      <c r="EJ103" s="71"/>
      <c r="EK103" s="71"/>
      <c r="EL103" s="71"/>
      <c r="EM103" s="71"/>
      <c r="EN103" s="71"/>
      <c r="EO103" s="71"/>
      <c r="EP103" s="71"/>
      <c r="EQ103" s="71"/>
      <c r="ER103" s="71"/>
      <c r="ES103" s="71"/>
      <c r="ET103" s="71"/>
      <c r="EU103" s="71"/>
      <c r="EV103" s="71"/>
      <c r="EW103" s="71"/>
      <c r="EX103" s="71"/>
      <c r="EY103" s="71"/>
      <c r="EZ103" s="71"/>
      <c r="FA103" s="71"/>
      <c r="FB103" s="71"/>
      <c r="FC103" s="71"/>
      <c r="FD103" s="71"/>
      <c r="FE103" s="71"/>
      <c r="FF103" s="71"/>
      <c r="FG103" s="71"/>
      <c r="FH103" s="71"/>
      <c r="FI103" s="71"/>
      <c r="FJ103" s="71"/>
      <c r="FK103" s="71"/>
      <c r="FL103" s="71"/>
      <c r="FM103" s="71"/>
      <c r="FN103" s="71"/>
      <c r="FO103" s="71"/>
      <c r="FP103" s="71"/>
      <c r="FQ103" s="71"/>
      <c r="FR103" s="71"/>
      <c r="FS103" s="71"/>
      <c r="FT103" s="71"/>
      <c r="FU103" s="71"/>
      <c r="FV103" s="71"/>
      <c r="FW103" s="71"/>
      <c r="FX103" s="71"/>
      <c r="FY103" s="71"/>
      <c r="FZ103" s="71"/>
      <c r="GA103" s="71"/>
      <c r="GB103" s="71"/>
      <c r="GC103" s="71"/>
      <c r="GD103" s="71"/>
      <c r="GE103" s="71"/>
      <c r="GF103" s="71"/>
      <c r="GG103" s="71"/>
      <c r="GH103" s="71"/>
      <c r="GI103" s="71"/>
      <c r="GJ103" s="71"/>
      <c r="GK103" s="71"/>
      <c r="GL103" s="71"/>
      <c r="GM103" s="71"/>
      <c r="GN103" s="71"/>
      <c r="GO103" s="71"/>
      <c r="GP103" s="71"/>
      <c r="GQ103" s="71"/>
      <c r="GR103" s="71"/>
      <c r="GS103" s="71"/>
      <c r="GT103" s="71"/>
      <c r="GU103" s="71"/>
      <c r="GV103" s="71"/>
      <c r="GW103" s="71"/>
      <c r="GX103" s="71"/>
      <c r="GY103" s="71"/>
      <c r="GZ103" s="71"/>
      <c r="HA103" s="71"/>
      <c r="HB103" s="71"/>
      <c r="HC103" s="71"/>
      <c r="HD103" s="71"/>
      <c r="HE103" s="71"/>
      <c r="HF103" s="71"/>
      <c r="HG103" s="71"/>
      <c r="HH103" s="71"/>
      <c r="HI103" s="71"/>
      <c r="HJ103" s="71"/>
      <c r="HK103" s="71"/>
      <c r="HL103" s="71"/>
      <c r="HM103" s="71"/>
      <c r="HN103" s="71"/>
      <c r="HO103" s="71"/>
      <c r="HP103" s="71"/>
      <c r="HQ103" s="71"/>
      <c r="HR103" s="71"/>
      <c r="HS103" s="71"/>
      <c r="HT103" s="71"/>
      <c r="HU103" s="71"/>
      <c r="HV103" s="71"/>
      <c r="HW103" s="71"/>
      <c r="HX103" s="71"/>
      <c r="HY103" s="71"/>
      <c r="HZ103" s="71"/>
      <c r="IA103" s="71"/>
      <c r="IB103" s="71"/>
      <c r="IC103" s="71"/>
      <c r="ID103" s="71"/>
      <c r="IE103" s="71"/>
      <c r="IF103" s="71"/>
      <c r="IG103" s="71"/>
      <c r="IH103" s="71"/>
      <c r="II103" s="71"/>
      <c r="IJ103" s="71"/>
      <c r="IK103" s="71"/>
      <c r="IL103" s="71"/>
      <c r="IM103" s="71"/>
      <c r="IN103" s="71"/>
      <c r="IO103" s="71"/>
      <c r="IP103" s="71"/>
      <c r="IQ103" s="71"/>
      <c r="IR103" s="71"/>
    </row>
    <row r="104" customFormat="false" ht="15.75" hidden="false" customHeight="false" outlineLevel="0" collapsed="false">
      <c r="A104" s="72"/>
      <c r="B104" s="72"/>
      <c r="C104" s="73"/>
      <c r="D104" s="68"/>
      <c r="E104" s="72"/>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c r="BK104" s="71"/>
      <c r="BL104" s="71"/>
      <c r="BM104" s="71"/>
      <c r="BN104" s="71"/>
      <c r="BO104" s="71"/>
      <c r="BP104" s="71"/>
      <c r="BQ104" s="71"/>
      <c r="BR104" s="71"/>
      <c r="BS104" s="71"/>
      <c r="BT104" s="71"/>
      <c r="BU104" s="71"/>
      <c r="BV104" s="71"/>
      <c r="BW104" s="71"/>
      <c r="BX104" s="71"/>
      <c r="BY104" s="71"/>
      <c r="BZ104" s="71"/>
      <c r="CA104" s="71"/>
      <c r="CB104" s="71"/>
      <c r="CC104" s="71"/>
      <c r="CD104" s="71"/>
      <c r="CE104" s="71"/>
      <c r="CF104" s="71"/>
      <c r="CG104" s="71"/>
      <c r="CH104" s="71"/>
      <c r="CI104" s="71"/>
      <c r="CJ104" s="71"/>
      <c r="CK104" s="71"/>
      <c r="CL104" s="71"/>
      <c r="CM104" s="71"/>
      <c r="CN104" s="71"/>
      <c r="CO104" s="71"/>
      <c r="CP104" s="71"/>
      <c r="CQ104" s="71"/>
      <c r="CR104" s="71"/>
      <c r="CS104" s="71"/>
      <c r="CT104" s="71"/>
      <c r="CU104" s="71"/>
      <c r="CV104" s="71"/>
      <c r="CW104" s="71"/>
      <c r="CX104" s="71"/>
      <c r="CY104" s="71"/>
      <c r="CZ104" s="71"/>
      <c r="DA104" s="71"/>
      <c r="DB104" s="71"/>
      <c r="DC104" s="71"/>
      <c r="DD104" s="71"/>
      <c r="DE104" s="71"/>
      <c r="DF104" s="71"/>
      <c r="DG104" s="71"/>
      <c r="DH104" s="71"/>
      <c r="DI104" s="71"/>
      <c r="DJ104" s="71"/>
      <c r="DK104" s="71"/>
      <c r="DL104" s="71"/>
      <c r="DM104" s="71"/>
      <c r="DN104" s="71"/>
      <c r="DO104" s="71"/>
      <c r="DP104" s="71"/>
      <c r="DQ104" s="71"/>
      <c r="DR104" s="71"/>
      <c r="DS104" s="71"/>
      <c r="DT104" s="71"/>
      <c r="DU104" s="71"/>
      <c r="DV104" s="71"/>
      <c r="DW104" s="71"/>
      <c r="DX104" s="71"/>
      <c r="DY104" s="71"/>
      <c r="DZ104" s="71"/>
      <c r="EA104" s="71"/>
      <c r="EB104" s="71"/>
      <c r="EC104" s="71"/>
      <c r="ED104" s="71"/>
      <c r="EE104" s="71"/>
      <c r="EF104" s="71"/>
      <c r="EG104" s="71"/>
      <c r="EH104" s="71"/>
      <c r="EI104" s="71"/>
      <c r="EJ104" s="71"/>
      <c r="EK104" s="71"/>
      <c r="EL104" s="71"/>
      <c r="EM104" s="71"/>
      <c r="EN104" s="71"/>
      <c r="EO104" s="71"/>
      <c r="EP104" s="71"/>
      <c r="EQ104" s="71"/>
      <c r="ER104" s="71"/>
      <c r="ES104" s="71"/>
      <c r="ET104" s="71"/>
      <c r="EU104" s="71"/>
      <c r="EV104" s="71"/>
      <c r="EW104" s="71"/>
      <c r="EX104" s="71"/>
      <c r="EY104" s="71"/>
      <c r="EZ104" s="71"/>
      <c r="FA104" s="71"/>
      <c r="FB104" s="71"/>
      <c r="FC104" s="71"/>
      <c r="FD104" s="71"/>
      <c r="FE104" s="71"/>
      <c r="FF104" s="71"/>
      <c r="FG104" s="71"/>
      <c r="FH104" s="71"/>
      <c r="FI104" s="71"/>
      <c r="FJ104" s="71"/>
      <c r="FK104" s="71"/>
      <c r="FL104" s="71"/>
      <c r="FM104" s="71"/>
      <c r="FN104" s="71"/>
      <c r="FO104" s="71"/>
      <c r="FP104" s="71"/>
      <c r="FQ104" s="71"/>
      <c r="FR104" s="71"/>
      <c r="FS104" s="71"/>
      <c r="FT104" s="71"/>
      <c r="FU104" s="71"/>
      <c r="FV104" s="71"/>
      <c r="FW104" s="71"/>
      <c r="FX104" s="71"/>
      <c r="FY104" s="71"/>
      <c r="FZ104" s="71"/>
      <c r="GA104" s="71"/>
      <c r="GB104" s="71"/>
      <c r="GC104" s="71"/>
      <c r="GD104" s="71"/>
      <c r="GE104" s="71"/>
      <c r="GF104" s="71"/>
      <c r="GG104" s="71"/>
      <c r="GH104" s="71"/>
      <c r="GI104" s="71"/>
      <c r="GJ104" s="71"/>
      <c r="GK104" s="71"/>
      <c r="GL104" s="71"/>
      <c r="GM104" s="71"/>
      <c r="GN104" s="71"/>
      <c r="GO104" s="71"/>
      <c r="GP104" s="71"/>
      <c r="GQ104" s="71"/>
      <c r="GR104" s="71"/>
      <c r="GS104" s="71"/>
      <c r="GT104" s="71"/>
      <c r="GU104" s="71"/>
      <c r="GV104" s="71"/>
      <c r="GW104" s="71"/>
      <c r="GX104" s="71"/>
      <c r="GY104" s="71"/>
      <c r="GZ104" s="71"/>
      <c r="HA104" s="71"/>
      <c r="HB104" s="71"/>
      <c r="HC104" s="71"/>
      <c r="HD104" s="71"/>
      <c r="HE104" s="71"/>
      <c r="HF104" s="71"/>
      <c r="HG104" s="71"/>
      <c r="HH104" s="71"/>
      <c r="HI104" s="71"/>
      <c r="HJ104" s="71"/>
      <c r="HK104" s="71"/>
      <c r="HL104" s="71"/>
      <c r="HM104" s="71"/>
      <c r="HN104" s="71"/>
      <c r="HO104" s="71"/>
      <c r="HP104" s="71"/>
      <c r="HQ104" s="71"/>
      <c r="HR104" s="71"/>
      <c r="HS104" s="71"/>
      <c r="HT104" s="71"/>
      <c r="HU104" s="71"/>
      <c r="HV104" s="71"/>
      <c r="HW104" s="71"/>
      <c r="HX104" s="71"/>
      <c r="HY104" s="71"/>
      <c r="HZ104" s="71"/>
      <c r="IA104" s="71"/>
      <c r="IB104" s="71"/>
      <c r="IC104" s="71"/>
      <c r="ID104" s="71"/>
      <c r="IE104" s="71"/>
      <c r="IF104" s="71"/>
      <c r="IG104" s="71"/>
      <c r="IH104" s="71"/>
      <c r="II104" s="71"/>
      <c r="IJ104" s="71"/>
      <c r="IK104" s="71"/>
      <c r="IL104" s="71"/>
      <c r="IM104" s="71"/>
      <c r="IN104" s="71"/>
      <c r="IO104" s="71"/>
      <c r="IP104" s="71"/>
      <c r="IQ104" s="71"/>
      <c r="IR104" s="71"/>
    </row>
    <row r="105" customFormat="false" ht="15.75" hidden="false" customHeight="false" outlineLevel="0" collapsed="false">
      <c r="A105" s="72"/>
      <c r="B105" s="72"/>
      <c r="C105" s="73"/>
      <c r="D105" s="68"/>
      <c r="E105" s="72"/>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c r="BK105" s="71"/>
      <c r="BL105" s="71"/>
      <c r="BM105" s="71"/>
      <c r="BN105" s="71"/>
      <c r="BO105" s="71"/>
      <c r="BP105" s="71"/>
      <c r="BQ105" s="71"/>
      <c r="BR105" s="71"/>
      <c r="BS105" s="71"/>
      <c r="BT105" s="71"/>
      <c r="BU105" s="71"/>
      <c r="BV105" s="71"/>
      <c r="BW105" s="71"/>
      <c r="BX105" s="71"/>
      <c r="BY105" s="71"/>
      <c r="BZ105" s="71"/>
      <c r="CA105" s="71"/>
      <c r="CB105" s="71"/>
      <c r="CC105" s="71"/>
      <c r="CD105" s="71"/>
      <c r="CE105" s="71"/>
      <c r="CF105" s="71"/>
      <c r="CG105" s="71"/>
      <c r="CH105" s="71"/>
      <c r="CI105" s="71"/>
      <c r="CJ105" s="71"/>
      <c r="CK105" s="71"/>
      <c r="CL105" s="71"/>
      <c r="CM105" s="71"/>
      <c r="CN105" s="71"/>
      <c r="CO105" s="71"/>
      <c r="CP105" s="71"/>
      <c r="CQ105" s="71"/>
      <c r="CR105" s="71"/>
      <c r="CS105" s="71"/>
      <c r="CT105" s="71"/>
      <c r="CU105" s="71"/>
      <c r="CV105" s="71"/>
      <c r="CW105" s="71"/>
      <c r="CX105" s="71"/>
      <c r="CY105" s="71"/>
      <c r="CZ105" s="71"/>
      <c r="DA105" s="71"/>
      <c r="DB105" s="71"/>
      <c r="DC105" s="71"/>
      <c r="DD105" s="71"/>
      <c r="DE105" s="71"/>
      <c r="DF105" s="71"/>
      <c r="DG105" s="71"/>
      <c r="DH105" s="71"/>
      <c r="DI105" s="71"/>
      <c r="DJ105" s="71"/>
      <c r="DK105" s="71"/>
      <c r="DL105" s="71"/>
      <c r="DM105" s="71"/>
      <c r="DN105" s="71"/>
      <c r="DO105" s="71"/>
      <c r="DP105" s="71"/>
      <c r="DQ105" s="71"/>
      <c r="DR105" s="71"/>
      <c r="DS105" s="71"/>
      <c r="DT105" s="71"/>
      <c r="DU105" s="71"/>
      <c r="DV105" s="71"/>
      <c r="DW105" s="71"/>
      <c r="DX105" s="71"/>
      <c r="DY105" s="71"/>
      <c r="DZ105" s="71"/>
      <c r="EA105" s="71"/>
      <c r="EB105" s="71"/>
      <c r="EC105" s="71"/>
      <c r="ED105" s="71"/>
      <c r="EE105" s="71"/>
      <c r="EF105" s="71"/>
      <c r="EG105" s="71"/>
      <c r="EH105" s="71"/>
      <c r="EI105" s="71"/>
      <c r="EJ105" s="71"/>
      <c r="EK105" s="71"/>
      <c r="EL105" s="71"/>
      <c r="EM105" s="71"/>
      <c r="EN105" s="71"/>
      <c r="EO105" s="71"/>
      <c r="EP105" s="71"/>
      <c r="EQ105" s="71"/>
      <c r="ER105" s="71"/>
      <c r="ES105" s="71"/>
      <c r="ET105" s="71"/>
      <c r="EU105" s="71"/>
      <c r="EV105" s="71"/>
      <c r="EW105" s="71"/>
      <c r="EX105" s="71"/>
      <c r="EY105" s="71"/>
      <c r="EZ105" s="71"/>
      <c r="FA105" s="71"/>
      <c r="FB105" s="71"/>
      <c r="FC105" s="71"/>
      <c r="FD105" s="71"/>
      <c r="FE105" s="71"/>
      <c r="FF105" s="71"/>
      <c r="FG105" s="71"/>
      <c r="FH105" s="71"/>
      <c r="FI105" s="71"/>
      <c r="FJ105" s="71"/>
      <c r="FK105" s="71"/>
      <c r="FL105" s="71"/>
      <c r="FM105" s="71"/>
      <c r="FN105" s="71"/>
      <c r="FO105" s="71"/>
      <c r="FP105" s="71"/>
      <c r="FQ105" s="71"/>
      <c r="FR105" s="71"/>
      <c r="FS105" s="71"/>
      <c r="FT105" s="71"/>
      <c r="FU105" s="71"/>
      <c r="FV105" s="71"/>
      <c r="FW105" s="71"/>
      <c r="FX105" s="71"/>
      <c r="FY105" s="71"/>
      <c r="FZ105" s="71"/>
      <c r="GA105" s="71"/>
      <c r="GB105" s="71"/>
      <c r="GC105" s="71"/>
      <c r="GD105" s="71"/>
      <c r="GE105" s="71"/>
      <c r="GF105" s="71"/>
      <c r="GG105" s="71"/>
      <c r="GH105" s="71"/>
      <c r="GI105" s="71"/>
      <c r="GJ105" s="71"/>
      <c r="GK105" s="71"/>
      <c r="GL105" s="71"/>
      <c r="GM105" s="71"/>
      <c r="GN105" s="71"/>
      <c r="GO105" s="71"/>
      <c r="GP105" s="71"/>
      <c r="GQ105" s="71"/>
      <c r="GR105" s="71"/>
      <c r="GS105" s="71"/>
      <c r="GT105" s="71"/>
      <c r="GU105" s="71"/>
      <c r="GV105" s="71"/>
      <c r="GW105" s="71"/>
      <c r="GX105" s="71"/>
      <c r="GY105" s="71"/>
      <c r="GZ105" s="71"/>
      <c r="HA105" s="71"/>
      <c r="HB105" s="71"/>
      <c r="HC105" s="71"/>
      <c r="HD105" s="71"/>
      <c r="HE105" s="71"/>
      <c r="HF105" s="71"/>
      <c r="HG105" s="71"/>
      <c r="HH105" s="71"/>
      <c r="HI105" s="71"/>
      <c r="HJ105" s="71"/>
      <c r="HK105" s="71"/>
      <c r="HL105" s="71"/>
      <c r="HM105" s="71"/>
      <c r="HN105" s="71"/>
      <c r="HO105" s="71"/>
      <c r="HP105" s="71"/>
      <c r="HQ105" s="71"/>
      <c r="HR105" s="71"/>
      <c r="HS105" s="71"/>
      <c r="HT105" s="71"/>
      <c r="HU105" s="71"/>
      <c r="HV105" s="71"/>
      <c r="HW105" s="71"/>
      <c r="HX105" s="71"/>
      <c r="HY105" s="71"/>
      <c r="HZ105" s="71"/>
      <c r="IA105" s="71"/>
      <c r="IB105" s="71"/>
      <c r="IC105" s="71"/>
      <c r="ID105" s="71"/>
      <c r="IE105" s="71"/>
      <c r="IF105" s="71"/>
      <c r="IG105" s="71"/>
      <c r="IH105" s="71"/>
      <c r="II105" s="71"/>
      <c r="IJ105" s="71"/>
      <c r="IK105" s="71"/>
      <c r="IL105" s="71"/>
      <c r="IM105" s="71"/>
      <c r="IN105" s="71"/>
      <c r="IO105" s="71"/>
      <c r="IP105" s="71"/>
      <c r="IQ105" s="71"/>
      <c r="IR105" s="71"/>
    </row>
    <row r="106" customFormat="false" ht="15.75" hidden="false" customHeight="false" outlineLevel="0" collapsed="false">
      <c r="A106" s="72"/>
      <c r="B106" s="72"/>
      <c r="C106" s="73"/>
      <c r="D106" s="68"/>
      <c r="E106" s="72"/>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c r="BK106" s="71"/>
      <c r="BL106" s="71"/>
      <c r="BM106" s="71"/>
      <c r="BN106" s="71"/>
      <c r="BO106" s="71"/>
      <c r="BP106" s="71"/>
      <c r="BQ106" s="71"/>
      <c r="BR106" s="71"/>
      <c r="BS106" s="71"/>
      <c r="BT106" s="71"/>
      <c r="BU106" s="71"/>
      <c r="BV106" s="71"/>
      <c r="BW106" s="71"/>
      <c r="BX106" s="71"/>
      <c r="BY106" s="71"/>
      <c r="BZ106" s="71"/>
      <c r="CA106" s="71"/>
      <c r="CB106" s="71"/>
      <c r="CC106" s="71"/>
      <c r="CD106" s="71"/>
      <c r="CE106" s="71"/>
      <c r="CF106" s="71"/>
      <c r="CG106" s="71"/>
      <c r="CH106" s="71"/>
      <c r="CI106" s="71"/>
      <c r="CJ106" s="71"/>
      <c r="CK106" s="71"/>
      <c r="CL106" s="71"/>
      <c r="CM106" s="71"/>
      <c r="CN106" s="71"/>
      <c r="CO106" s="71"/>
      <c r="CP106" s="71"/>
      <c r="CQ106" s="71"/>
      <c r="CR106" s="71"/>
      <c r="CS106" s="71"/>
      <c r="CT106" s="71"/>
      <c r="CU106" s="71"/>
      <c r="CV106" s="71"/>
      <c r="CW106" s="71"/>
      <c r="CX106" s="71"/>
      <c r="CY106" s="71"/>
      <c r="CZ106" s="71"/>
      <c r="DA106" s="71"/>
      <c r="DB106" s="71"/>
      <c r="DC106" s="71"/>
      <c r="DD106" s="71"/>
      <c r="DE106" s="71"/>
      <c r="DF106" s="71"/>
      <c r="DG106" s="71"/>
      <c r="DH106" s="71"/>
      <c r="DI106" s="71"/>
      <c r="DJ106" s="71"/>
      <c r="DK106" s="71"/>
      <c r="DL106" s="71"/>
      <c r="DM106" s="71"/>
      <c r="DN106" s="71"/>
      <c r="DO106" s="71"/>
      <c r="DP106" s="71"/>
      <c r="DQ106" s="71"/>
      <c r="DR106" s="71"/>
      <c r="DS106" s="71"/>
      <c r="DT106" s="71"/>
      <c r="DU106" s="71"/>
      <c r="DV106" s="71"/>
      <c r="DW106" s="71"/>
      <c r="DX106" s="71"/>
      <c r="DY106" s="71"/>
      <c r="DZ106" s="71"/>
      <c r="EA106" s="71"/>
      <c r="EB106" s="71"/>
      <c r="EC106" s="71"/>
      <c r="ED106" s="71"/>
      <c r="EE106" s="71"/>
      <c r="EF106" s="71"/>
      <c r="EG106" s="71"/>
      <c r="EH106" s="71"/>
      <c r="EI106" s="71"/>
      <c r="EJ106" s="71"/>
      <c r="EK106" s="71"/>
      <c r="EL106" s="71"/>
      <c r="EM106" s="71"/>
      <c r="EN106" s="71"/>
      <c r="EO106" s="71"/>
      <c r="EP106" s="71"/>
      <c r="EQ106" s="71"/>
      <c r="ER106" s="71"/>
      <c r="ES106" s="71"/>
      <c r="ET106" s="71"/>
      <c r="EU106" s="71"/>
      <c r="EV106" s="71"/>
      <c r="EW106" s="71"/>
      <c r="EX106" s="71"/>
      <c r="EY106" s="71"/>
      <c r="EZ106" s="71"/>
      <c r="FA106" s="71"/>
      <c r="FB106" s="71"/>
      <c r="FC106" s="71"/>
      <c r="FD106" s="71"/>
      <c r="FE106" s="71"/>
      <c r="FF106" s="71"/>
      <c r="FG106" s="71"/>
      <c r="FH106" s="71"/>
      <c r="FI106" s="71"/>
      <c r="FJ106" s="71"/>
      <c r="FK106" s="71"/>
      <c r="FL106" s="71"/>
      <c r="FM106" s="71"/>
      <c r="FN106" s="71"/>
      <c r="FO106" s="71"/>
      <c r="FP106" s="71"/>
      <c r="FQ106" s="71"/>
      <c r="FR106" s="71"/>
      <c r="FS106" s="71"/>
      <c r="FT106" s="71"/>
      <c r="FU106" s="71"/>
      <c r="FV106" s="71"/>
      <c r="FW106" s="71"/>
      <c r="FX106" s="71"/>
      <c r="FY106" s="71"/>
      <c r="FZ106" s="71"/>
      <c r="GA106" s="71"/>
      <c r="GB106" s="71"/>
      <c r="GC106" s="71"/>
      <c r="GD106" s="71"/>
      <c r="GE106" s="71"/>
      <c r="GF106" s="71"/>
      <c r="GG106" s="71"/>
      <c r="GH106" s="71"/>
      <c r="GI106" s="71"/>
      <c r="GJ106" s="71"/>
      <c r="GK106" s="71"/>
      <c r="GL106" s="71"/>
      <c r="GM106" s="71"/>
      <c r="GN106" s="71"/>
      <c r="GO106" s="71"/>
      <c r="GP106" s="71"/>
      <c r="GQ106" s="71"/>
      <c r="GR106" s="71"/>
      <c r="GS106" s="71"/>
      <c r="GT106" s="71"/>
      <c r="GU106" s="71"/>
      <c r="GV106" s="71"/>
      <c r="GW106" s="71"/>
      <c r="GX106" s="71"/>
      <c r="GY106" s="71"/>
      <c r="GZ106" s="71"/>
      <c r="HA106" s="71"/>
      <c r="HB106" s="71"/>
      <c r="HC106" s="71"/>
      <c r="HD106" s="71"/>
      <c r="HE106" s="71"/>
      <c r="HF106" s="71"/>
      <c r="HG106" s="71"/>
      <c r="HH106" s="71"/>
      <c r="HI106" s="71"/>
      <c r="HJ106" s="71"/>
      <c r="HK106" s="71"/>
      <c r="HL106" s="71"/>
      <c r="HM106" s="71"/>
      <c r="HN106" s="71"/>
      <c r="HO106" s="71"/>
      <c r="HP106" s="71"/>
      <c r="HQ106" s="71"/>
      <c r="HR106" s="71"/>
      <c r="HS106" s="71"/>
      <c r="HT106" s="71"/>
      <c r="HU106" s="71"/>
      <c r="HV106" s="71"/>
      <c r="HW106" s="71"/>
      <c r="HX106" s="71"/>
      <c r="HY106" s="71"/>
      <c r="HZ106" s="71"/>
      <c r="IA106" s="71"/>
      <c r="IB106" s="71"/>
      <c r="IC106" s="71"/>
      <c r="ID106" s="71"/>
      <c r="IE106" s="71"/>
      <c r="IF106" s="71"/>
      <c r="IG106" s="71"/>
      <c r="IH106" s="71"/>
      <c r="II106" s="71"/>
      <c r="IJ106" s="71"/>
      <c r="IK106" s="71"/>
      <c r="IL106" s="71"/>
      <c r="IM106" s="71"/>
      <c r="IN106" s="71"/>
      <c r="IO106" s="71"/>
      <c r="IP106" s="71"/>
      <c r="IQ106" s="71"/>
      <c r="IR106" s="71"/>
    </row>
    <row r="107" customFormat="false" ht="15.75" hidden="false" customHeight="false" outlineLevel="0" collapsed="false">
      <c r="A107" s="72"/>
      <c r="B107" s="72"/>
      <c r="C107" s="73"/>
      <c r="D107" s="68"/>
      <c r="E107" s="72"/>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c r="BK107" s="71"/>
      <c r="BL107" s="71"/>
      <c r="BM107" s="71"/>
      <c r="BN107" s="71"/>
      <c r="BO107" s="71"/>
      <c r="BP107" s="71"/>
      <c r="BQ107" s="71"/>
      <c r="BR107" s="71"/>
      <c r="BS107" s="71"/>
      <c r="BT107" s="71"/>
      <c r="BU107" s="71"/>
      <c r="BV107" s="71"/>
      <c r="BW107" s="71"/>
      <c r="BX107" s="71"/>
      <c r="BY107" s="71"/>
      <c r="BZ107" s="71"/>
      <c r="CA107" s="71"/>
      <c r="CB107" s="71"/>
      <c r="CC107" s="71"/>
      <c r="CD107" s="71"/>
      <c r="CE107" s="71"/>
      <c r="CF107" s="71"/>
      <c r="CG107" s="71"/>
      <c r="CH107" s="71"/>
      <c r="CI107" s="71"/>
      <c r="CJ107" s="71"/>
      <c r="CK107" s="71"/>
      <c r="CL107" s="71"/>
      <c r="CM107" s="71"/>
      <c r="CN107" s="71"/>
      <c r="CO107" s="71"/>
      <c r="CP107" s="71"/>
      <c r="CQ107" s="71"/>
      <c r="CR107" s="71"/>
      <c r="CS107" s="71"/>
      <c r="CT107" s="71"/>
      <c r="CU107" s="71"/>
      <c r="CV107" s="71"/>
      <c r="CW107" s="71"/>
      <c r="CX107" s="71"/>
      <c r="CY107" s="71"/>
      <c r="CZ107" s="71"/>
      <c r="DA107" s="71"/>
      <c r="DB107" s="71"/>
      <c r="DC107" s="71"/>
      <c r="DD107" s="71"/>
      <c r="DE107" s="71"/>
      <c r="DF107" s="71"/>
      <c r="DG107" s="71"/>
      <c r="DH107" s="71"/>
      <c r="DI107" s="71"/>
      <c r="DJ107" s="71"/>
      <c r="DK107" s="71"/>
      <c r="DL107" s="71"/>
      <c r="DM107" s="71"/>
      <c r="DN107" s="71"/>
      <c r="DO107" s="71"/>
      <c r="DP107" s="71"/>
      <c r="DQ107" s="71"/>
      <c r="DR107" s="71"/>
      <c r="DS107" s="71"/>
      <c r="DT107" s="71"/>
      <c r="DU107" s="71"/>
      <c r="DV107" s="71"/>
      <c r="DW107" s="71"/>
      <c r="DX107" s="71"/>
      <c r="DY107" s="71"/>
      <c r="DZ107" s="71"/>
      <c r="EA107" s="71"/>
      <c r="EB107" s="71"/>
      <c r="EC107" s="71"/>
      <c r="ED107" s="71"/>
      <c r="EE107" s="71"/>
      <c r="EF107" s="71"/>
      <c r="EG107" s="71"/>
      <c r="EH107" s="71"/>
      <c r="EI107" s="71"/>
      <c r="EJ107" s="71"/>
      <c r="EK107" s="71"/>
      <c r="EL107" s="71"/>
      <c r="EM107" s="71"/>
      <c r="EN107" s="71"/>
      <c r="EO107" s="71"/>
      <c r="EP107" s="71"/>
      <c r="EQ107" s="71"/>
      <c r="ER107" s="71"/>
      <c r="ES107" s="71"/>
      <c r="ET107" s="71"/>
      <c r="EU107" s="71"/>
      <c r="EV107" s="71"/>
      <c r="EW107" s="71"/>
      <c r="EX107" s="71"/>
      <c r="EY107" s="71"/>
      <c r="EZ107" s="71"/>
      <c r="FA107" s="71"/>
      <c r="FB107" s="71"/>
      <c r="FC107" s="71"/>
      <c r="FD107" s="71"/>
      <c r="FE107" s="71"/>
      <c r="FF107" s="71"/>
      <c r="FG107" s="71"/>
      <c r="FH107" s="71"/>
      <c r="FI107" s="71"/>
      <c r="FJ107" s="71"/>
      <c r="FK107" s="71"/>
      <c r="FL107" s="71"/>
      <c r="FM107" s="71"/>
      <c r="FN107" s="71"/>
      <c r="FO107" s="71"/>
      <c r="FP107" s="71"/>
      <c r="FQ107" s="71"/>
      <c r="FR107" s="71"/>
      <c r="FS107" s="71"/>
      <c r="FT107" s="71"/>
      <c r="FU107" s="71"/>
      <c r="FV107" s="71"/>
      <c r="FW107" s="71"/>
      <c r="FX107" s="71"/>
      <c r="FY107" s="71"/>
      <c r="FZ107" s="71"/>
      <c r="GA107" s="71"/>
      <c r="GB107" s="71"/>
      <c r="GC107" s="71"/>
      <c r="GD107" s="71"/>
      <c r="GE107" s="71"/>
      <c r="GF107" s="71"/>
      <c r="GG107" s="71"/>
      <c r="GH107" s="71"/>
      <c r="GI107" s="71"/>
      <c r="GJ107" s="71"/>
      <c r="GK107" s="71"/>
      <c r="GL107" s="71"/>
      <c r="GM107" s="71"/>
      <c r="GN107" s="71"/>
      <c r="GO107" s="71"/>
      <c r="GP107" s="71"/>
      <c r="GQ107" s="71"/>
      <c r="GR107" s="71"/>
      <c r="GS107" s="71"/>
      <c r="GT107" s="71"/>
      <c r="GU107" s="71"/>
      <c r="GV107" s="71"/>
      <c r="GW107" s="71"/>
      <c r="GX107" s="71"/>
      <c r="GY107" s="71"/>
      <c r="GZ107" s="71"/>
      <c r="HA107" s="71"/>
      <c r="HB107" s="71"/>
      <c r="HC107" s="71"/>
      <c r="HD107" s="71"/>
      <c r="HE107" s="71"/>
      <c r="HF107" s="71"/>
      <c r="HG107" s="71"/>
      <c r="HH107" s="71"/>
      <c r="HI107" s="71"/>
      <c r="HJ107" s="71"/>
      <c r="HK107" s="71"/>
      <c r="HL107" s="71"/>
      <c r="HM107" s="71"/>
      <c r="HN107" s="71"/>
      <c r="HO107" s="71"/>
      <c r="HP107" s="71"/>
      <c r="HQ107" s="71"/>
      <c r="HR107" s="71"/>
      <c r="HS107" s="71"/>
      <c r="HT107" s="71"/>
      <c r="HU107" s="71"/>
      <c r="HV107" s="71"/>
      <c r="HW107" s="71"/>
      <c r="HX107" s="71"/>
      <c r="HY107" s="71"/>
      <c r="HZ107" s="71"/>
      <c r="IA107" s="71"/>
      <c r="IB107" s="71"/>
      <c r="IC107" s="71"/>
      <c r="ID107" s="71"/>
      <c r="IE107" s="71"/>
      <c r="IF107" s="71"/>
      <c r="IG107" s="71"/>
      <c r="IH107" s="71"/>
      <c r="II107" s="71"/>
      <c r="IJ107" s="71"/>
      <c r="IK107" s="71"/>
      <c r="IL107" s="71"/>
      <c r="IM107" s="71"/>
      <c r="IN107" s="71"/>
      <c r="IO107" s="71"/>
      <c r="IP107" s="71"/>
      <c r="IQ107" s="71"/>
      <c r="IR107" s="71"/>
    </row>
    <row r="108" customFormat="false" ht="15.75" hidden="false" customHeight="false" outlineLevel="0" collapsed="false">
      <c r="A108" s="72"/>
      <c r="B108" s="72"/>
      <c r="C108" s="73"/>
      <c r="D108" s="68"/>
      <c r="E108" s="72"/>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c r="BK108" s="71"/>
      <c r="BL108" s="71"/>
      <c r="BM108" s="71"/>
      <c r="BN108" s="71"/>
      <c r="BO108" s="71"/>
      <c r="BP108" s="71"/>
      <c r="BQ108" s="71"/>
      <c r="BR108" s="71"/>
      <c r="BS108" s="71"/>
      <c r="BT108" s="71"/>
      <c r="BU108" s="71"/>
      <c r="BV108" s="71"/>
      <c r="BW108" s="71"/>
      <c r="BX108" s="71"/>
      <c r="BY108" s="71"/>
      <c r="BZ108" s="71"/>
      <c r="CA108" s="71"/>
      <c r="CB108" s="71"/>
      <c r="CC108" s="71"/>
      <c r="CD108" s="71"/>
      <c r="CE108" s="71"/>
      <c r="CF108" s="71"/>
      <c r="CG108" s="71"/>
      <c r="CH108" s="71"/>
      <c r="CI108" s="71"/>
      <c r="CJ108" s="71"/>
      <c r="CK108" s="71"/>
      <c r="CL108" s="71"/>
      <c r="CM108" s="71"/>
      <c r="CN108" s="71"/>
      <c r="CO108" s="71"/>
      <c r="CP108" s="71"/>
      <c r="CQ108" s="71"/>
      <c r="CR108" s="71"/>
      <c r="CS108" s="71"/>
      <c r="CT108" s="71"/>
      <c r="CU108" s="71"/>
      <c r="CV108" s="71"/>
      <c r="CW108" s="71"/>
      <c r="CX108" s="71"/>
      <c r="CY108" s="71"/>
      <c r="CZ108" s="71"/>
      <c r="DA108" s="71"/>
      <c r="DB108" s="71"/>
      <c r="DC108" s="71"/>
      <c r="DD108" s="71"/>
      <c r="DE108" s="71"/>
      <c r="DF108" s="71"/>
      <c r="DG108" s="71"/>
      <c r="DH108" s="71"/>
      <c r="DI108" s="71"/>
      <c r="DJ108" s="71"/>
      <c r="DK108" s="71"/>
      <c r="DL108" s="71"/>
      <c r="DM108" s="71"/>
      <c r="DN108" s="71"/>
      <c r="DO108" s="71"/>
      <c r="DP108" s="71"/>
      <c r="DQ108" s="71"/>
      <c r="DR108" s="71"/>
      <c r="DS108" s="71"/>
      <c r="DT108" s="71"/>
      <c r="DU108" s="71"/>
      <c r="DV108" s="71"/>
      <c r="DW108" s="71"/>
      <c r="DX108" s="71"/>
      <c r="DY108" s="71"/>
      <c r="DZ108" s="71"/>
      <c r="EA108" s="71"/>
      <c r="EB108" s="71"/>
      <c r="EC108" s="71"/>
      <c r="ED108" s="71"/>
      <c r="EE108" s="71"/>
      <c r="EF108" s="71"/>
      <c r="EG108" s="71"/>
      <c r="EH108" s="71"/>
      <c r="EI108" s="71"/>
      <c r="EJ108" s="71"/>
      <c r="EK108" s="71"/>
      <c r="EL108" s="71"/>
      <c r="EM108" s="71"/>
      <c r="EN108" s="71"/>
      <c r="EO108" s="71"/>
      <c r="EP108" s="71"/>
      <c r="EQ108" s="71"/>
      <c r="ER108" s="71"/>
      <c r="ES108" s="71"/>
      <c r="ET108" s="71"/>
      <c r="EU108" s="71"/>
      <c r="EV108" s="71"/>
      <c r="EW108" s="71"/>
      <c r="EX108" s="71"/>
      <c r="EY108" s="71"/>
      <c r="EZ108" s="71"/>
      <c r="FA108" s="71"/>
      <c r="FB108" s="71"/>
      <c r="FC108" s="71"/>
      <c r="FD108" s="71"/>
      <c r="FE108" s="71"/>
      <c r="FF108" s="71"/>
      <c r="FG108" s="71"/>
      <c r="FH108" s="71"/>
      <c r="FI108" s="71"/>
      <c r="FJ108" s="71"/>
      <c r="FK108" s="71"/>
      <c r="FL108" s="71"/>
      <c r="FM108" s="71"/>
      <c r="FN108" s="71"/>
      <c r="FO108" s="71"/>
      <c r="FP108" s="71"/>
      <c r="FQ108" s="71"/>
      <c r="FR108" s="71"/>
      <c r="FS108" s="71"/>
      <c r="FT108" s="71"/>
      <c r="FU108" s="71"/>
      <c r="FV108" s="71"/>
      <c r="FW108" s="71"/>
      <c r="FX108" s="71"/>
      <c r="FY108" s="71"/>
      <c r="FZ108" s="71"/>
      <c r="GA108" s="71"/>
      <c r="GB108" s="71"/>
      <c r="GC108" s="71"/>
      <c r="GD108" s="71"/>
      <c r="GE108" s="71"/>
      <c r="GF108" s="71"/>
      <c r="GG108" s="71"/>
      <c r="GH108" s="71"/>
      <c r="GI108" s="71"/>
      <c r="GJ108" s="71"/>
      <c r="GK108" s="71"/>
      <c r="GL108" s="71"/>
      <c r="GM108" s="71"/>
      <c r="GN108" s="71"/>
      <c r="GO108" s="71"/>
      <c r="GP108" s="71"/>
      <c r="GQ108" s="71"/>
      <c r="GR108" s="71"/>
      <c r="GS108" s="71"/>
      <c r="GT108" s="71"/>
      <c r="GU108" s="71"/>
      <c r="GV108" s="71"/>
      <c r="GW108" s="71"/>
      <c r="GX108" s="71"/>
      <c r="GY108" s="71"/>
      <c r="GZ108" s="71"/>
      <c r="HA108" s="71"/>
      <c r="HB108" s="71"/>
      <c r="HC108" s="71"/>
      <c r="HD108" s="71"/>
      <c r="HE108" s="71"/>
      <c r="HF108" s="71"/>
      <c r="HG108" s="71"/>
      <c r="HH108" s="71"/>
      <c r="HI108" s="71"/>
      <c r="HJ108" s="71"/>
      <c r="HK108" s="71"/>
      <c r="HL108" s="71"/>
      <c r="HM108" s="71"/>
      <c r="HN108" s="71"/>
      <c r="HO108" s="71"/>
      <c r="HP108" s="71"/>
      <c r="HQ108" s="71"/>
      <c r="HR108" s="71"/>
      <c r="HS108" s="71"/>
      <c r="HT108" s="71"/>
      <c r="HU108" s="71"/>
      <c r="HV108" s="71"/>
      <c r="HW108" s="71"/>
      <c r="HX108" s="71"/>
      <c r="HY108" s="71"/>
      <c r="HZ108" s="71"/>
      <c r="IA108" s="71"/>
      <c r="IB108" s="71"/>
      <c r="IC108" s="71"/>
      <c r="ID108" s="71"/>
      <c r="IE108" s="71"/>
      <c r="IF108" s="71"/>
      <c r="IG108" s="71"/>
      <c r="IH108" s="71"/>
      <c r="II108" s="71"/>
      <c r="IJ108" s="71"/>
      <c r="IK108" s="71"/>
      <c r="IL108" s="71"/>
      <c r="IM108" s="71"/>
      <c r="IN108" s="71"/>
      <c r="IO108" s="71"/>
      <c r="IP108" s="71"/>
      <c r="IQ108" s="71"/>
      <c r="IR108" s="71"/>
    </row>
    <row r="109" customFormat="false" ht="15.75" hidden="false" customHeight="false" outlineLevel="0" collapsed="false">
      <c r="A109" s="72"/>
      <c r="B109" s="72"/>
      <c r="C109" s="73"/>
      <c r="D109" s="68"/>
      <c r="E109" s="72"/>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c r="BK109" s="71"/>
      <c r="BL109" s="71"/>
      <c r="BM109" s="71"/>
      <c r="BN109" s="71"/>
      <c r="BO109" s="71"/>
      <c r="BP109" s="71"/>
      <c r="BQ109" s="71"/>
      <c r="BR109" s="71"/>
      <c r="BS109" s="71"/>
      <c r="BT109" s="71"/>
      <c r="BU109" s="71"/>
      <c r="BV109" s="71"/>
      <c r="BW109" s="71"/>
      <c r="BX109" s="71"/>
      <c r="BY109" s="71"/>
      <c r="BZ109" s="71"/>
      <c r="CA109" s="71"/>
      <c r="CB109" s="71"/>
      <c r="CC109" s="71"/>
      <c r="CD109" s="71"/>
      <c r="CE109" s="71"/>
      <c r="CF109" s="71"/>
      <c r="CG109" s="71"/>
      <c r="CH109" s="71"/>
      <c r="CI109" s="71"/>
      <c r="CJ109" s="71"/>
      <c r="CK109" s="71"/>
      <c r="CL109" s="71"/>
      <c r="CM109" s="71"/>
      <c r="CN109" s="71"/>
      <c r="CO109" s="71"/>
      <c r="CP109" s="71"/>
      <c r="CQ109" s="71"/>
      <c r="CR109" s="71"/>
      <c r="CS109" s="71"/>
      <c r="CT109" s="71"/>
      <c r="CU109" s="71"/>
      <c r="CV109" s="71"/>
      <c r="CW109" s="71"/>
      <c r="CX109" s="71"/>
      <c r="CY109" s="71"/>
      <c r="CZ109" s="71"/>
      <c r="DA109" s="71"/>
      <c r="DB109" s="71"/>
      <c r="DC109" s="71"/>
      <c r="DD109" s="71"/>
      <c r="DE109" s="71"/>
      <c r="DF109" s="71"/>
      <c r="DG109" s="71"/>
      <c r="DH109" s="71"/>
      <c r="DI109" s="71"/>
      <c r="DJ109" s="71"/>
      <c r="DK109" s="71"/>
      <c r="DL109" s="71"/>
      <c r="DM109" s="71"/>
      <c r="DN109" s="71"/>
      <c r="DO109" s="71"/>
      <c r="DP109" s="71"/>
      <c r="DQ109" s="71"/>
      <c r="DR109" s="71"/>
      <c r="DS109" s="71"/>
      <c r="DT109" s="71"/>
      <c r="DU109" s="71"/>
      <c r="DV109" s="71"/>
      <c r="DW109" s="71"/>
      <c r="DX109" s="71"/>
      <c r="DY109" s="71"/>
      <c r="DZ109" s="71"/>
      <c r="EA109" s="71"/>
      <c r="EB109" s="71"/>
      <c r="EC109" s="71"/>
      <c r="ED109" s="71"/>
      <c r="EE109" s="71"/>
      <c r="EF109" s="71"/>
      <c r="EG109" s="71"/>
      <c r="EH109" s="71"/>
      <c r="EI109" s="71"/>
      <c r="EJ109" s="71"/>
      <c r="EK109" s="71"/>
      <c r="EL109" s="71"/>
      <c r="EM109" s="71"/>
      <c r="EN109" s="71"/>
      <c r="EO109" s="71"/>
      <c r="EP109" s="71"/>
      <c r="EQ109" s="71"/>
      <c r="ER109" s="71"/>
      <c r="ES109" s="71"/>
      <c r="ET109" s="71"/>
      <c r="EU109" s="71"/>
      <c r="EV109" s="71"/>
      <c r="EW109" s="71"/>
      <c r="EX109" s="71"/>
      <c r="EY109" s="71"/>
      <c r="EZ109" s="71"/>
      <c r="FA109" s="71"/>
      <c r="FB109" s="71"/>
      <c r="FC109" s="71"/>
      <c r="FD109" s="71"/>
      <c r="FE109" s="71"/>
      <c r="FF109" s="71"/>
      <c r="FG109" s="71"/>
      <c r="FH109" s="71"/>
      <c r="FI109" s="71"/>
      <c r="FJ109" s="71"/>
      <c r="FK109" s="71"/>
      <c r="FL109" s="71"/>
      <c r="FM109" s="71"/>
      <c r="FN109" s="71"/>
      <c r="FO109" s="71"/>
      <c r="FP109" s="71"/>
      <c r="FQ109" s="71"/>
      <c r="FR109" s="71"/>
      <c r="FS109" s="71"/>
      <c r="FT109" s="71"/>
      <c r="FU109" s="71"/>
      <c r="FV109" s="71"/>
      <c r="FW109" s="71"/>
      <c r="FX109" s="71"/>
      <c r="FY109" s="71"/>
      <c r="FZ109" s="71"/>
      <c r="GA109" s="71"/>
      <c r="GB109" s="71"/>
      <c r="GC109" s="71"/>
      <c r="GD109" s="71"/>
      <c r="GE109" s="71"/>
      <c r="GF109" s="71"/>
      <c r="GG109" s="71"/>
      <c r="GH109" s="71"/>
      <c r="GI109" s="71"/>
      <c r="GJ109" s="71"/>
      <c r="GK109" s="71"/>
      <c r="GL109" s="71"/>
      <c r="GM109" s="71"/>
      <c r="GN109" s="71"/>
      <c r="GO109" s="71"/>
      <c r="GP109" s="71"/>
      <c r="GQ109" s="71"/>
      <c r="GR109" s="71"/>
      <c r="GS109" s="71"/>
      <c r="GT109" s="71"/>
      <c r="GU109" s="71"/>
      <c r="GV109" s="71"/>
      <c r="GW109" s="71"/>
      <c r="GX109" s="71"/>
      <c r="GY109" s="71"/>
      <c r="GZ109" s="71"/>
      <c r="HA109" s="71"/>
      <c r="HB109" s="71"/>
      <c r="HC109" s="71"/>
      <c r="HD109" s="71"/>
      <c r="HE109" s="71"/>
      <c r="HF109" s="71"/>
      <c r="HG109" s="71"/>
      <c r="HH109" s="71"/>
      <c r="HI109" s="71"/>
      <c r="HJ109" s="71"/>
      <c r="HK109" s="71"/>
      <c r="HL109" s="71"/>
      <c r="HM109" s="71"/>
      <c r="HN109" s="71"/>
      <c r="HO109" s="71"/>
      <c r="HP109" s="71"/>
      <c r="HQ109" s="71"/>
      <c r="HR109" s="71"/>
      <c r="HS109" s="71"/>
      <c r="HT109" s="71"/>
      <c r="HU109" s="71"/>
      <c r="HV109" s="71"/>
      <c r="HW109" s="71"/>
      <c r="HX109" s="71"/>
      <c r="HY109" s="71"/>
      <c r="HZ109" s="71"/>
      <c r="IA109" s="71"/>
      <c r="IB109" s="71"/>
      <c r="IC109" s="71"/>
      <c r="ID109" s="71"/>
      <c r="IE109" s="71"/>
      <c r="IF109" s="71"/>
      <c r="IG109" s="71"/>
      <c r="IH109" s="71"/>
      <c r="II109" s="71"/>
      <c r="IJ109" s="71"/>
      <c r="IK109" s="71"/>
      <c r="IL109" s="71"/>
      <c r="IM109" s="71"/>
      <c r="IN109" s="71"/>
      <c r="IO109" s="71"/>
      <c r="IP109" s="71"/>
      <c r="IQ109" s="71"/>
      <c r="IR109" s="71"/>
    </row>
    <row r="110" customFormat="false" ht="15.75" hidden="false" customHeight="false" outlineLevel="0" collapsed="false">
      <c r="A110" s="72"/>
      <c r="B110" s="72"/>
      <c r="C110" s="73"/>
      <c r="D110" s="68"/>
      <c r="E110" s="72"/>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c r="BK110" s="71"/>
      <c r="BL110" s="71"/>
      <c r="BM110" s="71"/>
      <c r="BN110" s="71"/>
      <c r="BO110" s="71"/>
      <c r="BP110" s="71"/>
      <c r="BQ110" s="71"/>
      <c r="BR110" s="71"/>
      <c r="BS110" s="71"/>
      <c r="BT110" s="71"/>
      <c r="BU110" s="71"/>
      <c r="BV110" s="71"/>
      <c r="BW110" s="71"/>
      <c r="BX110" s="71"/>
      <c r="BY110" s="71"/>
      <c r="BZ110" s="71"/>
      <c r="CA110" s="71"/>
      <c r="CB110" s="71"/>
      <c r="CC110" s="71"/>
      <c r="CD110" s="71"/>
      <c r="CE110" s="71"/>
      <c r="CF110" s="71"/>
      <c r="CG110" s="71"/>
      <c r="CH110" s="71"/>
      <c r="CI110" s="71"/>
      <c r="CJ110" s="71"/>
      <c r="CK110" s="71"/>
      <c r="CL110" s="71"/>
      <c r="CM110" s="71"/>
      <c r="CN110" s="71"/>
      <c r="CO110" s="71"/>
      <c r="CP110" s="71"/>
      <c r="CQ110" s="71"/>
      <c r="CR110" s="71"/>
      <c r="CS110" s="71"/>
      <c r="CT110" s="71"/>
      <c r="CU110" s="71"/>
      <c r="CV110" s="71"/>
      <c r="CW110" s="71"/>
      <c r="CX110" s="71"/>
      <c r="CY110" s="71"/>
      <c r="CZ110" s="71"/>
      <c r="DA110" s="71"/>
      <c r="DB110" s="71"/>
      <c r="DC110" s="71"/>
      <c r="DD110" s="71"/>
      <c r="DE110" s="71"/>
      <c r="DF110" s="71"/>
      <c r="DG110" s="71"/>
      <c r="DH110" s="71"/>
      <c r="DI110" s="71"/>
      <c r="DJ110" s="71"/>
      <c r="DK110" s="71"/>
      <c r="DL110" s="71"/>
      <c r="DM110" s="71"/>
      <c r="DN110" s="71"/>
      <c r="DO110" s="71"/>
      <c r="DP110" s="71"/>
      <c r="DQ110" s="71"/>
      <c r="DR110" s="71"/>
      <c r="DS110" s="71"/>
      <c r="DT110" s="71"/>
      <c r="DU110" s="71"/>
      <c r="DV110" s="71"/>
      <c r="DW110" s="71"/>
      <c r="DX110" s="71"/>
      <c r="DY110" s="71"/>
      <c r="DZ110" s="71"/>
      <c r="EA110" s="71"/>
      <c r="EB110" s="71"/>
      <c r="EC110" s="71"/>
      <c r="ED110" s="71"/>
      <c r="EE110" s="71"/>
      <c r="EF110" s="71"/>
      <c r="EG110" s="71"/>
      <c r="EH110" s="71"/>
      <c r="EI110" s="71"/>
      <c r="EJ110" s="71"/>
      <c r="EK110" s="71"/>
      <c r="EL110" s="71"/>
      <c r="EM110" s="71"/>
      <c r="EN110" s="71"/>
      <c r="EO110" s="71"/>
      <c r="EP110" s="71"/>
      <c r="EQ110" s="71"/>
      <c r="ER110" s="71"/>
      <c r="ES110" s="71"/>
      <c r="ET110" s="71"/>
      <c r="EU110" s="71"/>
      <c r="EV110" s="71"/>
      <c r="EW110" s="71"/>
      <c r="EX110" s="71"/>
      <c r="EY110" s="71"/>
      <c r="EZ110" s="71"/>
      <c r="FA110" s="71"/>
      <c r="FB110" s="71"/>
      <c r="FC110" s="71"/>
      <c r="FD110" s="71"/>
      <c r="FE110" s="71"/>
      <c r="FF110" s="71"/>
      <c r="FG110" s="71"/>
      <c r="FH110" s="71"/>
      <c r="FI110" s="71"/>
      <c r="FJ110" s="71"/>
      <c r="FK110" s="71"/>
      <c r="FL110" s="71"/>
      <c r="FM110" s="71"/>
      <c r="FN110" s="71"/>
      <c r="FO110" s="71"/>
      <c r="FP110" s="71"/>
      <c r="FQ110" s="71"/>
      <c r="FR110" s="71"/>
      <c r="FS110" s="71"/>
      <c r="FT110" s="71"/>
      <c r="FU110" s="71"/>
      <c r="FV110" s="71"/>
      <c r="FW110" s="71"/>
      <c r="FX110" s="71"/>
      <c r="FY110" s="71"/>
      <c r="FZ110" s="71"/>
      <c r="GA110" s="71"/>
      <c r="GB110" s="71"/>
      <c r="GC110" s="71"/>
      <c r="GD110" s="71"/>
      <c r="GE110" s="71"/>
      <c r="GF110" s="71"/>
      <c r="GG110" s="71"/>
      <c r="GH110" s="71"/>
      <c r="GI110" s="71"/>
      <c r="GJ110" s="71"/>
      <c r="GK110" s="71"/>
      <c r="GL110" s="71"/>
      <c r="GM110" s="71"/>
      <c r="GN110" s="71"/>
      <c r="GO110" s="71"/>
      <c r="GP110" s="71"/>
      <c r="GQ110" s="71"/>
      <c r="GR110" s="71"/>
      <c r="GS110" s="71"/>
      <c r="GT110" s="71"/>
      <c r="GU110" s="71"/>
      <c r="GV110" s="71"/>
      <c r="GW110" s="71"/>
      <c r="GX110" s="71"/>
      <c r="GY110" s="71"/>
      <c r="GZ110" s="71"/>
      <c r="HA110" s="71"/>
      <c r="HB110" s="71"/>
      <c r="HC110" s="71"/>
      <c r="HD110" s="71"/>
      <c r="HE110" s="71"/>
      <c r="HF110" s="71"/>
      <c r="HG110" s="71"/>
      <c r="HH110" s="71"/>
      <c r="HI110" s="71"/>
      <c r="HJ110" s="71"/>
      <c r="HK110" s="71"/>
      <c r="HL110" s="71"/>
      <c r="HM110" s="71"/>
      <c r="HN110" s="71"/>
      <c r="HO110" s="71"/>
      <c r="HP110" s="71"/>
      <c r="HQ110" s="71"/>
      <c r="HR110" s="71"/>
      <c r="HS110" s="71"/>
      <c r="HT110" s="71"/>
      <c r="HU110" s="71"/>
      <c r="HV110" s="71"/>
      <c r="HW110" s="71"/>
      <c r="HX110" s="71"/>
      <c r="HY110" s="71"/>
      <c r="HZ110" s="71"/>
      <c r="IA110" s="71"/>
      <c r="IB110" s="71"/>
      <c r="IC110" s="71"/>
      <c r="ID110" s="71"/>
      <c r="IE110" s="71"/>
      <c r="IF110" s="71"/>
      <c r="IG110" s="71"/>
      <c r="IH110" s="71"/>
      <c r="II110" s="71"/>
      <c r="IJ110" s="71"/>
      <c r="IK110" s="71"/>
      <c r="IL110" s="71"/>
      <c r="IM110" s="71"/>
      <c r="IN110" s="71"/>
      <c r="IO110" s="71"/>
      <c r="IP110" s="71"/>
      <c r="IQ110" s="71"/>
      <c r="IR110" s="71"/>
    </row>
  </sheetData>
  <mergeCells count="5">
    <mergeCell ref="B1:E1"/>
    <mergeCell ref="C3:E3"/>
    <mergeCell ref="C41:E41"/>
    <mergeCell ref="C50:E50"/>
    <mergeCell ref="C65:E65"/>
  </mergeCells>
  <conditionalFormatting sqref="D66:D99">
    <cfRule type="containsText" priority="10" operator="containsText" aboveAverage="0" equalAverage="0" bottom="0" percent="0" rank="0" text="Initial" dxfId="262">
      <formula>NOT(ISERROR(SEARCH("Initial",D66)))</formula>
    </cfRule>
    <cfRule type="containsText" priority="11" operator="containsText" aboveAverage="0" equalAverage="0" bottom="0" percent="0" rank="0" text="Nonexistent" dxfId="263">
      <formula>NOT(ISERROR(SEARCH("Nonexistent",D66)))</formula>
    </cfRule>
    <cfRule type="expression" priority="12" aboveAverage="0" equalAverage="0" bottom="0" percent="0" rank="0" text="" dxfId="264">
      <formula>_xludf.style(VLOOKUP(D66,#ref!,2,0))</formula>
    </cfRule>
  </conditionalFormatting>
  <conditionalFormatting sqref="D51:D64">
    <cfRule type="containsText" priority="21" operator="containsText" aboveAverage="0" equalAverage="0" bottom="0" percent="0" rank="0" text="Initial" dxfId="273">
      <formula>NOT(ISERROR(SEARCH("Initial",D51)))</formula>
    </cfRule>
    <cfRule type="containsText" priority="22" operator="containsText" aboveAverage="0" equalAverage="0" bottom="0" percent="0" rank="0" text="Nonexistent" dxfId="274">
      <formula>NOT(ISERROR(SEARCH("Nonexistent",D51)))</formula>
    </cfRule>
    <cfRule type="expression" priority="23" aboveAverage="0" equalAverage="0" bottom="0" percent="0" rank="0" text="" dxfId="275">
      <formula>_xludf.style(VLOOKUP(D51,#ref!,2,0))</formula>
    </cfRule>
  </conditionalFormatting>
  <conditionalFormatting sqref="D4:D40">
    <cfRule type="containsText" priority="32" operator="containsText" aboveAverage="0" equalAverage="0" bottom="0" percent="0" rank="0" text="Initial" dxfId="284">
      <formula>NOT(ISERROR(SEARCH("Initial",D4)))</formula>
    </cfRule>
    <cfRule type="containsText" priority="33" operator="containsText" aboveAverage="0" equalAverage="0" bottom="0" percent="0" rank="0" text="Nonexistent" dxfId="285">
      <formula>NOT(ISERROR(SEARCH("Nonexistent",D4)))</formula>
    </cfRule>
    <cfRule type="expression" priority="34" aboveAverage="0" equalAverage="0" bottom="0" percent="0" rank="0" text="" dxfId="286">
      <formula>_xludf.style(VLOOKUP(D4,#ref!,2,0))</formula>
    </cfRule>
  </conditionalFormatting>
  <conditionalFormatting sqref="D48:D49">
    <cfRule type="containsText" priority="43" operator="containsText" aboveAverage="0" equalAverage="0" bottom="0" percent="0" rank="0" text="Initial" dxfId="295">
      <formula>NOT(ISERROR(SEARCH("Initial",D48)))</formula>
    </cfRule>
    <cfRule type="containsText" priority="44" operator="containsText" aboveAverage="0" equalAverage="0" bottom="0" percent="0" rank="0" text="Nonexistent" dxfId="296">
      <formula>NOT(ISERROR(SEARCH("Nonexistent",D48)))</formula>
    </cfRule>
    <cfRule type="expression" priority="45" aboveAverage="0" equalAverage="0" bottom="0" percent="0" rank="0" text="" dxfId="297">
      <formula>_xludf.style(VLOOKUP(D48,#ref!,2,0))</formula>
    </cfRule>
  </conditionalFormatting>
  <conditionalFormatting sqref="D42:D47">
    <cfRule type="containsText" priority="54" operator="containsText" aboveAverage="0" equalAverage="0" bottom="0" percent="0" rank="0" text="Initial" dxfId="306">
      <formula>NOT(ISERROR(SEARCH("Initial",D42)))</formula>
    </cfRule>
    <cfRule type="containsText" priority="55" operator="containsText" aboveAverage="0" equalAverage="0" bottom="0" percent="0" rank="0" text="Nonexistent" dxfId="307">
      <formula>NOT(ISERROR(SEARCH("Nonexistent",D42)))</formula>
    </cfRule>
    <cfRule type="expression" priority="56" aboveAverage="0" equalAverage="0" bottom="0" percent="0" rank="0" text="" dxfId="308">
      <formula>_xludf.style(VLOOKUP(D42,#ref!,2,0))</formula>
    </cfRule>
  </conditionalFormatting>
  <dataValidations count="1">
    <dataValidation allowBlank="true" errorStyle="stop" operator="equal" promptTitle="Select status" showDropDown="false" showErrorMessage="true" showInputMessage="true" sqref="D4:D40 D42:D49 D51:D64 D66:D99" type="list">
      <formula1>Metrics!$B$3:$B$10</formula1>
      <formula2>0</formula2>
    </dataValidation>
  </dataValidations>
  <printOptions headings="false" gridLines="true" gridLinesSet="true" horizontalCentered="false" verticalCentered="false"/>
  <pageMargins left="0.39375" right="0.295138888888889" top="0.295138888888889" bottom="0.315972222222222" header="0.511811023622047" footer="0.177083333333333"/>
  <pageSetup paperSize="9" scale="100" fitToWidth="1" fitToHeight="15" pageOrder="downThenOver" orientation="portrait" blackAndWhite="false" draft="false" cellComments="none" horizontalDpi="300" verticalDpi="300" copies="1"/>
  <headerFooter differentFirst="false" differentOddEven="false">
    <oddHeader/>
    <oddFooter>&amp;C&amp;D&amp;RPage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cellIs" priority="2" operator="equal" id="{D67FE031-A569-414E-876C-282B6E3A9CEC}">
            <xm:f>'NIST CSF 2'!$B$10</xm:f>
            <x14:dxf>
              <font>
                <color rgb="FFFFFFFF"/>
              </font>
              <fill>
                <patternFill>
                  <bgColor theme="0" tint="-0.35"/>
                </patternFill>
              </fill>
            </x14:dxf>
          </x14:cfRule>
          <x14:cfRule type="cellIs" priority="3" operator="equal" id="{3815BB68-24E3-4334-BB2A-65D05B9C58D2}">
            <xm:f>'NIST CSF 2'!$B$9</xm:f>
            <x14:dxf>
              <font>
                <color rgb="FFFFFFFF"/>
              </font>
              <fill>
                <patternFill>
                  <bgColor rgb="FF336600"/>
                </patternFill>
              </fill>
            </x14:dxf>
          </x14:cfRule>
          <x14:cfRule type="cellIs" priority="4" operator="equal" id="{7AB04429-E6DC-4CEF-A26B-FEF0B41D755D}">
            <xm:f>'NIST CSF 2'!$B$8</xm:f>
            <x14:dxf>
              <font>
                <color rgb="FFFFFFFF"/>
              </font>
              <fill>
                <patternFill>
                  <bgColor rgb="FF92D050"/>
                </patternFill>
              </fill>
            </x14:dxf>
          </x14:cfRule>
          <x14:cfRule type="cellIs" priority="5" operator="equal" id="{A63E94AE-39DB-4563-BDA6-E09A334BD3E0}">
            <xm:f>'NIST CSF 2'!$B$7</xm:f>
            <x14:dxf>
              <font>
                <color rgb="FFFFFFFF"/>
              </font>
              <fill>
                <patternFill>
                  <bgColor rgb="FFFFC000"/>
                </patternFill>
              </fill>
            </x14:dxf>
          </x14:cfRule>
          <x14:cfRule type="cellIs" priority="6" operator="equal" id="{4C1C2BCD-131E-4751-94D3-C16582DEFC56}">
            <xm:f>'NIST CSF 2'!$B$6</xm:f>
            <x14:dxf>
              <font>
                <color rgb="FFFFFFFF"/>
              </font>
              <fill>
                <patternFill>
                  <bgColor theme="2" tint="-0.5"/>
                </patternFill>
              </fill>
            </x14:dxf>
          </x14:cfRule>
          <x14:cfRule type="cellIs" priority="7" operator="equal" id="{6200E233-9F50-4020-B3AD-D9CF50B4A3F0}">
            <xm:f>'NIST CSF 2'!$B$5</xm:f>
            <x14:dxf>
              <font>
                <color rgb="FFFFFFFF"/>
              </font>
              <fill>
                <patternFill>
                  <bgColor rgb="FFC00000"/>
                </patternFill>
              </fill>
            </x14:dxf>
          </x14:cfRule>
          <x14:cfRule type="cellIs" priority="8" operator="equal" id="{359BCBD6-3852-4B37-AFB6-156E5229ED48}">
            <xm:f>'NIST CSF 2'!$B$4</xm:f>
            <x14:dxf>
              <font>
                <color rgb="FFFFFFFF"/>
              </font>
              <fill>
                <patternFill>
                  <bgColor rgb="FFFF0000"/>
                </patternFill>
              </fill>
            </x14:dxf>
          </x14:cfRule>
          <x14:cfRule type="cellIs" priority="9" operator="equal" id="{201FC9A7-A4EE-409E-8CD1-2FD1EB877F62}">
            <xm:f>'NIST CSF 2'!$B$3</xm:f>
            <x14:dxf>
              <font>
                <color rgb="FFD9D9D9"/>
              </font>
              <fill>
                <patternFill>
                  <bgColor theme="0"/>
                </patternFill>
              </fill>
            </x14:dxf>
          </x14:cfRule>
          <xm:sqref>D66:D99</xm:sqref>
        </x14:conditionalFormatting>
        <x14:conditionalFormatting xmlns:xm="http://schemas.microsoft.com/office/excel/2006/main">
          <x14:cfRule type="cellIs" priority="13" operator="equal" id="{42A4D889-1AB5-4068-ABF5-83D03E1F122B}">
            <xm:f>'NIST CSF 2'!$B$10</xm:f>
            <x14:dxf>
              <font>
                <color rgb="FFFFFFFF"/>
              </font>
              <fill>
                <patternFill>
                  <bgColor theme="0" tint="-0.35"/>
                </patternFill>
              </fill>
            </x14:dxf>
          </x14:cfRule>
          <x14:cfRule type="cellIs" priority="14" operator="equal" id="{9AFF81F6-205A-4421-9A1A-501B472E4AAB}">
            <xm:f>'NIST CSF 2'!$B$9</xm:f>
            <x14:dxf>
              <font>
                <color rgb="FFFFFFFF"/>
              </font>
              <fill>
                <patternFill>
                  <bgColor rgb="FF336600"/>
                </patternFill>
              </fill>
            </x14:dxf>
          </x14:cfRule>
          <x14:cfRule type="cellIs" priority="15" operator="equal" id="{71241C37-9A90-44F3-BCA3-87A1CF92943E}">
            <xm:f>'NIST CSF 2'!$B$8</xm:f>
            <x14:dxf>
              <font>
                <color rgb="FFFFFFFF"/>
              </font>
              <fill>
                <patternFill>
                  <bgColor rgb="FF92D050"/>
                </patternFill>
              </fill>
            </x14:dxf>
          </x14:cfRule>
          <x14:cfRule type="cellIs" priority="16" operator="equal" id="{103FBCCC-17F0-4C20-AB2D-CE53DAB76BAF}">
            <xm:f>'NIST CSF 2'!$B$7</xm:f>
            <x14:dxf>
              <font>
                <color rgb="FFFFFFFF"/>
              </font>
              <fill>
                <patternFill>
                  <bgColor rgb="FFFFC000"/>
                </patternFill>
              </fill>
            </x14:dxf>
          </x14:cfRule>
          <x14:cfRule type="cellIs" priority="17" operator="equal" id="{7C7C2C22-ADC5-419C-955C-FFB86E86E333}">
            <xm:f>'NIST CSF 2'!$B$6</xm:f>
            <x14:dxf>
              <font>
                <color rgb="FFFFFFFF"/>
              </font>
              <fill>
                <patternFill>
                  <bgColor theme="2" tint="-0.5"/>
                </patternFill>
              </fill>
            </x14:dxf>
          </x14:cfRule>
          <x14:cfRule type="cellIs" priority="18" operator="equal" id="{3D1634F7-1866-4E91-B8C5-B9C9EBFAA93C}">
            <xm:f>'NIST CSF 2'!$B$5</xm:f>
            <x14:dxf>
              <font>
                <color rgb="FFFFFFFF"/>
              </font>
              <fill>
                <patternFill>
                  <bgColor rgb="FFC00000"/>
                </patternFill>
              </fill>
            </x14:dxf>
          </x14:cfRule>
          <x14:cfRule type="cellIs" priority="19" operator="equal" id="{9610EE25-DBD7-456B-868D-CD453886ADB0}">
            <xm:f>'NIST CSF 2'!$B$4</xm:f>
            <x14:dxf>
              <font>
                <color rgb="FFFFFFFF"/>
              </font>
              <fill>
                <patternFill>
                  <bgColor rgb="FFFF0000"/>
                </patternFill>
              </fill>
            </x14:dxf>
          </x14:cfRule>
          <x14:cfRule type="cellIs" priority="20" operator="equal" id="{D55B79C1-F01F-447C-ADCE-F7B04CD087D4}">
            <xm:f>'NIST CSF 2'!$B$3</xm:f>
            <x14:dxf>
              <font>
                <color rgb="FFD9D9D9"/>
              </font>
              <fill>
                <patternFill>
                  <bgColor theme="0"/>
                </patternFill>
              </fill>
            </x14:dxf>
          </x14:cfRule>
          <xm:sqref>D51:D64</xm:sqref>
        </x14:conditionalFormatting>
        <x14:conditionalFormatting xmlns:xm="http://schemas.microsoft.com/office/excel/2006/main">
          <x14:cfRule type="cellIs" priority="24" operator="equal" id="{1DFEB689-404E-4323-ACAC-C054BB9C3014}">
            <xm:f>'NIST CSF 2'!$B$10</xm:f>
            <x14:dxf>
              <font>
                <color rgb="FFFFFFFF"/>
              </font>
              <fill>
                <patternFill>
                  <bgColor theme="0" tint="-0.35"/>
                </patternFill>
              </fill>
            </x14:dxf>
          </x14:cfRule>
          <x14:cfRule type="cellIs" priority="25" operator="equal" id="{5D304FD3-A072-422C-B814-412FE1BE6884}">
            <xm:f>'NIST CSF 2'!$B$9</xm:f>
            <x14:dxf>
              <font>
                <color rgb="FFFFFFFF"/>
              </font>
              <fill>
                <patternFill>
                  <bgColor rgb="FF336600"/>
                </patternFill>
              </fill>
            </x14:dxf>
          </x14:cfRule>
          <x14:cfRule type="cellIs" priority="26" operator="equal" id="{37B8712A-9819-402D-855C-2B35E874D330}">
            <xm:f>'NIST CSF 2'!$B$8</xm:f>
            <x14:dxf>
              <font>
                <color rgb="FFFFFFFF"/>
              </font>
              <fill>
                <patternFill>
                  <bgColor rgb="FF92D050"/>
                </patternFill>
              </fill>
            </x14:dxf>
          </x14:cfRule>
          <x14:cfRule type="cellIs" priority="27" operator="equal" id="{B1F52386-FE50-4761-B1A6-35ED679B9510}">
            <xm:f>'NIST CSF 2'!$B$7</xm:f>
            <x14:dxf>
              <font>
                <color rgb="FFFFFFFF"/>
              </font>
              <fill>
                <patternFill>
                  <bgColor rgb="FFFFC000"/>
                </patternFill>
              </fill>
            </x14:dxf>
          </x14:cfRule>
          <x14:cfRule type="cellIs" priority="28" operator="equal" id="{5DD8F7C6-C34E-4C62-85FC-16A8EB39BDDC}">
            <xm:f>'NIST CSF 2'!$B$6</xm:f>
            <x14:dxf>
              <font>
                <color rgb="FFFFFFFF"/>
              </font>
              <fill>
                <patternFill>
                  <bgColor theme="2" tint="-0.5"/>
                </patternFill>
              </fill>
            </x14:dxf>
          </x14:cfRule>
          <x14:cfRule type="cellIs" priority="29" operator="equal" id="{98183840-17B3-4366-AA6B-B1BAAF9760C0}">
            <xm:f>'NIST CSF 2'!$B$5</xm:f>
            <x14:dxf>
              <font>
                <color rgb="FFFFFFFF"/>
              </font>
              <fill>
                <patternFill>
                  <bgColor rgb="FFC00000"/>
                </patternFill>
              </fill>
            </x14:dxf>
          </x14:cfRule>
          <x14:cfRule type="cellIs" priority="30" operator="equal" id="{9A76F06F-72F6-41EE-8041-A35062256F41}">
            <xm:f>'NIST CSF 2'!$B$4</xm:f>
            <x14:dxf>
              <font>
                <color rgb="FFFFFFFF"/>
              </font>
              <fill>
                <patternFill>
                  <bgColor rgb="FFFF0000"/>
                </patternFill>
              </fill>
            </x14:dxf>
          </x14:cfRule>
          <x14:cfRule type="cellIs" priority="31" operator="equal" id="{9B808458-61D7-4740-B848-D0A9D4FE84BD}">
            <xm:f>'NIST CSF 2'!$B$3</xm:f>
            <x14:dxf>
              <font>
                <color rgb="FFD9D9D9"/>
              </font>
              <fill>
                <patternFill>
                  <bgColor theme="0"/>
                </patternFill>
              </fill>
            </x14:dxf>
          </x14:cfRule>
          <xm:sqref>D4:D40</xm:sqref>
        </x14:conditionalFormatting>
        <x14:conditionalFormatting xmlns:xm="http://schemas.microsoft.com/office/excel/2006/main">
          <x14:cfRule type="cellIs" priority="35" operator="equal" id="{80EB6983-6B30-4D30-AF85-42B3AF7C6429}">
            <xm:f>'NIST CSF 2'!$B$10</xm:f>
            <x14:dxf>
              <font>
                <color rgb="FFFFFFFF"/>
              </font>
              <fill>
                <patternFill>
                  <bgColor theme="0" tint="-0.35"/>
                </patternFill>
              </fill>
            </x14:dxf>
          </x14:cfRule>
          <x14:cfRule type="cellIs" priority="36" operator="equal" id="{498231D4-39AA-4F67-8CBD-217A2E4EF7D0}">
            <xm:f>'NIST CSF 2'!$B$9</xm:f>
            <x14:dxf>
              <font>
                <color rgb="FFFFFFFF"/>
              </font>
              <fill>
                <patternFill>
                  <bgColor rgb="FF336600"/>
                </patternFill>
              </fill>
            </x14:dxf>
          </x14:cfRule>
          <x14:cfRule type="cellIs" priority="37" operator="equal" id="{EAC63B7B-7F76-4796-8458-EF37CA85C06D}">
            <xm:f>'NIST CSF 2'!$B$8</xm:f>
            <x14:dxf>
              <font>
                <color rgb="FFFFFFFF"/>
              </font>
              <fill>
                <patternFill>
                  <bgColor rgb="FF92D050"/>
                </patternFill>
              </fill>
            </x14:dxf>
          </x14:cfRule>
          <x14:cfRule type="cellIs" priority="38" operator="equal" id="{98E0618A-C992-4E47-BB29-47FC1431FDA8}">
            <xm:f>'NIST CSF 2'!$B$7</xm:f>
            <x14:dxf>
              <font>
                <color rgb="FFFFFFFF"/>
              </font>
              <fill>
                <patternFill>
                  <bgColor rgb="FFFFC000"/>
                </patternFill>
              </fill>
            </x14:dxf>
          </x14:cfRule>
          <x14:cfRule type="cellIs" priority="39" operator="equal" id="{E08DDEDE-3C2B-4311-AAD4-D1AF706041AE}">
            <xm:f>'NIST CSF 2'!$B$6</xm:f>
            <x14:dxf>
              <font>
                <color rgb="FFFFFFFF"/>
              </font>
              <fill>
                <patternFill>
                  <bgColor theme="2" tint="-0.5"/>
                </patternFill>
              </fill>
            </x14:dxf>
          </x14:cfRule>
          <x14:cfRule type="cellIs" priority="40" operator="equal" id="{5293DCDA-8917-4148-99B3-F093A0808CA9}">
            <xm:f>'NIST CSF 2'!$B$5</xm:f>
            <x14:dxf>
              <font>
                <color rgb="FFFFFFFF"/>
              </font>
              <fill>
                <patternFill>
                  <bgColor rgb="FFC00000"/>
                </patternFill>
              </fill>
            </x14:dxf>
          </x14:cfRule>
          <x14:cfRule type="cellIs" priority="41" operator="equal" id="{72B1265E-A675-44CA-A032-E3C5F0C6DDB8}">
            <xm:f>'NIST CSF 2'!$B$4</xm:f>
            <x14:dxf>
              <font>
                <color rgb="FFFFFFFF"/>
              </font>
              <fill>
                <patternFill>
                  <bgColor rgb="FFFF0000"/>
                </patternFill>
              </fill>
            </x14:dxf>
          </x14:cfRule>
          <x14:cfRule type="cellIs" priority="42" operator="equal" id="{FD5BF6A1-DF8F-44A7-A7B9-C0557C294AF0}">
            <xm:f>'NIST CSF 2'!$B$3</xm:f>
            <x14:dxf>
              <font>
                <color rgb="FFD9D9D9"/>
              </font>
              <fill>
                <patternFill>
                  <bgColor theme="0"/>
                </patternFill>
              </fill>
            </x14:dxf>
          </x14:cfRule>
          <xm:sqref>D48:D49</xm:sqref>
        </x14:conditionalFormatting>
        <x14:conditionalFormatting xmlns:xm="http://schemas.microsoft.com/office/excel/2006/main">
          <x14:cfRule type="cellIs" priority="46" operator="equal" id="{C96815C6-FAD0-4AC5-BDE6-188CF9B45FAE}">
            <xm:f>'NIST CSF 2'!$B$10</xm:f>
            <x14:dxf>
              <font>
                <color rgb="FFFFFFFF"/>
              </font>
              <fill>
                <patternFill>
                  <bgColor theme="0" tint="-0.35"/>
                </patternFill>
              </fill>
            </x14:dxf>
          </x14:cfRule>
          <x14:cfRule type="cellIs" priority="47" operator="equal" id="{3DCAF92D-F27A-4BE5-9A20-B5641EDB00E8}">
            <xm:f>'NIST CSF 2'!$B$9</xm:f>
            <x14:dxf>
              <font>
                <color rgb="FFFFFFFF"/>
              </font>
              <fill>
                <patternFill>
                  <bgColor rgb="FF336600"/>
                </patternFill>
              </fill>
            </x14:dxf>
          </x14:cfRule>
          <x14:cfRule type="cellIs" priority="48" operator="equal" id="{EAFD686A-5F68-4088-9C9A-D7BE7BFEBAAD}">
            <xm:f>'NIST CSF 2'!$B$8</xm:f>
            <x14:dxf>
              <font>
                <color rgb="FFFFFFFF"/>
              </font>
              <fill>
                <patternFill>
                  <bgColor rgb="FF92D050"/>
                </patternFill>
              </fill>
            </x14:dxf>
          </x14:cfRule>
          <x14:cfRule type="cellIs" priority="49" operator="equal" id="{4BB4C15C-CC1F-49E3-B5B9-527F21EB9967}">
            <xm:f>'NIST CSF 2'!$B$7</xm:f>
            <x14:dxf>
              <font>
                <color rgb="FFFFFFFF"/>
              </font>
              <fill>
                <patternFill>
                  <bgColor rgb="FFFFC000"/>
                </patternFill>
              </fill>
            </x14:dxf>
          </x14:cfRule>
          <x14:cfRule type="cellIs" priority="50" operator="equal" id="{6822A384-8888-42EF-992B-3232F064C1FF}">
            <xm:f>'NIST CSF 2'!$B$6</xm:f>
            <x14:dxf>
              <font>
                <color rgb="FFFFFFFF"/>
              </font>
              <fill>
                <patternFill>
                  <bgColor theme="2" tint="-0.5"/>
                </patternFill>
              </fill>
            </x14:dxf>
          </x14:cfRule>
          <x14:cfRule type="cellIs" priority="51" operator="equal" id="{34A13978-8E9C-44FA-A3D9-BE993D8780B2}">
            <xm:f>'NIST CSF 2'!$B$5</xm:f>
            <x14:dxf>
              <font>
                <color rgb="FFFFFFFF"/>
              </font>
              <fill>
                <patternFill>
                  <bgColor rgb="FFC00000"/>
                </patternFill>
              </fill>
            </x14:dxf>
          </x14:cfRule>
          <x14:cfRule type="cellIs" priority="52" operator="equal" id="{C5E6E813-A8F2-4C9B-8DEA-9B716BD08514}">
            <xm:f>'NIST CSF 2'!$B$4</xm:f>
            <x14:dxf>
              <font>
                <color rgb="FFFFFFFF"/>
              </font>
              <fill>
                <patternFill>
                  <bgColor rgb="FFFF0000"/>
                </patternFill>
              </fill>
            </x14:dxf>
          </x14:cfRule>
          <x14:cfRule type="cellIs" priority="53" operator="equal" id="{FF9BF8F3-6645-4EE0-9AAC-B82713B3B34D}">
            <xm:f>'NIST CSF 2'!$B$3</xm:f>
            <x14:dxf>
              <font>
                <color rgb="FFD9D9D9"/>
              </font>
              <fill>
                <patternFill>
                  <bgColor theme="0"/>
                </patternFill>
              </fill>
            </x14:dxf>
          </x14:cfRule>
          <xm:sqref>D42:D47</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319"/>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R6" activeCellId="0" sqref="R6"/>
    </sheetView>
  </sheetViews>
  <sheetFormatPr defaultColWidth="9.1484375" defaultRowHeight="12.75" zeroHeight="false" outlineLevelRow="0" outlineLevelCol="0"/>
  <cols>
    <col collapsed="false" customWidth="true" hidden="false" outlineLevel="0" max="1" min="1" style="50" width="3.29"/>
    <col collapsed="false" customWidth="true" hidden="false" outlineLevel="0" max="2" min="2" style="50" width="14"/>
    <col collapsed="false" customWidth="true" hidden="false" outlineLevel="0" max="3" min="3" style="50" width="31.71"/>
    <col collapsed="false" customWidth="true" hidden="false" outlineLevel="0" max="4" min="4" style="50" width="13.29"/>
    <col collapsed="false" customWidth="true" hidden="false" outlineLevel="0" max="5" min="5" style="50" width="13"/>
    <col collapsed="false" customWidth="false" hidden="false" outlineLevel="0" max="16384" min="6" style="50" width="9.14"/>
  </cols>
  <sheetData>
    <row r="2" s="74" customFormat="true" ht="43.5" hidden="false" customHeight="true" outlineLevel="0" collapsed="false">
      <c r="B2" s="75" t="s">
        <v>22</v>
      </c>
      <c r="C2" s="76" t="s">
        <v>297</v>
      </c>
      <c r="D2" s="77" t="s">
        <v>298</v>
      </c>
      <c r="E2" s="78" t="s">
        <v>299</v>
      </c>
    </row>
    <row r="3" s="79" customFormat="true" ht="58.5" hidden="false" customHeight="true" outlineLevel="0" collapsed="false">
      <c r="B3" s="80" t="s">
        <v>103</v>
      </c>
      <c r="C3" s="81" t="s">
        <v>300</v>
      </c>
      <c r="D3" s="82" t="n">
        <f aca="false">COUNTIF('Mandatory ISMS requirements'!$D$3:$D$60,$B3)/'Mandatory ISMS requirements'!$D$61</f>
        <v>0</v>
      </c>
      <c r="E3" s="83" t="n">
        <f aca="false">COUNTIF('Annex A controls'!$D$3:$D$99,$B3)/ControlTotal</f>
        <v>0.924731182795699</v>
      </c>
    </row>
    <row r="4" s="79" customFormat="true" ht="58.5" hidden="false" customHeight="true" outlineLevel="0" collapsed="false">
      <c r="B4" s="84" t="s">
        <v>38</v>
      </c>
      <c r="C4" s="85" t="s">
        <v>301</v>
      </c>
      <c r="D4" s="86" t="n">
        <f aca="false">COUNTIF('Mandatory ISMS requirements'!$D$3:$D$60,$B4)/'Mandatory ISMS requirements'!$D$61</f>
        <v>0.0714285714285714</v>
      </c>
      <c r="E4" s="87" t="n">
        <f aca="false">COUNTIF('Annex A controls'!$D$3:$D$99,$B4)/ControlTotal</f>
        <v>0.010752688172043</v>
      </c>
    </row>
    <row r="5" s="79" customFormat="true" ht="58.5" hidden="false" customHeight="true" outlineLevel="0" collapsed="false">
      <c r="B5" s="84" t="s">
        <v>27</v>
      </c>
      <c r="C5" s="85" t="s">
        <v>302</v>
      </c>
      <c r="D5" s="86" t="n">
        <f aca="false">COUNTIF('Mandatory ISMS requirements'!$D$3:$D$60,$B5)/'Mandatory ISMS requirements'!$D$61</f>
        <v>0.785714285714286</v>
      </c>
      <c r="E5" s="87" t="n">
        <f aca="false">COUNTIF('Annex A controls'!$D$3:$D$99,$B5)/ControlTotal</f>
        <v>0.010752688172043</v>
      </c>
    </row>
    <row r="6" s="79" customFormat="true" ht="58.5" hidden="false" customHeight="true" outlineLevel="0" collapsed="false">
      <c r="B6" s="84" t="s">
        <v>31</v>
      </c>
      <c r="C6" s="85" t="s">
        <v>303</v>
      </c>
      <c r="D6" s="86" t="n">
        <f aca="false">COUNTIF('Mandatory ISMS requirements'!$D$3:$D$60,$B6)/'Mandatory ISMS requirements'!$D$61</f>
        <v>0.0714285714285714</v>
      </c>
      <c r="E6" s="87" t="n">
        <f aca="false">COUNTIF('Annex A controls'!$D$3:$D$99,$B6)/ControlTotal</f>
        <v>0.010752688172043</v>
      </c>
    </row>
    <row r="7" s="79" customFormat="true" ht="58.5" hidden="false" customHeight="true" outlineLevel="0" collapsed="false">
      <c r="B7" s="84" t="s">
        <v>42</v>
      </c>
      <c r="C7" s="85" t="s">
        <v>304</v>
      </c>
      <c r="D7" s="86" t="n">
        <f aca="false">COUNTIF('Mandatory ISMS requirements'!$D$3:$D$60,$B7)/'Mandatory ISMS requirements'!$D$61</f>
        <v>0.0357142857142857</v>
      </c>
      <c r="E7" s="87" t="n">
        <f aca="false">COUNTIF('Annex A controls'!$D$3:$D$99,$B7)/ControlTotal</f>
        <v>0.010752688172043</v>
      </c>
    </row>
    <row r="8" s="79" customFormat="true" ht="58.5" hidden="false" customHeight="true" outlineLevel="0" collapsed="false">
      <c r="B8" s="84" t="s">
        <v>190</v>
      </c>
      <c r="C8" s="85" t="s">
        <v>305</v>
      </c>
      <c r="D8" s="86" t="n">
        <f aca="false">COUNTIF('Mandatory ISMS requirements'!$D$3:$D$60,$B8)/'Mandatory ISMS requirements'!$D$61</f>
        <v>0</v>
      </c>
      <c r="E8" s="87" t="n">
        <f aca="false">COUNTIF('Annex A controls'!$D$3:$D$99,$B8)/ControlTotal</f>
        <v>0.010752688172043</v>
      </c>
    </row>
    <row r="9" s="79" customFormat="true" ht="58.5" hidden="false" customHeight="true" outlineLevel="0" collapsed="false">
      <c r="B9" s="84" t="s">
        <v>193</v>
      </c>
      <c r="C9" s="85" t="s">
        <v>306</v>
      </c>
      <c r="D9" s="86" t="n">
        <f aca="false">COUNTIF('Mandatory ISMS requirements'!$D$3:$D$60,$B9)/'Mandatory ISMS requirements'!$D$61</f>
        <v>0</v>
      </c>
      <c r="E9" s="87" t="n">
        <f aca="false">COUNTIF('Annex A controls'!$D$3:$D$99,$B9)/ControlTotal</f>
        <v>0.010752688172043</v>
      </c>
    </row>
    <row r="10" s="79" customFormat="true" ht="58.5" hidden="false" customHeight="true" outlineLevel="0" collapsed="false">
      <c r="B10" s="88" t="s">
        <v>47</v>
      </c>
      <c r="C10" s="89" t="s">
        <v>307</v>
      </c>
      <c r="D10" s="90" t="n">
        <f aca="false">COUNTIF('Mandatory ISMS requirements'!$D$3:$D$60,$B10)/'Mandatory ISMS requirements'!$D$61</f>
        <v>0.0357142857142857</v>
      </c>
      <c r="E10" s="91" t="n">
        <f aca="false">COUNTIF('Annex A controls'!$D$3:$D$99,$B10)/ControlTotal</f>
        <v>0.010752688172043</v>
      </c>
    </row>
    <row r="11" s="79" customFormat="true" ht="12.75" hidden="false" customHeight="false" outlineLevel="0" collapsed="false">
      <c r="C11" s="92" t="s">
        <v>308</v>
      </c>
      <c r="D11" s="93" t="n">
        <f aca="false">SUM(D3:D10)</f>
        <v>1</v>
      </c>
      <c r="E11" s="93" t="n">
        <f aca="false">SUM(E3:E10)</f>
        <v>1</v>
      </c>
    </row>
    <row r="12" s="79" customFormat="true" ht="12.75" hidden="false" customHeight="false" outlineLevel="0" collapsed="false"/>
    <row r="13" s="79" customFormat="true" ht="12.75" hidden="false" customHeight="false" outlineLevel="0" collapsed="false"/>
    <row r="14" s="79" customFormat="true" ht="19.7" hidden="false" customHeight="false" outlineLevel="0" collapsed="false">
      <c r="B14" s="94"/>
    </row>
    <row r="15" s="79" customFormat="true" ht="19.7" hidden="false" customHeight="false" outlineLevel="0" collapsed="false">
      <c r="B15" s="94"/>
    </row>
    <row r="16" s="79" customFormat="true" ht="19.7" hidden="false" customHeight="false" outlineLevel="0" collapsed="false">
      <c r="B16" s="94"/>
    </row>
    <row r="17" s="79" customFormat="true" ht="12.75" hidden="false" customHeight="false" outlineLevel="0" collapsed="false"/>
    <row r="18" s="79" customFormat="true" ht="12.75" hidden="false" customHeight="false" outlineLevel="0" collapsed="false"/>
    <row r="19" s="79" customFormat="true" ht="12.75" hidden="false" customHeight="false" outlineLevel="0" collapsed="false"/>
    <row r="20" s="79" customFormat="true" ht="12.75" hidden="false" customHeight="false" outlineLevel="0" collapsed="false"/>
    <row r="21" s="79" customFormat="true" ht="12.75" hidden="false" customHeight="false" outlineLevel="0" collapsed="false"/>
    <row r="22" s="79" customFormat="true" ht="12.75" hidden="false" customHeight="false" outlineLevel="0" collapsed="false"/>
    <row r="23" s="79" customFormat="true" ht="12.75" hidden="false" customHeight="false" outlineLevel="0" collapsed="false"/>
    <row r="24" s="79" customFormat="true" ht="12.75" hidden="false" customHeight="false" outlineLevel="0" collapsed="false"/>
    <row r="25" s="79" customFormat="true" ht="12.75" hidden="false" customHeight="false" outlineLevel="0" collapsed="false"/>
    <row r="26" s="79" customFormat="true" ht="12.75" hidden="false" customHeight="false" outlineLevel="0" collapsed="false"/>
    <row r="27" s="79" customFormat="true" ht="12.75" hidden="false" customHeight="false" outlineLevel="0" collapsed="false"/>
    <row r="28" s="79" customFormat="true" ht="12.75" hidden="false" customHeight="false" outlineLevel="0" collapsed="false"/>
    <row r="29" s="79" customFormat="true" ht="12.75" hidden="false" customHeight="false" outlineLevel="0" collapsed="false"/>
    <row r="30" s="79" customFormat="true" ht="12.75" hidden="false" customHeight="false" outlineLevel="0" collapsed="false"/>
    <row r="31" s="79" customFormat="true" ht="12.75" hidden="false" customHeight="false" outlineLevel="0" collapsed="false"/>
    <row r="32" s="79" customFormat="true" ht="12.75" hidden="false" customHeight="false" outlineLevel="0" collapsed="false"/>
    <row r="33" s="79" customFormat="true" ht="12.75" hidden="false" customHeight="false" outlineLevel="0" collapsed="false"/>
    <row r="34" s="79" customFormat="true" ht="12.75" hidden="false" customHeight="false" outlineLevel="0" collapsed="false"/>
    <row r="35" s="79" customFormat="true" ht="12.75" hidden="false" customHeight="false" outlineLevel="0" collapsed="false"/>
    <row r="36" s="79" customFormat="true" ht="12.75" hidden="false" customHeight="false" outlineLevel="0" collapsed="false"/>
    <row r="37" s="79" customFormat="true" ht="12.75" hidden="false" customHeight="false" outlineLevel="0" collapsed="false"/>
    <row r="38" s="79" customFormat="true" ht="12.75" hidden="false" customHeight="false" outlineLevel="0" collapsed="false"/>
    <row r="39" s="79" customFormat="true" ht="12.75" hidden="false" customHeight="false" outlineLevel="0" collapsed="false"/>
    <row r="40" s="79" customFormat="true" ht="12.75" hidden="false" customHeight="false" outlineLevel="0" collapsed="false"/>
    <row r="41" s="79" customFormat="true" ht="12.75" hidden="false" customHeight="false" outlineLevel="0" collapsed="false"/>
    <row r="42" s="79" customFormat="true" ht="12.75" hidden="false" customHeight="false" outlineLevel="0" collapsed="false"/>
    <row r="43" s="79" customFormat="true" ht="12.75" hidden="false" customHeight="false" outlineLevel="0" collapsed="false"/>
    <row r="44" s="79" customFormat="true" ht="12.75" hidden="false" customHeight="false" outlineLevel="0" collapsed="false"/>
    <row r="45" s="79" customFormat="true" ht="12.75" hidden="false" customHeight="false" outlineLevel="0" collapsed="false"/>
    <row r="46" s="79" customFormat="true" ht="12.75" hidden="false" customHeight="false" outlineLevel="0" collapsed="false"/>
    <row r="47" s="79" customFormat="true" ht="12.75" hidden="false" customHeight="false" outlineLevel="0" collapsed="false"/>
    <row r="48" s="79" customFormat="true" ht="12.75" hidden="false" customHeight="false" outlineLevel="0" collapsed="false"/>
    <row r="49" s="79" customFormat="true" ht="12.75" hidden="false" customHeight="false" outlineLevel="0" collapsed="false"/>
    <row r="50" s="79" customFormat="true" ht="12.75" hidden="false" customHeight="false" outlineLevel="0" collapsed="false"/>
    <row r="51" s="79" customFormat="true" ht="12.75" hidden="false" customHeight="false" outlineLevel="0" collapsed="false"/>
    <row r="52" s="79" customFormat="true" ht="12.75" hidden="false" customHeight="false" outlineLevel="0" collapsed="false"/>
    <row r="53" s="79" customFormat="true" ht="12.75" hidden="false" customHeight="false" outlineLevel="0" collapsed="false"/>
    <row r="54" s="79" customFormat="true" ht="12.75" hidden="false" customHeight="false" outlineLevel="0" collapsed="false"/>
    <row r="55" s="79" customFormat="true" ht="12.75" hidden="false" customHeight="false" outlineLevel="0" collapsed="false"/>
    <row r="56" s="79" customFormat="true" ht="12.75" hidden="false" customHeight="false" outlineLevel="0" collapsed="false"/>
    <row r="57" s="79" customFormat="true" ht="12.75" hidden="false" customHeight="false" outlineLevel="0" collapsed="false"/>
    <row r="58" s="79" customFormat="true" ht="12.75" hidden="false" customHeight="false" outlineLevel="0" collapsed="false"/>
    <row r="59" s="79" customFormat="true" ht="12.75" hidden="false" customHeight="false" outlineLevel="0" collapsed="false"/>
    <row r="60" s="79" customFormat="true" ht="12.75" hidden="false" customHeight="false" outlineLevel="0" collapsed="false"/>
    <row r="61" s="79" customFormat="true" ht="12.75" hidden="false" customHeight="false" outlineLevel="0" collapsed="false"/>
    <row r="62" s="79" customFormat="true" ht="12.75" hidden="false" customHeight="false" outlineLevel="0" collapsed="false"/>
    <row r="63" s="79" customFormat="true" ht="12.75" hidden="false" customHeight="false" outlineLevel="0" collapsed="false"/>
    <row r="64" s="79" customFormat="true" ht="12.75" hidden="false" customHeight="false" outlineLevel="0" collapsed="false"/>
    <row r="65" s="79" customFormat="true" ht="12.75" hidden="false" customHeight="false" outlineLevel="0" collapsed="false"/>
    <row r="66" s="79" customFormat="true" ht="12.75" hidden="false" customHeight="false" outlineLevel="0" collapsed="false"/>
    <row r="67" s="79" customFormat="true" ht="12.75" hidden="false" customHeight="false" outlineLevel="0" collapsed="false"/>
    <row r="68" s="79" customFormat="true" ht="12.75" hidden="false" customHeight="false" outlineLevel="0" collapsed="false"/>
    <row r="69" s="79" customFormat="true" ht="12.75" hidden="false" customHeight="false" outlineLevel="0" collapsed="false"/>
    <row r="70" s="79" customFormat="true" ht="12.75" hidden="false" customHeight="false" outlineLevel="0" collapsed="false"/>
    <row r="71" s="79" customFormat="true" ht="12.75" hidden="false" customHeight="false" outlineLevel="0" collapsed="false"/>
    <row r="72" s="79" customFormat="true" ht="12.75" hidden="false" customHeight="false" outlineLevel="0" collapsed="false"/>
    <row r="73" s="79" customFormat="true" ht="12.75" hidden="false" customHeight="false" outlineLevel="0" collapsed="false"/>
    <row r="74" s="79" customFormat="true" ht="12.75" hidden="false" customHeight="false" outlineLevel="0" collapsed="false"/>
    <row r="75" s="79" customFormat="true" ht="12.75" hidden="false" customHeight="false" outlineLevel="0" collapsed="false"/>
    <row r="76" s="79" customFormat="true" ht="12.75" hidden="false" customHeight="false" outlineLevel="0" collapsed="false"/>
    <row r="77" s="79" customFormat="true" ht="12.75" hidden="false" customHeight="false" outlineLevel="0" collapsed="false"/>
    <row r="78" s="79" customFormat="true" ht="12.75" hidden="false" customHeight="false" outlineLevel="0" collapsed="false"/>
    <row r="79" s="79" customFormat="true" ht="12.75" hidden="false" customHeight="false" outlineLevel="0" collapsed="false"/>
    <row r="80" s="79" customFormat="true" ht="12.75" hidden="false" customHeight="false" outlineLevel="0" collapsed="false"/>
    <row r="81" s="79" customFormat="true" ht="12.75" hidden="false" customHeight="false" outlineLevel="0" collapsed="false"/>
    <row r="82" s="79" customFormat="true" ht="12.75" hidden="false" customHeight="false" outlineLevel="0" collapsed="false"/>
    <row r="83" s="79" customFormat="true" ht="12.75" hidden="false" customHeight="false" outlineLevel="0" collapsed="false"/>
    <row r="84" s="79" customFormat="true" ht="12.75" hidden="false" customHeight="false" outlineLevel="0" collapsed="false"/>
    <row r="85" s="79" customFormat="true" ht="12.75" hidden="false" customHeight="false" outlineLevel="0" collapsed="false"/>
    <row r="86" s="79" customFormat="true" ht="12.75" hidden="false" customHeight="false" outlineLevel="0" collapsed="false"/>
    <row r="87" s="79" customFormat="true" ht="12.75" hidden="false" customHeight="false" outlineLevel="0" collapsed="false"/>
    <row r="88" s="79" customFormat="true" ht="12.75" hidden="false" customHeight="false" outlineLevel="0" collapsed="false"/>
    <row r="89" s="79" customFormat="true" ht="12.75" hidden="false" customHeight="false" outlineLevel="0" collapsed="false"/>
    <row r="90" s="79" customFormat="true" ht="12.75" hidden="false" customHeight="false" outlineLevel="0" collapsed="false"/>
    <row r="91" s="79" customFormat="true" ht="12.75" hidden="false" customHeight="false" outlineLevel="0" collapsed="false"/>
    <row r="92" s="79" customFormat="true" ht="12.75" hidden="false" customHeight="false" outlineLevel="0" collapsed="false"/>
    <row r="93" s="79" customFormat="true" ht="12.75" hidden="false" customHeight="false" outlineLevel="0" collapsed="false"/>
    <row r="94" s="79" customFormat="true" ht="12.75" hidden="false" customHeight="false" outlineLevel="0" collapsed="false"/>
    <row r="95" s="79" customFormat="true" ht="12.75" hidden="false" customHeight="false" outlineLevel="0" collapsed="false"/>
    <row r="96" s="79" customFormat="true" ht="12.75" hidden="false" customHeight="false" outlineLevel="0" collapsed="false"/>
    <row r="97" s="79" customFormat="true" ht="12.75" hidden="false" customHeight="false" outlineLevel="0" collapsed="false"/>
    <row r="98" s="79" customFormat="true" ht="12.75" hidden="false" customHeight="false" outlineLevel="0" collapsed="false"/>
    <row r="99" s="79" customFormat="true" ht="12.75" hidden="false" customHeight="false" outlineLevel="0" collapsed="false"/>
    <row r="100" s="79" customFormat="true" ht="12.75" hidden="false" customHeight="false" outlineLevel="0" collapsed="false"/>
    <row r="101" s="79" customFormat="true" ht="12.75" hidden="false" customHeight="false" outlineLevel="0" collapsed="false"/>
    <row r="102" s="79" customFormat="true" ht="12.75" hidden="false" customHeight="false" outlineLevel="0" collapsed="false"/>
    <row r="103" s="79" customFormat="true" ht="12.75" hidden="false" customHeight="false" outlineLevel="0" collapsed="false"/>
    <row r="104" s="79" customFormat="true" ht="12.75" hidden="false" customHeight="false" outlineLevel="0" collapsed="false"/>
    <row r="105" s="79" customFormat="true" ht="12.75" hidden="false" customHeight="false" outlineLevel="0" collapsed="false"/>
    <row r="106" s="79" customFormat="true" ht="12.75" hidden="false" customHeight="false" outlineLevel="0" collapsed="false"/>
    <row r="107" s="79" customFormat="true" ht="12.75" hidden="false" customHeight="false" outlineLevel="0" collapsed="false"/>
    <row r="108" s="79" customFormat="true" ht="12.75" hidden="false" customHeight="false" outlineLevel="0" collapsed="false"/>
    <row r="109" s="79" customFormat="true" ht="12.75" hidden="false" customHeight="false" outlineLevel="0" collapsed="false"/>
    <row r="110" s="79" customFormat="true" ht="12.75" hidden="false" customHeight="false" outlineLevel="0" collapsed="false"/>
    <row r="111" s="79" customFormat="true" ht="12.75" hidden="false" customHeight="false" outlineLevel="0" collapsed="false"/>
    <row r="112" s="79" customFormat="true" ht="12.75" hidden="false" customHeight="false" outlineLevel="0" collapsed="false"/>
    <row r="113" s="79" customFormat="true" ht="12.75" hidden="false" customHeight="false" outlineLevel="0" collapsed="false"/>
    <row r="114" s="79" customFormat="true" ht="12.75" hidden="false" customHeight="false" outlineLevel="0" collapsed="false"/>
    <row r="115" s="79" customFormat="true" ht="12.75" hidden="false" customHeight="false" outlineLevel="0" collapsed="false"/>
    <row r="116" s="79" customFormat="true" ht="12.75" hidden="false" customHeight="false" outlineLevel="0" collapsed="false"/>
    <row r="117" s="79" customFormat="true" ht="12.75" hidden="false" customHeight="false" outlineLevel="0" collapsed="false"/>
    <row r="118" s="79" customFormat="true" ht="12.75" hidden="false" customHeight="false" outlineLevel="0" collapsed="false"/>
    <row r="119" s="79" customFormat="true" ht="12.75" hidden="false" customHeight="false" outlineLevel="0" collapsed="false"/>
    <row r="120" s="79" customFormat="true" ht="12.75" hidden="false" customHeight="false" outlineLevel="0" collapsed="false"/>
    <row r="121" s="79" customFormat="true" ht="12.75" hidden="false" customHeight="false" outlineLevel="0" collapsed="false"/>
    <row r="122" s="79" customFormat="true" ht="12.75" hidden="false" customHeight="false" outlineLevel="0" collapsed="false"/>
    <row r="123" s="79" customFormat="true" ht="12.75" hidden="false" customHeight="false" outlineLevel="0" collapsed="false"/>
    <row r="124" s="79" customFormat="true" ht="12.75" hidden="false" customHeight="false" outlineLevel="0" collapsed="false"/>
    <row r="125" s="79" customFormat="true" ht="12.75" hidden="false" customHeight="false" outlineLevel="0" collapsed="false"/>
    <row r="126" s="79" customFormat="true" ht="12.75" hidden="false" customHeight="false" outlineLevel="0" collapsed="false"/>
    <row r="127" s="79" customFormat="true" ht="12.75" hidden="false" customHeight="false" outlineLevel="0" collapsed="false"/>
    <row r="128" s="79" customFormat="true" ht="12.75" hidden="false" customHeight="false" outlineLevel="0" collapsed="false"/>
    <row r="129" s="79" customFormat="true" ht="12.75" hidden="false" customHeight="false" outlineLevel="0" collapsed="false"/>
    <row r="130" s="79" customFormat="true" ht="12.75" hidden="false" customHeight="false" outlineLevel="0" collapsed="false"/>
    <row r="131" s="79" customFormat="true" ht="12.75" hidden="false" customHeight="false" outlineLevel="0" collapsed="false"/>
    <row r="132" s="79" customFormat="true" ht="12.75" hidden="false" customHeight="false" outlineLevel="0" collapsed="false"/>
    <row r="133" s="79" customFormat="true" ht="12.75" hidden="false" customHeight="false" outlineLevel="0" collapsed="false"/>
    <row r="134" s="79" customFormat="true" ht="12.75" hidden="false" customHeight="false" outlineLevel="0" collapsed="false"/>
    <row r="135" s="79" customFormat="true" ht="12.75" hidden="false" customHeight="false" outlineLevel="0" collapsed="false"/>
    <row r="136" s="79" customFormat="true" ht="12.75" hidden="false" customHeight="false" outlineLevel="0" collapsed="false"/>
    <row r="137" s="79" customFormat="true" ht="12.75" hidden="false" customHeight="false" outlineLevel="0" collapsed="false"/>
    <row r="138" s="79" customFormat="true" ht="12.75" hidden="false" customHeight="false" outlineLevel="0" collapsed="false"/>
    <row r="139" s="79" customFormat="true" ht="12.75" hidden="false" customHeight="false" outlineLevel="0" collapsed="false"/>
    <row r="140" s="79" customFormat="true" ht="12.75" hidden="false" customHeight="false" outlineLevel="0" collapsed="false"/>
    <row r="141" s="79" customFormat="true" ht="12.75" hidden="false" customHeight="false" outlineLevel="0" collapsed="false"/>
    <row r="142" s="79" customFormat="true" ht="12.75" hidden="false" customHeight="false" outlineLevel="0" collapsed="false"/>
    <row r="143" s="79" customFormat="true" ht="12.75" hidden="false" customHeight="false" outlineLevel="0" collapsed="false"/>
    <row r="144" s="79" customFormat="true" ht="12.75" hidden="false" customHeight="false" outlineLevel="0" collapsed="false"/>
    <row r="145" s="79" customFormat="true" ht="12.75" hidden="false" customHeight="false" outlineLevel="0" collapsed="false"/>
    <row r="146" s="79" customFormat="true" ht="12.75" hidden="false" customHeight="false" outlineLevel="0" collapsed="false"/>
    <row r="147" s="79" customFormat="true" ht="12.75" hidden="false" customHeight="false" outlineLevel="0" collapsed="false"/>
    <row r="148" s="79" customFormat="true" ht="12.75" hidden="false" customHeight="false" outlineLevel="0" collapsed="false"/>
    <row r="149" s="79" customFormat="true" ht="12.75" hidden="false" customHeight="false" outlineLevel="0" collapsed="false"/>
    <row r="150" s="79" customFormat="true" ht="12.75" hidden="false" customHeight="false" outlineLevel="0" collapsed="false"/>
    <row r="151" s="79" customFormat="true" ht="12.75" hidden="false" customHeight="false" outlineLevel="0" collapsed="false"/>
    <row r="152" s="79" customFormat="true" ht="12.75" hidden="false" customHeight="false" outlineLevel="0" collapsed="false"/>
    <row r="153" s="79" customFormat="true" ht="12.75" hidden="false" customHeight="false" outlineLevel="0" collapsed="false"/>
    <row r="154" s="79" customFormat="true" ht="12.75" hidden="false" customHeight="false" outlineLevel="0" collapsed="false"/>
    <row r="155" s="79" customFormat="true" ht="12.75" hidden="false" customHeight="false" outlineLevel="0" collapsed="false"/>
    <row r="156" s="79" customFormat="true" ht="12.75" hidden="false" customHeight="false" outlineLevel="0" collapsed="false"/>
    <row r="157" s="79" customFormat="true" ht="12.75" hidden="false" customHeight="false" outlineLevel="0" collapsed="false"/>
    <row r="158" s="79" customFormat="true" ht="12.75" hidden="false" customHeight="false" outlineLevel="0" collapsed="false"/>
    <row r="159" s="79" customFormat="true" ht="12.75" hidden="false" customHeight="false" outlineLevel="0" collapsed="false"/>
    <row r="160" s="79" customFormat="true" ht="12.75" hidden="false" customHeight="false" outlineLevel="0" collapsed="false"/>
    <row r="161" s="79" customFormat="true" ht="12.75" hidden="false" customHeight="false" outlineLevel="0" collapsed="false"/>
    <row r="162" s="79" customFormat="true" ht="12.75" hidden="false" customHeight="false" outlineLevel="0" collapsed="false"/>
    <row r="163" s="79" customFormat="true" ht="12.75" hidden="false" customHeight="false" outlineLevel="0" collapsed="false"/>
    <row r="164" s="79" customFormat="true" ht="12.75" hidden="false" customHeight="false" outlineLevel="0" collapsed="false"/>
    <row r="165" s="79" customFormat="true" ht="12.75" hidden="false" customHeight="false" outlineLevel="0" collapsed="false"/>
    <row r="166" s="79" customFormat="true" ht="12.75" hidden="false" customHeight="false" outlineLevel="0" collapsed="false"/>
    <row r="167" s="79" customFormat="true" ht="12.75" hidden="false" customHeight="false" outlineLevel="0" collapsed="false"/>
    <row r="168" s="79" customFormat="true" ht="12.75" hidden="false" customHeight="false" outlineLevel="0" collapsed="false"/>
    <row r="169" s="79" customFormat="true" ht="12.75" hidden="false" customHeight="false" outlineLevel="0" collapsed="false"/>
    <row r="170" s="79" customFormat="true" ht="12.75" hidden="false" customHeight="false" outlineLevel="0" collapsed="false"/>
    <row r="171" s="79" customFormat="true" ht="12.75" hidden="false" customHeight="false" outlineLevel="0" collapsed="false"/>
    <row r="172" s="79" customFormat="true" ht="12.75" hidden="false" customHeight="false" outlineLevel="0" collapsed="false"/>
    <row r="173" s="79" customFormat="true" ht="12.75" hidden="false" customHeight="false" outlineLevel="0" collapsed="false"/>
    <row r="174" s="79" customFormat="true" ht="12.75" hidden="false" customHeight="false" outlineLevel="0" collapsed="false"/>
    <row r="175" s="79" customFormat="true" ht="12.75" hidden="false" customHeight="false" outlineLevel="0" collapsed="false"/>
    <row r="176" s="79" customFormat="true" ht="12.75" hidden="false" customHeight="false" outlineLevel="0" collapsed="false"/>
    <row r="177" s="79" customFormat="true" ht="12.75" hidden="false" customHeight="false" outlineLevel="0" collapsed="false"/>
    <row r="178" s="79" customFormat="true" ht="12.75" hidden="false" customHeight="false" outlineLevel="0" collapsed="false"/>
    <row r="179" s="79" customFormat="true" ht="12.75" hidden="false" customHeight="false" outlineLevel="0" collapsed="false"/>
    <row r="180" s="79" customFormat="true" ht="12.75" hidden="false" customHeight="false" outlineLevel="0" collapsed="false"/>
    <row r="181" s="79" customFormat="true" ht="12.75" hidden="false" customHeight="false" outlineLevel="0" collapsed="false"/>
    <row r="182" s="79" customFormat="true" ht="12.75" hidden="false" customHeight="false" outlineLevel="0" collapsed="false"/>
    <row r="183" s="79" customFormat="true" ht="12.75" hidden="false" customHeight="false" outlineLevel="0" collapsed="false"/>
    <row r="184" s="79" customFormat="true" ht="12.75" hidden="false" customHeight="false" outlineLevel="0" collapsed="false"/>
    <row r="185" s="79" customFormat="true" ht="12.75" hidden="false" customHeight="false" outlineLevel="0" collapsed="false"/>
    <row r="186" s="79" customFormat="true" ht="12.75" hidden="false" customHeight="false" outlineLevel="0" collapsed="false"/>
    <row r="187" s="79" customFormat="true" ht="12.75" hidden="false" customHeight="false" outlineLevel="0" collapsed="false"/>
    <row r="188" s="79" customFormat="true" ht="12.75" hidden="false" customHeight="false" outlineLevel="0" collapsed="false"/>
    <row r="189" s="79" customFormat="true" ht="12.75" hidden="false" customHeight="false" outlineLevel="0" collapsed="false"/>
    <row r="190" s="79" customFormat="true" ht="12.75" hidden="false" customHeight="false" outlineLevel="0" collapsed="false"/>
    <row r="191" s="79" customFormat="true" ht="12.75" hidden="false" customHeight="false" outlineLevel="0" collapsed="false"/>
    <row r="192" s="79" customFormat="true" ht="12.75" hidden="false" customHeight="false" outlineLevel="0" collapsed="false"/>
    <row r="193" s="79" customFormat="true" ht="12.75" hidden="false" customHeight="false" outlineLevel="0" collapsed="false"/>
    <row r="194" s="79" customFormat="true" ht="12.75" hidden="false" customHeight="false" outlineLevel="0" collapsed="false"/>
    <row r="195" s="79" customFormat="true" ht="12.75" hidden="false" customHeight="false" outlineLevel="0" collapsed="false"/>
    <row r="196" s="79" customFormat="true" ht="12.75" hidden="false" customHeight="false" outlineLevel="0" collapsed="false"/>
    <row r="197" s="79" customFormat="true" ht="12.75" hidden="false" customHeight="false" outlineLevel="0" collapsed="false"/>
    <row r="198" s="79" customFormat="true" ht="12.75" hidden="false" customHeight="false" outlineLevel="0" collapsed="false"/>
    <row r="199" s="79" customFormat="true" ht="12.75" hidden="false" customHeight="false" outlineLevel="0" collapsed="false"/>
    <row r="200" s="79" customFormat="true" ht="12.75" hidden="false" customHeight="false" outlineLevel="0" collapsed="false"/>
    <row r="201" s="79" customFormat="true" ht="12.75" hidden="false" customHeight="false" outlineLevel="0" collapsed="false"/>
    <row r="202" s="79" customFormat="true" ht="12.75" hidden="false" customHeight="false" outlineLevel="0" collapsed="false"/>
    <row r="203" s="79" customFormat="true" ht="12.75" hidden="false" customHeight="false" outlineLevel="0" collapsed="false"/>
    <row r="204" s="79" customFormat="true" ht="12.75" hidden="false" customHeight="false" outlineLevel="0" collapsed="false"/>
    <row r="205" s="79" customFormat="true" ht="12.75" hidden="false" customHeight="false" outlineLevel="0" collapsed="false"/>
    <row r="206" s="79" customFormat="true" ht="12.75" hidden="false" customHeight="false" outlineLevel="0" collapsed="false"/>
    <row r="207" s="79" customFormat="true" ht="12.75" hidden="false" customHeight="false" outlineLevel="0" collapsed="false"/>
    <row r="208" s="79" customFormat="true" ht="12.75" hidden="false" customHeight="false" outlineLevel="0" collapsed="false"/>
    <row r="209" s="79" customFormat="true" ht="12.75" hidden="false" customHeight="false" outlineLevel="0" collapsed="false"/>
    <row r="210" s="79" customFormat="true" ht="12.75" hidden="false" customHeight="false" outlineLevel="0" collapsed="false"/>
    <row r="211" s="79" customFormat="true" ht="12.75" hidden="false" customHeight="false" outlineLevel="0" collapsed="false"/>
    <row r="212" s="79" customFormat="true" ht="12.75" hidden="false" customHeight="false" outlineLevel="0" collapsed="false"/>
    <row r="213" s="79" customFormat="true" ht="12.75" hidden="false" customHeight="false" outlineLevel="0" collapsed="false"/>
    <row r="214" s="79" customFormat="true" ht="12.75" hidden="false" customHeight="false" outlineLevel="0" collapsed="false"/>
    <row r="215" s="79" customFormat="true" ht="12.75" hidden="false" customHeight="false" outlineLevel="0" collapsed="false"/>
    <row r="216" s="79" customFormat="true" ht="12.75" hidden="false" customHeight="false" outlineLevel="0" collapsed="false"/>
    <row r="217" s="79" customFormat="true" ht="12.75" hidden="false" customHeight="false" outlineLevel="0" collapsed="false"/>
    <row r="218" s="79" customFormat="true" ht="12.75" hidden="false" customHeight="false" outlineLevel="0" collapsed="false"/>
    <row r="219" s="79" customFormat="true" ht="12.75" hidden="false" customHeight="false" outlineLevel="0" collapsed="false"/>
    <row r="220" s="79" customFormat="true" ht="12.75" hidden="false" customHeight="false" outlineLevel="0" collapsed="false"/>
    <row r="221" s="79" customFormat="true" ht="12.75" hidden="false" customHeight="false" outlineLevel="0" collapsed="false"/>
    <row r="222" s="79" customFormat="true" ht="12.75" hidden="false" customHeight="false" outlineLevel="0" collapsed="false"/>
    <row r="223" s="79" customFormat="true" ht="12.75" hidden="false" customHeight="false" outlineLevel="0" collapsed="false"/>
    <row r="224" s="79" customFormat="true" ht="12.75" hidden="false" customHeight="false" outlineLevel="0" collapsed="false"/>
    <row r="225" s="79" customFormat="true" ht="12.75" hidden="false" customHeight="false" outlineLevel="0" collapsed="false"/>
    <row r="226" s="79" customFormat="true" ht="12.75" hidden="false" customHeight="false" outlineLevel="0" collapsed="false"/>
    <row r="227" s="79" customFormat="true" ht="12.75" hidden="false" customHeight="false" outlineLevel="0" collapsed="false"/>
    <row r="228" s="79" customFormat="true" ht="12.75" hidden="false" customHeight="false" outlineLevel="0" collapsed="false"/>
    <row r="229" s="79" customFormat="true" ht="12.75" hidden="false" customHeight="false" outlineLevel="0" collapsed="false"/>
    <row r="230" s="79" customFormat="true" ht="12.75" hidden="false" customHeight="false" outlineLevel="0" collapsed="false"/>
    <row r="231" s="79" customFormat="true" ht="12.75" hidden="false" customHeight="false" outlineLevel="0" collapsed="false"/>
    <row r="232" s="79" customFormat="true" ht="12.75" hidden="false" customHeight="false" outlineLevel="0" collapsed="false"/>
    <row r="233" s="79" customFormat="true" ht="12.75" hidden="false" customHeight="false" outlineLevel="0" collapsed="false"/>
    <row r="234" s="79" customFormat="true" ht="12.75" hidden="false" customHeight="false" outlineLevel="0" collapsed="false"/>
    <row r="235" s="79" customFormat="true" ht="12.75" hidden="false" customHeight="false" outlineLevel="0" collapsed="false"/>
    <row r="236" s="79" customFormat="true" ht="12.75" hidden="false" customHeight="false" outlineLevel="0" collapsed="false"/>
    <row r="237" s="79" customFormat="true" ht="12.75" hidden="false" customHeight="false" outlineLevel="0" collapsed="false"/>
    <row r="238" s="79" customFormat="true" ht="12.75" hidden="false" customHeight="false" outlineLevel="0" collapsed="false"/>
    <row r="239" s="79" customFormat="true" ht="12.75" hidden="false" customHeight="false" outlineLevel="0" collapsed="false"/>
    <row r="240" s="79" customFormat="true" ht="12.75" hidden="false" customHeight="false" outlineLevel="0" collapsed="false"/>
    <row r="241" s="79" customFormat="true" ht="12.75" hidden="false" customHeight="false" outlineLevel="0" collapsed="false"/>
    <row r="242" s="79" customFormat="true" ht="12.75" hidden="false" customHeight="false" outlineLevel="0" collapsed="false"/>
    <row r="243" s="79" customFormat="true" ht="12.75" hidden="false" customHeight="false" outlineLevel="0" collapsed="false"/>
    <row r="244" s="79" customFormat="true" ht="12.75" hidden="false" customHeight="false" outlineLevel="0" collapsed="false"/>
    <row r="245" s="79" customFormat="true" ht="12.75" hidden="false" customHeight="false" outlineLevel="0" collapsed="false"/>
    <row r="246" s="79" customFormat="true" ht="12.75" hidden="false" customHeight="false" outlineLevel="0" collapsed="false"/>
    <row r="247" s="79" customFormat="true" ht="12.75" hidden="false" customHeight="false" outlineLevel="0" collapsed="false"/>
    <row r="248" s="79" customFormat="true" ht="12.75" hidden="false" customHeight="false" outlineLevel="0" collapsed="false"/>
    <row r="249" s="79" customFormat="true" ht="12.75" hidden="false" customHeight="false" outlineLevel="0" collapsed="false"/>
    <row r="250" s="79" customFormat="true" ht="12.75" hidden="false" customHeight="false" outlineLevel="0" collapsed="false"/>
    <row r="251" s="79" customFormat="true" ht="12.75" hidden="false" customHeight="false" outlineLevel="0" collapsed="false"/>
    <row r="252" s="79" customFormat="true" ht="12.75" hidden="false" customHeight="false" outlineLevel="0" collapsed="false"/>
    <row r="253" s="79" customFormat="true" ht="12.75" hidden="false" customHeight="false" outlineLevel="0" collapsed="false"/>
    <row r="254" s="79" customFormat="true" ht="12.75" hidden="false" customHeight="false" outlineLevel="0" collapsed="false"/>
    <row r="255" s="79" customFormat="true" ht="12.75" hidden="false" customHeight="false" outlineLevel="0" collapsed="false"/>
    <row r="256" s="79" customFormat="true" ht="12.75" hidden="false" customHeight="false" outlineLevel="0" collapsed="false"/>
    <row r="257" s="79" customFormat="true" ht="12.75" hidden="false" customHeight="false" outlineLevel="0" collapsed="false"/>
    <row r="258" s="79" customFormat="true" ht="12.75" hidden="false" customHeight="false" outlineLevel="0" collapsed="false"/>
    <row r="259" s="79" customFormat="true" ht="12.75" hidden="false" customHeight="false" outlineLevel="0" collapsed="false"/>
    <row r="260" s="79" customFormat="true" ht="12.75" hidden="false" customHeight="false" outlineLevel="0" collapsed="false"/>
    <row r="261" s="79" customFormat="true" ht="12.75" hidden="false" customHeight="false" outlineLevel="0" collapsed="false"/>
    <row r="262" s="79" customFormat="true" ht="12.75" hidden="false" customHeight="false" outlineLevel="0" collapsed="false"/>
    <row r="263" s="79" customFormat="true" ht="12.75" hidden="false" customHeight="false" outlineLevel="0" collapsed="false"/>
    <row r="264" s="79" customFormat="true" ht="12.75" hidden="false" customHeight="false" outlineLevel="0" collapsed="false"/>
    <row r="265" s="79" customFormat="true" ht="12.75" hidden="false" customHeight="false" outlineLevel="0" collapsed="false"/>
    <row r="266" s="79" customFormat="true" ht="12.75" hidden="false" customHeight="false" outlineLevel="0" collapsed="false"/>
    <row r="267" s="79" customFormat="true" ht="12.75" hidden="false" customHeight="false" outlineLevel="0" collapsed="false"/>
    <row r="268" s="79" customFormat="true" ht="12.75" hidden="false" customHeight="false" outlineLevel="0" collapsed="false"/>
    <row r="269" s="79" customFormat="true" ht="12.75" hidden="false" customHeight="false" outlineLevel="0" collapsed="false"/>
    <row r="270" s="79" customFormat="true" ht="12.75" hidden="false" customHeight="false" outlineLevel="0" collapsed="false"/>
    <row r="271" s="79" customFormat="true" ht="12.75" hidden="false" customHeight="false" outlineLevel="0" collapsed="false"/>
    <row r="272" s="79" customFormat="true" ht="12.75" hidden="false" customHeight="false" outlineLevel="0" collapsed="false"/>
    <row r="273" s="79" customFormat="true" ht="12.75" hidden="false" customHeight="false" outlineLevel="0" collapsed="false"/>
    <row r="274" s="79" customFormat="true" ht="12.75" hidden="false" customHeight="false" outlineLevel="0" collapsed="false"/>
    <row r="275" s="79" customFormat="true" ht="12.75" hidden="false" customHeight="false" outlineLevel="0" collapsed="false"/>
    <row r="276" s="79" customFormat="true" ht="12.75" hidden="false" customHeight="false" outlineLevel="0" collapsed="false"/>
    <row r="277" s="79" customFormat="true" ht="12.75" hidden="false" customHeight="false" outlineLevel="0" collapsed="false"/>
    <row r="278" s="79" customFormat="true" ht="12.75" hidden="false" customHeight="false" outlineLevel="0" collapsed="false"/>
    <row r="279" s="79" customFormat="true" ht="12.75" hidden="false" customHeight="false" outlineLevel="0" collapsed="false"/>
    <row r="280" s="79" customFormat="true" ht="12.75" hidden="false" customHeight="false" outlineLevel="0" collapsed="false"/>
    <row r="281" s="79" customFormat="true" ht="12.75" hidden="false" customHeight="false" outlineLevel="0" collapsed="false"/>
    <row r="282" s="79" customFormat="true" ht="12.75" hidden="false" customHeight="false" outlineLevel="0" collapsed="false"/>
    <row r="283" s="79" customFormat="true" ht="12.75" hidden="false" customHeight="false" outlineLevel="0" collapsed="false"/>
    <row r="284" s="79" customFormat="true" ht="12.75" hidden="false" customHeight="false" outlineLevel="0" collapsed="false"/>
    <row r="285" s="79" customFormat="true" ht="12.75" hidden="false" customHeight="false" outlineLevel="0" collapsed="false"/>
    <row r="286" s="79" customFormat="true" ht="12.75" hidden="false" customHeight="false" outlineLevel="0" collapsed="false"/>
    <row r="287" s="79" customFormat="true" ht="12.75" hidden="false" customHeight="false" outlineLevel="0" collapsed="false"/>
    <row r="288" s="79" customFormat="true" ht="12.75" hidden="false" customHeight="false" outlineLevel="0" collapsed="false"/>
    <row r="289" s="79" customFormat="true" ht="12.75" hidden="false" customHeight="false" outlineLevel="0" collapsed="false"/>
    <row r="290" s="79" customFormat="true" ht="12.75" hidden="false" customHeight="false" outlineLevel="0" collapsed="false"/>
    <row r="291" s="79" customFormat="true" ht="12.75" hidden="false" customHeight="false" outlineLevel="0" collapsed="false"/>
    <row r="292" s="79" customFormat="true" ht="12.75" hidden="false" customHeight="false" outlineLevel="0" collapsed="false"/>
    <row r="293" s="79" customFormat="true" ht="12.75" hidden="false" customHeight="false" outlineLevel="0" collapsed="false"/>
    <row r="294" s="79" customFormat="true" ht="12.75" hidden="false" customHeight="false" outlineLevel="0" collapsed="false"/>
    <row r="295" s="79" customFormat="true" ht="12.75" hidden="false" customHeight="false" outlineLevel="0" collapsed="false"/>
    <row r="296" s="79" customFormat="true" ht="12.75" hidden="false" customHeight="false" outlineLevel="0" collapsed="false"/>
    <row r="297" s="79" customFormat="true" ht="12.75" hidden="false" customHeight="false" outlineLevel="0" collapsed="false"/>
    <row r="298" s="79" customFormat="true" ht="12.75" hidden="false" customHeight="false" outlineLevel="0" collapsed="false"/>
    <row r="299" s="79" customFormat="true" ht="12.75" hidden="false" customHeight="false" outlineLevel="0" collapsed="false"/>
    <row r="300" s="79" customFormat="true" ht="12.75" hidden="false" customHeight="false" outlineLevel="0" collapsed="false"/>
    <row r="301" s="79" customFormat="true" ht="12.75" hidden="false" customHeight="false" outlineLevel="0" collapsed="false"/>
    <row r="302" s="79" customFormat="true" ht="12.75" hidden="false" customHeight="false" outlineLevel="0" collapsed="false"/>
    <row r="303" s="79" customFormat="true" ht="12.75" hidden="false" customHeight="false" outlineLevel="0" collapsed="false"/>
    <row r="304" s="79" customFormat="true" ht="12.75" hidden="false" customHeight="false" outlineLevel="0" collapsed="false"/>
    <row r="305" s="79" customFormat="true" ht="12.75" hidden="false" customHeight="false" outlineLevel="0" collapsed="false"/>
    <row r="306" s="79" customFormat="true" ht="12.75" hidden="false" customHeight="false" outlineLevel="0" collapsed="false"/>
    <row r="307" s="79" customFormat="true" ht="12.75" hidden="false" customHeight="false" outlineLevel="0" collapsed="false"/>
    <row r="308" s="79" customFormat="true" ht="12.75" hidden="false" customHeight="false" outlineLevel="0" collapsed="false"/>
    <row r="309" s="79" customFormat="true" ht="12.75" hidden="false" customHeight="false" outlineLevel="0" collapsed="false"/>
    <row r="310" s="79" customFormat="true" ht="12.75" hidden="false" customHeight="false" outlineLevel="0" collapsed="false"/>
    <row r="311" s="79" customFormat="true" ht="12.75" hidden="false" customHeight="false" outlineLevel="0" collapsed="false"/>
    <row r="312" s="79" customFormat="true" ht="12.75" hidden="false" customHeight="false" outlineLevel="0" collapsed="false"/>
    <row r="313" s="79" customFormat="true" ht="12.75" hidden="false" customHeight="false" outlineLevel="0" collapsed="false"/>
    <row r="314" s="79" customFormat="true" ht="12.75" hidden="false" customHeight="false" outlineLevel="0" collapsed="false"/>
    <row r="315" s="79" customFormat="true" ht="12.75" hidden="false" customHeight="false" outlineLevel="0" collapsed="false"/>
    <row r="316" s="79" customFormat="true" ht="12.75" hidden="false" customHeight="false" outlineLevel="0" collapsed="false"/>
    <row r="317" s="79" customFormat="true" ht="12.75" hidden="false" customHeight="false" outlineLevel="0" collapsed="false"/>
    <row r="318" s="79" customFormat="true" ht="12.75" hidden="false" customHeight="false" outlineLevel="0" collapsed="false"/>
    <row r="319" s="79" customFormat="true" ht="12.75" hidden="false" customHeight="false" outlineLevel="0" collapsed="false"/>
  </sheetData>
  <conditionalFormatting sqref="B10">
    <cfRule type="cellIs" priority="2" operator="equal" aboveAverage="0" equalAverage="0" bottom="0" percent="0" rank="0" text="" dxfId="309">
      <formula>$B$10</formula>
    </cfRule>
  </conditionalFormatting>
  <conditionalFormatting sqref="B10">
    <cfRule type="cellIs" priority="3" operator="equal" aboveAverage="0" equalAverage="0" bottom="0" percent="0" rank="0" text="" dxfId="310">
      <formula>$B$9</formula>
    </cfRule>
    <cfRule type="cellIs" priority="4" operator="equal" aboveAverage="0" equalAverage="0" bottom="0" percent="0" rank="0" text="" dxfId="311">
      <formula>$B$8</formula>
    </cfRule>
    <cfRule type="cellIs" priority="5" operator="equal" aboveAverage="0" equalAverage="0" bottom="0" percent="0" rank="0" text="" dxfId="312">
      <formula>$B$7</formula>
    </cfRule>
    <cfRule type="cellIs" priority="6" operator="equal" aboveAverage="0" equalAverage="0" bottom="0" percent="0" rank="0" text="" dxfId="313">
      <formula>$B$6</formula>
    </cfRule>
    <cfRule type="cellIs" priority="7" operator="equal" aboveAverage="0" equalAverage="0" bottom="0" percent="0" rank="0" text="" dxfId="314">
      <formula>$B$5</formula>
    </cfRule>
    <cfRule type="cellIs" priority="8" operator="equal" aboveAverage="0" equalAverage="0" bottom="0" percent="0" rank="0" text="" dxfId="315">
      <formula>$B$4</formula>
    </cfRule>
    <cfRule type="cellIs" priority="9" operator="equal" aboveAverage="0" equalAverage="0" bottom="0" percent="0" rank="0" text="" dxfId="316">
      <formula>$B$3</formula>
    </cfRule>
    <cfRule type="containsText" priority="10" operator="containsText" aboveAverage="0" equalAverage="0" bottom="0" percent="0" rank="0" text="Initial" dxfId="317">
      <formula>NOT(ISERROR(SEARCH("Initial",B10)))</formula>
    </cfRule>
    <cfRule type="containsText" priority="11" operator="containsText" aboveAverage="0" equalAverage="0" bottom="0" percent="0" rank="0" text="Nonexistent" dxfId="318">
      <formula>NOT(ISERROR(SEARCH("Nonexistent",B10)))</formula>
    </cfRule>
  </conditionalFormatting>
  <conditionalFormatting sqref="B10">
    <cfRule type="expression" priority="12" aboveAverage="0" equalAverage="0" bottom="0" percent="0" rank="0" text="" dxfId="319">
      <formula>_xludf.style(VLOOKUP(B10,#ref!,2,0))</formula>
    </cfRule>
  </conditionalFormatting>
  <conditionalFormatting sqref="B3:B9">
    <cfRule type="cellIs" priority="13" operator="equal" aboveAverage="0" equalAverage="0" bottom="0" percent="0" rank="0" text="" dxfId="320">
      <formula>$B$9</formula>
    </cfRule>
    <cfRule type="cellIs" priority="14" operator="equal" aboveAverage="0" equalAverage="0" bottom="0" percent="0" rank="0" text="" dxfId="321">
      <formula>$B$8</formula>
    </cfRule>
    <cfRule type="cellIs" priority="15" operator="equal" aboveAverage="0" equalAverage="0" bottom="0" percent="0" rank="0" text="" dxfId="322">
      <formula>$B$7</formula>
    </cfRule>
    <cfRule type="cellIs" priority="16" operator="equal" aboveAverage="0" equalAverage="0" bottom="0" percent="0" rank="0" text="" dxfId="323">
      <formula>$B$6</formula>
    </cfRule>
    <cfRule type="cellIs" priority="17" operator="equal" aboveAverage="0" equalAverage="0" bottom="0" percent="0" rank="0" text="" dxfId="324">
      <formula>$B$5</formula>
    </cfRule>
    <cfRule type="cellIs" priority="18" operator="equal" aboveAverage="0" equalAverage="0" bottom="0" percent="0" rank="0" text="" dxfId="325">
      <formula>$B$4</formula>
    </cfRule>
    <cfRule type="cellIs" priority="19" operator="equal" aboveAverage="0" equalAverage="0" bottom="0" percent="0" rank="0" text="" dxfId="326">
      <formula>$B$3</formula>
    </cfRule>
    <cfRule type="containsText" priority="20" operator="containsText" aboveAverage="0" equalAverage="0" bottom="0" percent="0" rank="0" text="Initial" dxfId="327">
      <formula>NOT(ISERROR(SEARCH("Initial",B3)))</formula>
    </cfRule>
    <cfRule type="containsText" priority="21" operator="containsText" aboveAverage="0" equalAverage="0" bottom="0" percent="0" rank="0" text="Nonexistent" dxfId="328">
      <formula>NOT(ISERROR(SEARCH("Nonexistent",B3)))</formula>
    </cfRule>
    <cfRule type="expression" priority="22" aboveAverage="0" equalAverage="0" bottom="0" percent="0" rank="0" text="" dxfId="329">
      <formula>_xludf.style(VLOOKUP(B3,#ref!,2,0))</formula>
    </cfRule>
  </conditionalFormatting>
  <dataValidations count="1">
    <dataValidation allowBlank="true" errorStyle="stop" operator="equal" promptTitle="Select Control Scope" showDropDown="false" showErrorMessage="true" showInputMessage="true" sqref="B3"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HyperlinkBase>www.ISO27001security.com</HyperlinkBase>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ntentStatus>Part of the FREE ISO27k Toolkit</cp:contentStatus>
  <dcterms:created xsi:type="dcterms:W3CDTF">2014-03-11T21:40:57Z</dcterms:created>
  <dc:creator>Gary@isect.com</dc:creator>
  <dc:description>Copyright © 2014 ISO27k Forum  See the embedded copyright notice</dc:description>
  <cp:keywords>ISO27k ISMS</cp:keywords>
  <dc:language>en-US</dc:language>
  <cp:lastModifiedBy/>
  <cp:lastPrinted>2014-03-12T05:00:07Z</cp:lastPrinted>
  <dcterms:modified xsi:type="dcterms:W3CDTF">2025-07-02T18:23:59Z</dcterms:modified>
  <cp:revision>1</cp:revision>
  <dc:subject>Information Security Management</dc:subject>
  <dc:title>ISMS status and SoA</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115d7e-b42c-4cb0-9d5d-d9d427f162d6_ActionId">
    <vt:lpwstr>c92806bd-9e9f-4b66-a767-d3bb61c7171b</vt:lpwstr>
  </property>
  <property fmtid="{D5CDD505-2E9C-101B-9397-08002B2CF9AE}" pid="3" name="MSIP_Label_b6115d7e-b42c-4cb0-9d5d-d9d427f162d6_ContentBits">
    <vt:lpwstr>0</vt:lpwstr>
  </property>
  <property fmtid="{D5CDD505-2E9C-101B-9397-08002B2CF9AE}" pid="4" name="MSIP_Label_b6115d7e-b42c-4cb0-9d5d-d9d427f162d6_Enabled">
    <vt:lpwstr>true</vt:lpwstr>
  </property>
  <property fmtid="{D5CDD505-2E9C-101B-9397-08002B2CF9AE}" pid="5" name="MSIP_Label_b6115d7e-b42c-4cb0-9d5d-d9d427f162d6_Method">
    <vt:lpwstr>Standard</vt:lpwstr>
  </property>
  <property fmtid="{D5CDD505-2E9C-101B-9397-08002B2CF9AE}" pid="6" name="MSIP_Label_b6115d7e-b42c-4cb0-9d5d-d9d427f162d6_Name">
    <vt:lpwstr>Public</vt:lpwstr>
  </property>
  <property fmtid="{D5CDD505-2E9C-101B-9397-08002B2CF9AE}" pid="7" name="MSIP_Label_b6115d7e-b42c-4cb0-9d5d-d9d427f162d6_SetDate">
    <vt:lpwstr>2022-09-11T09:19:33Z</vt:lpwstr>
  </property>
  <property fmtid="{D5CDD505-2E9C-101B-9397-08002B2CF9AE}" pid="8" name="MSIP_Label_b6115d7e-b42c-4cb0-9d5d-d9d427f162d6_SiteId">
    <vt:lpwstr>b3df40eb-c945-4bc1-8821-0b8d9b63b14a</vt:lpwstr>
  </property>
</Properties>
</file>