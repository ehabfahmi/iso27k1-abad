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ml.chartshapes+xml"/>
  <Override PartName="/xl/drawings/drawing4.xml" ContentType="application/vnd.openxmlformats-officedocument.drawingml.chartshapes+xml"/>
  <Override PartName="/xl/_rels/workbook.xml.rels" ContentType="application/vnd.openxmlformats-package.relationships+xml"/>
  <Override PartName="/xl/media/image1.png" ContentType="image/png"/>
  <Override PartName="/xl/comments4.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harts/_rels/chart2.xml.rels" ContentType="application/vnd.openxmlformats-package.relationships+xml"/>
  <Override PartName="/xl/charts/_rels/chart1.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tro &amp; copyright" sheetId="1" state="visible" r:id="rId3"/>
    <sheet name="Mandatory ISMS requirements" sheetId="2" state="visible" r:id="rId4"/>
    <sheet name="Annex A controls" sheetId="3" state="visible" r:id="rId5"/>
    <sheet name="NCA" sheetId="4" state="visible" r:id="rId6"/>
    <sheet name="PCI-DSS" sheetId="5" state="visible" r:id="rId7"/>
    <sheet name="Metrics" sheetId="6" state="visible" r:id="rId8"/>
  </sheets>
  <definedNames>
    <definedName function="false" hidden="false" localSheetId="2" name="_xlnm.Print_Area" vbProcedure="false">'Annex A controls'!$B$1:$E$100</definedName>
    <definedName function="false" hidden="false" localSheetId="2" name="_xlnm.Print_Titles" vbProcedure="false">'Annex A controls'!$1:$2</definedName>
    <definedName function="false" hidden="false" localSheetId="1" name="_xlnm.Print_Area" vbProcedure="false">'Mandatory ISMS requirements'!$B$1:$E$61</definedName>
    <definedName function="false" hidden="false" localSheetId="1" name="_xlnm.Print_Titles" vbProcedure="false">'Mandatory ISMS requirements'!$1:$2</definedName>
    <definedName function="false" hidden="false" localSheetId="5" name="_xlnm.Print_Area" vbProcedure="false">Metrics!$B$2:$O$36</definedName>
    <definedName function="false" hidden="false" localSheetId="3" name="_xlnm.Print_Area" vbProcedure="false">NCA!$B$1:$E$100</definedName>
    <definedName function="false" hidden="false" localSheetId="3" name="_xlnm.Print_Titles" vbProcedure="false">NCA!$1:$2</definedName>
    <definedName function="false" hidden="false" localSheetId="4" name="_xlnm.Print_Area" vbProcedure="false">'PCI-DSS'!$B$1:$E$100</definedName>
    <definedName function="false" hidden="false" localSheetId="4" name="_xlnm.Print_Titles" vbProcedure="false">'PCI-DSS'!$1:$2</definedName>
    <definedName function="false" hidden="false" name="Applicability" vbProcedure="false">Metrics!$B$14:$B$16</definedName>
    <definedName function="false" hidden="false" name="CMM" vbProcedure="false">#REF!</definedName>
    <definedName function="false" hidden="false" name="ControlTotal" vbProcedure="false">'Annex A controls'!$D$100</definedName>
    <definedName function="false" hidden="false" name="__xlnm._FilterDatabase_1" vbProcedure="false">'Annex A controls'!$A$2:$E$99</definedName>
    <definedName function="false" hidden="false" localSheetId="1" name="Excel_BuiltIn_Print_Area" vbProcedure="false">'Mandatory ISMS requirements'!$B$1:$E$60</definedName>
    <definedName function="false" hidden="false" localSheetId="2" name="Excel_BuiltIn_Print_Titles" vbProcedure="false">'Annex A controls'!$A$2:$IQ$2</definedName>
    <definedName function="false" hidden="false" localSheetId="2" name="__xlnm.Print_Titles" vbProcedure="false">'Annex A controls'!$A$2:$IQ$2</definedName>
    <definedName function="false" hidden="false" localSheetId="2" name="__xlnm._FilterDatabase" vbProcedure="false">'Annex A controls'!$A$2:$E$99</definedName>
    <definedName function="false" hidden="false" localSheetId="3" name="ControlTotal" vbProcedure="false">NCA!$D$100</definedName>
    <definedName function="false" hidden="false" localSheetId="3" name="Excel_BuiltIn_Print_Titles" vbProcedure="false">NCA!$A$2:$IQ$2</definedName>
    <definedName function="false" hidden="false" localSheetId="3" name="__xlnm.Print_Titles" vbProcedure="false">NCA!$A$2:$IQ$2</definedName>
    <definedName function="false" hidden="false" localSheetId="3" name="__xlnm._FilterDatabase" vbProcedure="false">NCA!$A$2:$E$99</definedName>
    <definedName function="false" hidden="false" localSheetId="3" name="__xlnm._FilterDatabase_1" vbProcedure="false">NCA!$A$2:$E$99</definedName>
    <definedName function="false" hidden="false" localSheetId="4" name="ControlTotal" vbProcedure="false">'PCI-DSS'!$D$100</definedName>
    <definedName function="false" hidden="false" localSheetId="4" name="Excel_BuiltIn_Print_Titles" vbProcedure="false">'PCI-DSS'!$A$2:$IQ$2</definedName>
    <definedName function="false" hidden="false" localSheetId="4" name="__xlnm.Print_Titles" vbProcedure="false">'PCI-DSS'!$A$2:$IQ$2</definedName>
    <definedName function="false" hidden="false" localSheetId="4" name="__xlnm._FilterDatabase" vbProcedure="false">'PCI-DSS'!$A$2:$E$99</definedName>
    <definedName function="false" hidden="false" localSheetId="4" name="__xlnm._FilterDatabase_1" vbProcedure="false">'PCI-DSS'!$A$2:$E$99</definedName>
  </definedName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Gary@isect.com: </t>
        </r>
        <r>
          <rPr>
            <sz val="9"/>
            <color rgb="FF000000"/>
            <rFont val="Tahoma"/>
            <family val="2"/>
            <charset val="1"/>
          </rPr>
          <t xml:space="preserve">The wording here paraphrases the standard: refer to the standard for the official wording and additional explanations
</t>
        </r>
      </text>
    </comment>
    <comment ref="D2" authorId="0">
      <text>
        <r>
          <rPr>
            <sz val="10"/>
            <rFont val="Arial"/>
            <family val="2"/>
          </rPr>
          <t xml:space="preserve">Gary@isect.com: </t>
        </r>
        <r>
          <rPr>
            <sz val="9"/>
            <color rgb="FF000000"/>
            <rFont val="Tahoma"/>
            <family val="2"/>
            <charset val="1"/>
          </rPr>
          <t xml:space="preserve">Use this column to record your progress towards implementing the ISMS.  See the metrics sheet for explanations of the levels</t>
        </r>
      </text>
    </comment>
    <comment ref="E2" authorId="0">
      <text>
        <r>
          <rPr>
            <sz val="10"/>
            <rFont val="Arial"/>
            <family val="2"/>
          </rPr>
          <t xml:space="preserve">Gary@isect.com:
</t>
        </r>
        <r>
          <rPr>
            <sz val="9"/>
            <color rgb="FF000000"/>
            <rFont val="Tahoma"/>
            <family val="2"/>
            <charset val="1"/>
          </rPr>
          <t xml:space="preserve">Keep notes on the process, including references to any documentation that the auditors will probably want to check</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Select from drop down box</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Select from drop down box</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Select from drop down box</t>
        </r>
      </text>
    </comment>
  </commentList>
</comments>
</file>

<file path=xl/sharedStrings.xml><?xml version="1.0" encoding="utf-8"?>
<sst xmlns="http://schemas.openxmlformats.org/spreadsheetml/2006/main" count="1020" uniqueCount="310">
  <si>
    <t xml:space="preserve">ISO/IEC 27001:2022 ISMS Status, 
Statement of Applicability (SoA) and
Controls Status (gap analysis) workbook</t>
  </si>
  <si>
    <t xml:space="preserve">Introduction</t>
  </si>
  <si>
    <t xml:space="preserve">This spreadsheet is used to record and track the status of your organization as you implement the mandatory and discretionary elements of ISO/IEC 27001.   </t>
  </si>
  <si>
    <r>
      <rPr>
        <sz val="12"/>
        <rFont val="Calibri"/>
        <family val="2"/>
        <charset val="1"/>
      </rPr>
      <t xml:space="preserve">The main body of ISO/IEC 27001 formally specifies a number of mandatory requirements that </t>
    </r>
    <r>
      <rPr>
        <i val="true"/>
        <sz val="12"/>
        <rFont val="Calibri"/>
        <family val="2"/>
        <charset val="1"/>
      </rPr>
      <t xml:space="preserve">must</t>
    </r>
    <r>
      <rPr>
        <sz val="12"/>
        <rFont val="Calibri"/>
        <family val="2"/>
        <charset val="1"/>
      </rPr>
      <t xml:space="preserve"> be fulfilled in order for an </t>
    </r>
    <r>
      <rPr>
        <b val="true"/>
        <sz val="12"/>
        <rFont val="Calibri"/>
        <family val="2"/>
        <charset val="1"/>
      </rPr>
      <t xml:space="preserve">I</t>
    </r>
    <r>
      <rPr>
        <sz val="12"/>
        <rFont val="Calibri"/>
        <family val="2"/>
        <charset val="1"/>
      </rPr>
      <t xml:space="preserve">nformation </t>
    </r>
    <r>
      <rPr>
        <b val="true"/>
        <sz val="12"/>
        <rFont val="Calibri"/>
        <family val="2"/>
        <charset val="1"/>
      </rPr>
      <t xml:space="preserve">S</t>
    </r>
    <r>
      <rPr>
        <sz val="12"/>
        <rFont val="Calibri"/>
        <family val="2"/>
        <charset val="1"/>
      </rPr>
      <t xml:space="preserve">ecurity </t>
    </r>
    <r>
      <rPr>
        <b val="true"/>
        <sz val="12"/>
        <rFont val="Calibri"/>
        <family val="2"/>
        <charset val="1"/>
      </rPr>
      <t xml:space="preserve">M</t>
    </r>
    <r>
      <rPr>
        <sz val="12"/>
        <rFont val="Calibri"/>
        <family val="2"/>
        <charset val="1"/>
      </rPr>
      <t xml:space="preserve">anagement </t>
    </r>
    <r>
      <rPr>
        <b val="true"/>
        <sz val="12"/>
        <rFont val="Calibri"/>
        <family val="2"/>
        <charset val="1"/>
      </rPr>
      <t xml:space="preserve">S</t>
    </r>
    <r>
      <rPr>
        <sz val="12"/>
        <rFont val="Calibri"/>
        <family val="2"/>
        <charset val="1"/>
      </rPr>
      <t xml:space="preserve">ystem to be certified against the standard.   </t>
    </r>
    <r>
      <rPr>
        <b val="true"/>
        <sz val="12"/>
        <rFont val="Calibri"/>
        <family val="2"/>
        <charset val="1"/>
      </rPr>
      <t xml:space="preserve">All the mandatory requirements for certification concern the management system rather than the information risks and the security controls being managed.  </t>
    </r>
    <r>
      <rPr>
        <sz val="12"/>
        <rFont val="Calibri"/>
        <family val="2"/>
        <charset val="1"/>
      </rPr>
      <t xml:space="preserve">For example, the standard requires management to determine the organization's information security risks, assess them, decide how those risks are to be treated, treat them and monitor them, using the policies and procedures defined in the ISMS.  The standard does not mandate specific information security controls: the organization does that.</t>
    </r>
  </si>
  <si>
    <r>
      <rPr>
        <sz val="12"/>
        <rFont val="Calibri"/>
        <family val="2"/>
        <charset val="1"/>
      </rPr>
      <t xml:space="preserve">However, Annex A to '27001 outlines a suite of information security controls that the management system would </t>
    </r>
    <r>
      <rPr>
        <i val="true"/>
        <sz val="12"/>
        <rFont val="Calibri"/>
        <family val="2"/>
        <charset val="1"/>
      </rPr>
      <t xml:space="preserve">typically </t>
    </r>
    <r>
      <rPr>
        <sz val="12"/>
        <rFont val="Calibri"/>
        <family val="2"/>
        <charset val="1"/>
      </rPr>
      <t xml:space="preserve">manage, provided they are in fact applicable to the organization (which depends on its information security risks).  The security controls in Annex A are explained in much more detail in ISO/IEC 27002:2022, and in various other standards, laws, regulations </t>
    </r>
    <r>
      <rPr>
        <i val="true"/>
        <sz val="12"/>
        <rFont val="Calibri"/>
        <family val="2"/>
        <charset val="1"/>
      </rPr>
      <t xml:space="preserve">etc.</t>
    </r>
  </si>
  <si>
    <t xml:space="preserve">Instructions</t>
  </si>
  <si>
    <r>
      <rPr>
        <sz val="12"/>
        <rFont val="Calibri"/>
        <family val="2"/>
        <charset val="1"/>
      </rPr>
      <t xml:space="preserve">1.  Design and implement an ISMS complying with all the mandatory elements specified in the main body of ISO/IEC 27001, using the drop-down selectors on the status column of the </t>
    </r>
    <r>
      <rPr>
        <b val="true"/>
        <sz val="12"/>
        <rFont val="Calibri"/>
        <family val="2"/>
        <charset val="1"/>
      </rPr>
      <t xml:space="preserve">mandatory ISMS requirements sheet </t>
    </r>
    <r>
      <rPr>
        <sz val="12"/>
        <rFont val="Calibri"/>
        <family val="2"/>
        <charset val="1"/>
      </rPr>
      <t xml:space="preserve">to track and record your status against each of the requirements.</t>
    </r>
  </si>
  <si>
    <r>
      <rPr>
        <sz val="12"/>
        <rFont val="Calibri"/>
        <family val="2"/>
        <charset val="1"/>
      </rPr>
      <t xml:space="preserve">2.  Identify and assess the information security risks facing those parts of the organization that are declared in scope for your ISMS, identifying any Annex A controls that are not applicable using the drop-down selectors in the status column of the </t>
    </r>
    <r>
      <rPr>
        <b val="true"/>
        <sz val="12"/>
        <rFont val="Calibri"/>
        <family val="2"/>
        <charset val="1"/>
      </rPr>
      <t xml:space="preserve">annex A controls sheet</t>
    </r>
    <r>
      <rPr>
        <sz val="12"/>
        <rFont val="Calibri"/>
        <family val="2"/>
        <charset val="1"/>
      </rPr>
      <t xml:space="preserve">.  Note: </t>
    </r>
    <r>
      <rPr>
        <b val="true"/>
        <sz val="12"/>
        <rFont val="Calibri"/>
        <family val="2"/>
        <charset val="1"/>
      </rPr>
      <t xml:space="preserve">do not feel constrained by Annex A!  </t>
    </r>
    <r>
      <rPr>
        <sz val="12"/>
        <rFont val="Calibri"/>
        <family val="2"/>
        <charset val="1"/>
      </rPr>
      <t xml:space="preserve">Adapt the sheet, modifying the wording and adding-in additional rows if you determine that other security controls are needed to treat your information security risks and obligations (</t>
    </r>
    <r>
      <rPr>
        <i val="true"/>
        <sz val="12"/>
        <rFont val="Calibri"/>
        <family val="2"/>
        <charset val="1"/>
      </rPr>
      <t xml:space="preserve">e.g. </t>
    </r>
    <r>
      <rPr>
        <sz val="12"/>
        <rFont val="Calibri"/>
        <family val="2"/>
        <charset val="1"/>
      </rPr>
      <t xml:space="preserve">ISO 22301, privacy laws, PCI-DSS </t>
    </r>
    <r>
      <rPr>
        <i val="true"/>
        <sz val="12"/>
        <rFont val="Calibri"/>
        <family val="2"/>
        <charset val="1"/>
      </rPr>
      <t xml:space="preserve">etc</t>
    </r>
    <r>
      <rPr>
        <sz val="12"/>
        <rFont val="Calibri"/>
        <family val="2"/>
        <charset val="1"/>
      </rPr>
      <t xml:space="preserve">.).  </t>
    </r>
    <r>
      <rPr>
        <b val="true"/>
        <sz val="12"/>
        <rFont val="Calibri"/>
        <family val="2"/>
        <charset val="1"/>
      </rPr>
      <t xml:space="preserve">Annex A is merely a guide, a starting point.</t>
    </r>
  </si>
  <si>
    <r>
      <rPr>
        <sz val="12"/>
        <rFont val="Calibri"/>
        <family val="2"/>
        <charset val="1"/>
      </rPr>
      <t xml:space="preserve">3.  Systematically check and record the status of your security risks and controls, updating the status column of </t>
    </r>
    <r>
      <rPr>
        <b val="true"/>
        <sz val="12"/>
        <rFont val="Calibri"/>
        <family val="2"/>
        <charset val="1"/>
      </rPr>
      <t xml:space="preserve">Annex A sheet</t>
    </r>
    <r>
      <rPr>
        <sz val="12"/>
        <rFont val="Calibri"/>
        <family val="2"/>
        <charset val="1"/>
      </rPr>
      <t xml:space="preserve"> accordingly.</t>
    </r>
  </si>
  <si>
    <r>
      <rPr>
        <sz val="12"/>
        <rFont val="Calibri"/>
        <family val="2"/>
        <charset val="1"/>
      </rPr>
      <t xml:space="preserve">4.  Once your ISMS is operating normally, the </t>
    </r>
    <r>
      <rPr>
        <b val="true"/>
        <sz val="12"/>
        <rFont val="Calibri"/>
        <family val="2"/>
        <charset val="1"/>
      </rPr>
      <t xml:space="preserve">metrics </t>
    </r>
    <r>
      <rPr>
        <sz val="12"/>
        <rFont val="Calibri"/>
        <family val="2"/>
        <charset val="1"/>
      </rPr>
      <t xml:space="preserve">are looking good and you have amassed sufficient evidence ("records"), it can be formally audited for compliance with '27001 by an accredited certification body.  They will check that your ISMS  fulfills the standard's mandatory requirements, and that your in-scope information security risks are being identified, treated and monitored according to the ISMS policies and procedures.  Thereafter, the spreadsheet should both be maintained </t>
    </r>
    <r>
      <rPr>
        <i val="true"/>
        <sz val="12"/>
        <rFont val="Calibri"/>
        <family val="2"/>
        <charset val="1"/>
      </rPr>
      <t xml:space="preserve">i.e. </t>
    </r>
    <r>
      <rPr>
        <sz val="12"/>
        <rFont val="Calibri"/>
        <family val="2"/>
        <charset val="1"/>
      </rPr>
      <t xml:space="preserve">updated when the information security risks or controls change, and periodically reviewed/audited.  </t>
    </r>
  </si>
  <si>
    <t xml:space="preserve">Document history and acknowledgements</t>
  </si>
  <si>
    <t xml:space="preserve">Bala Ramanan donated the original ISO/IEC 27001:2005 version of the 27001 requirements worksheet.   Joel Cort added the SoA worksheet.  Gary Hinson hacked it about for publication in the ISO27k Toolkit.</t>
  </si>
  <si>
    <t xml:space="preserve">Ed Hodgson updated the workbook for ISO/IEC 27001:2013.  Gary Hinson fiddled with the wording and formatting, splitting out the metrics and creating a simpler, generic version for the ISO27k Toolkit.</t>
  </si>
  <si>
    <t xml:space="preserve">Christian Breitenstrom updated the workbook to reflect ISO/IEC 27001:2022 and ISO/IEC 27002:2022.  Gary tidied it up a bit, ready for publication in the ISO27k Toolkit once ISO/IEC 27001:2022 is published.</t>
  </si>
  <si>
    <t xml:space="preserve">Copyright</t>
  </si>
  <si>
    <t xml:space="preserve">This work is copyright © 2022, ISO27k Forum,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Forum at www.ISO27001security.com, and (c) any derivative works that are shared with third parties are subject the same copyright terms as this.</t>
  </si>
  <si>
    <r>
      <rPr>
        <b val="true"/>
        <sz val="12"/>
        <rFont val="Calibri"/>
        <family val="2"/>
        <charset val="1"/>
      </rPr>
      <t xml:space="preserve">Note: you need licensed copies of both ISO/IEC 27001 and 27002 to make much sense of this</t>
    </r>
    <r>
      <rPr>
        <sz val="12"/>
        <rFont val="Calibri"/>
        <family val="2"/>
        <charset val="1"/>
      </rPr>
      <t xml:space="preserve">, and other ISO27k standards are also highly recommended.  </t>
    </r>
    <r>
      <rPr>
        <b val="true"/>
        <sz val="12"/>
        <rFont val="Calibri"/>
        <family val="2"/>
        <charset val="1"/>
      </rPr>
      <t xml:space="preserve">This workbook alone is not sufficient!  </t>
    </r>
    <r>
      <rPr>
        <sz val="12"/>
        <rFont val="Calibri"/>
        <family val="2"/>
        <charset val="1"/>
      </rPr>
      <t xml:space="preserve">In particular, we have paraphrased and shortened the wording of the standards in ways that may not entirely fulfill their meaning or intent.  The definitive references are the ISO27k standards, not this workbook. </t>
    </r>
  </si>
  <si>
    <t xml:space="preserve">Please visit ISO27001security.com for further advice and guidance on the ISO27k standards, including the ISO27k Forum and many other useful documents and templates in the ISO27k Toolkit:</t>
  </si>
  <si>
    <t xml:space="preserve">www.ISO27001security.com</t>
  </si>
  <si>
    <t xml:space="preserve">Status of ISO/IEC 27001 implementation</t>
  </si>
  <si>
    <t xml:space="preserve">Section</t>
  </si>
  <si>
    <t xml:space="preserve">ISO/IEC 27001 requirement</t>
  </si>
  <si>
    <t xml:space="preserve">Status</t>
  </si>
  <si>
    <t xml:space="preserve">Notes</t>
  </si>
  <si>
    <t xml:space="preserve">Context of the organisation</t>
  </si>
  <si>
    <t xml:space="preserve">Organisational context</t>
  </si>
  <si>
    <r>
      <rPr>
        <sz val="10"/>
        <rFont val="Calibri"/>
        <family val="2"/>
        <charset val="1"/>
      </rPr>
      <t xml:space="preserve">Determine the organization's </t>
    </r>
    <r>
      <rPr>
        <b val="true"/>
        <sz val="10"/>
        <rFont val="Calibri"/>
        <family val="2"/>
        <charset val="1"/>
      </rPr>
      <t xml:space="preserve">ISMS objectives </t>
    </r>
    <r>
      <rPr>
        <sz val="10"/>
        <rFont val="Calibri"/>
        <family val="2"/>
        <charset val="1"/>
      </rPr>
      <t xml:space="preserve">and any issues that might affect its effectiveness</t>
    </r>
  </si>
  <si>
    <t xml:space="preserve">Optimized</t>
  </si>
  <si>
    <t xml:space="preserve">Interested parties</t>
  </si>
  <si>
    <t xml:space="preserve">4.2 (a)</t>
  </si>
  <si>
    <r>
      <rPr>
        <sz val="10"/>
        <rFont val="Calibri"/>
        <family val="2"/>
        <charset val="1"/>
      </rPr>
      <t xml:space="preserve">Identify </t>
    </r>
    <r>
      <rPr>
        <b val="true"/>
        <sz val="10"/>
        <rFont val="Calibri"/>
        <family val="2"/>
        <charset val="1"/>
      </rPr>
      <t xml:space="preserve">interested parties </t>
    </r>
    <r>
      <rPr>
        <sz val="10"/>
        <rFont val="Calibri"/>
        <family val="2"/>
        <charset val="1"/>
      </rPr>
      <t xml:space="preserve">including applicable laws, regulations, contracts</t>
    </r>
    <r>
      <rPr>
        <i val="true"/>
        <sz val="10"/>
        <rFont val="Calibri"/>
        <family val="2"/>
        <charset val="1"/>
      </rPr>
      <t xml:space="preserve"> etc</t>
    </r>
    <r>
      <rPr>
        <sz val="10"/>
        <rFont val="Calibri"/>
        <family val="2"/>
        <charset val="1"/>
      </rPr>
      <t xml:space="preserve">.</t>
    </r>
  </si>
  <si>
    <t xml:space="preserve">4.2 (b)</t>
  </si>
  <si>
    <r>
      <rPr>
        <sz val="10"/>
        <rFont val="Calibri"/>
        <family val="2"/>
        <charset val="1"/>
      </rPr>
      <t xml:space="preserve">Determine their information security-relevant </t>
    </r>
    <r>
      <rPr>
        <b val="true"/>
        <sz val="10"/>
        <rFont val="Calibri"/>
        <family val="2"/>
        <charset val="1"/>
      </rPr>
      <t xml:space="preserve">requirements</t>
    </r>
    <r>
      <rPr>
        <sz val="10"/>
        <rFont val="Calibri"/>
        <family val="2"/>
        <charset val="1"/>
      </rPr>
      <t xml:space="preserve"> and obligations</t>
    </r>
  </si>
  <si>
    <t xml:space="preserve">ISMS scope</t>
  </si>
  <si>
    <r>
      <rPr>
        <sz val="10"/>
        <rFont val="Calibri"/>
        <family val="2"/>
        <charset val="1"/>
      </rPr>
      <t xml:space="preserve">Determine and document the </t>
    </r>
    <r>
      <rPr>
        <b val="true"/>
        <sz val="10"/>
        <rFont val="Calibri"/>
        <family val="2"/>
        <charset val="1"/>
      </rPr>
      <t xml:space="preserve">ISMS scope</t>
    </r>
  </si>
  <si>
    <t xml:space="preserve"> ISMS</t>
  </si>
  <si>
    <r>
      <rPr>
        <sz val="10"/>
        <rFont val="Calibri"/>
        <family val="2"/>
        <charset val="1"/>
      </rPr>
      <t xml:space="preserve">Establish, implement, maintain and continually improve an </t>
    </r>
    <r>
      <rPr>
        <b val="true"/>
        <sz val="10"/>
        <rFont val="Calibri"/>
        <family val="2"/>
        <charset val="1"/>
      </rPr>
      <t xml:space="preserve">ISMS </t>
    </r>
    <r>
      <rPr>
        <sz val="10"/>
        <rFont val="Calibri"/>
        <family val="2"/>
        <charset val="1"/>
      </rPr>
      <t xml:space="preserve">according to the standard!</t>
    </r>
  </si>
  <si>
    <t xml:space="preserve">Managed</t>
  </si>
  <si>
    <t xml:space="preserve">Leadership</t>
  </si>
  <si>
    <t xml:space="preserve">Leadership &amp; commitment</t>
  </si>
  <si>
    <r>
      <rPr>
        <sz val="10"/>
        <rFont val="Calibri"/>
        <family val="2"/>
        <charset val="1"/>
      </rPr>
      <t xml:space="preserve">Top management must demonstrate </t>
    </r>
    <r>
      <rPr>
        <b val="true"/>
        <sz val="10"/>
        <rFont val="Calibri"/>
        <family val="2"/>
        <charset val="1"/>
      </rPr>
      <t xml:space="preserve">leadership &amp; commitment </t>
    </r>
    <r>
      <rPr>
        <sz val="10"/>
        <rFont val="Calibri"/>
        <family val="2"/>
        <charset val="1"/>
      </rPr>
      <t xml:space="preserve">to the ISMS</t>
    </r>
  </si>
  <si>
    <t xml:space="preserve">Policy</t>
  </si>
  <si>
    <r>
      <rPr>
        <sz val="10"/>
        <rFont val="Calibri"/>
        <family val="2"/>
        <charset val="1"/>
      </rPr>
      <t xml:space="preserve">Establish the </t>
    </r>
    <r>
      <rPr>
        <b val="true"/>
        <sz val="10"/>
        <rFont val="Calibri"/>
        <family val="2"/>
        <charset val="1"/>
      </rPr>
      <t xml:space="preserve">information security policy</t>
    </r>
  </si>
  <si>
    <t xml:space="preserve">Organizational roles, responsibilities &amp; authorities</t>
  </si>
  <si>
    <r>
      <rPr>
        <sz val="10"/>
        <rFont val="Calibri"/>
        <family val="2"/>
        <charset val="1"/>
      </rPr>
      <t xml:space="preserve">Assign and communicate information security </t>
    </r>
    <r>
      <rPr>
        <b val="true"/>
        <sz val="10"/>
        <rFont val="Calibri"/>
        <family val="2"/>
        <charset val="1"/>
      </rPr>
      <t xml:space="preserve">rôles &amp; responsibilities</t>
    </r>
  </si>
  <si>
    <t xml:space="preserve">Planning</t>
  </si>
  <si>
    <t xml:space="preserve">Actions to address risks &amp; opportunities</t>
  </si>
  <si>
    <t xml:space="preserve">6.1.1</t>
  </si>
  <si>
    <t xml:space="preserve">Design/plan the ISMS to satisfy the requirements, addressing risks &amp; opportunities</t>
  </si>
  <si>
    <t xml:space="preserve">6.1.2</t>
  </si>
  <si>
    <r>
      <rPr>
        <sz val="10"/>
        <rFont val="Calibri"/>
        <family val="2"/>
        <charset val="1"/>
      </rPr>
      <t xml:space="preserve">Define and apply an </t>
    </r>
    <r>
      <rPr>
        <b val="true"/>
        <sz val="10"/>
        <rFont val="Calibri"/>
        <family val="2"/>
        <charset val="1"/>
      </rPr>
      <t xml:space="preserve">information security risk assessment process</t>
    </r>
  </si>
  <si>
    <t xml:space="preserve">6.1.3</t>
  </si>
  <si>
    <r>
      <rPr>
        <sz val="10"/>
        <rFont val="Calibri"/>
        <family val="2"/>
        <charset val="1"/>
      </rPr>
      <t xml:space="preserve">Document and apply an </t>
    </r>
    <r>
      <rPr>
        <b val="true"/>
        <sz val="10"/>
        <rFont val="Calibri"/>
        <family val="2"/>
        <charset val="1"/>
      </rPr>
      <t xml:space="preserve">information security risk treatment process </t>
    </r>
  </si>
  <si>
    <t xml:space="preserve">Information security objectives &amp; plans</t>
  </si>
  <si>
    <r>
      <rPr>
        <sz val="10"/>
        <rFont val="Calibri"/>
        <family val="2"/>
        <charset val="1"/>
      </rPr>
      <t xml:space="preserve">Establish and document the </t>
    </r>
    <r>
      <rPr>
        <b val="true"/>
        <sz val="10"/>
        <rFont val="Calibri"/>
        <family val="2"/>
        <charset val="1"/>
      </rPr>
      <t xml:space="preserve">information security objectives</t>
    </r>
    <r>
      <rPr>
        <sz val="10"/>
        <rFont val="Calibri"/>
        <family val="2"/>
        <charset val="1"/>
      </rPr>
      <t xml:space="preserve"> </t>
    </r>
    <r>
      <rPr>
        <b val="true"/>
        <sz val="10"/>
        <rFont val="Calibri"/>
        <family val="2"/>
        <charset val="1"/>
      </rPr>
      <t xml:space="preserve">and plans </t>
    </r>
  </si>
  <si>
    <t xml:space="preserve">Planning of changes</t>
  </si>
  <si>
    <t xml:space="preserve">Substantial changes to the ISMS shall be carried out in a planned manner</t>
  </si>
  <si>
    <t xml:space="preserve">New for 2022</t>
  </si>
  <si>
    <t xml:space="preserve">Support</t>
  </si>
  <si>
    <t xml:space="preserve">Resources</t>
  </si>
  <si>
    <r>
      <rPr>
        <sz val="10"/>
        <rFont val="Calibri"/>
        <family val="2"/>
        <charset val="1"/>
      </rPr>
      <t xml:space="preserve">Determine and allocate necessary </t>
    </r>
    <r>
      <rPr>
        <b val="true"/>
        <sz val="10"/>
        <rFont val="Calibri"/>
        <family val="2"/>
        <charset val="1"/>
      </rPr>
      <t xml:space="preserve">resources </t>
    </r>
    <r>
      <rPr>
        <sz val="10"/>
        <rFont val="Calibri"/>
        <family val="2"/>
        <charset val="1"/>
      </rPr>
      <t xml:space="preserve">for the ISMS</t>
    </r>
  </si>
  <si>
    <t xml:space="preserve">Competence</t>
  </si>
  <si>
    <r>
      <rPr>
        <sz val="10"/>
        <rFont val="Calibri"/>
        <family val="2"/>
        <charset val="1"/>
      </rPr>
      <t xml:space="preserve">Determine, document and make available necessary </t>
    </r>
    <r>
      <rPr>
        <b val="true"/>
        <sz val="10"/>
        <rFont val="Calibri"/>
        <family val="2"/>
        <charset val="1"/>
      </rPr>
      <t xml:space="preserve">competences </t>
    </r>
  </si>
  <si>
    <t xml:space="preserve">Awareness</t>
  </si>
  <si>
    <r>
      <rPr>
        <sz val="10"/>
        <rFont val="Calibri"/>
        <family val="2"/>
        <charset val="1"/>
      </rPr>
      <t xml:space="preserve">Establish a</t>
    </r>
    <r>
      <rPr>
        <b val="true"/>
        <sz val="10"/>
        <rFont val="Calibri"/>
        <family val="2"/>
        <charset val="1"/>
      </rPr>
      <t xml:space="preserve"> security awareness </t>
    </r>
    <r>
      <rPr>
        <sz val="10"/>
        <rFont val="Calibri"/>
        <family val="2"/>
        <charset val="1"/>
      </rPr>
      <t xml:space="preserve">program</t>
    </r>
  </si>
  <si>
    <t xml:space="preserve">Initial</t>
  </si>
  <si>
    <t xml:space="preserve">Communication</t>
  </si>
  <si>
    <r>
      <rPr>
        <sz val="10"/>
        <rFont val="Calibri"/>
        <family val="2"/>
        <charset val="1"/>
      </rPr>
      <t xml:space="preserve">Determine the need for </t>
    </r>
    <r>
      <rPr>
        <b val="true"/>
        <sz val="10"/>
        <rFont val="Calibri"/>
        <family val="2"/>
        <charset val="1"/>
      </rPr>
      <t xml:space="preserve">internal and external communications </t>
    </r>
    <r>
      <rPr>
        <sz val="10"/>
        <rFont val="Calibri"/>
        <family val="2"/>
        <charset val="1"/>
      </rPr>
      <t xml:space="preserve">relevant to the ISMS</t>
    </r>
  </si>
  <si>
    <t xml:space="preserve">Documented information</t>
  </si>
  <si>
    <t xml:space="preserve">7.5.1</t>
  </si>
  <si>
    <r>
      <rPr>
        <sz val="10"/>
        <rFont val="Calibri"/>
        <family val="2"/>
        <charset val="1"/>
      </rPr>
      <t xml:space="preserve">Provide </t>
    </r>
    <r>
      <rPr>
        <b val="true"/>
        <sz val="10"/>
        <rFont val="Calibri"/>
        <family val="2"/>
        <charset val="1"/>
      </rPr>
      <t xml:space="preserve">documentation </t>
    </r>
    <r>
      <rPr>
        <sz val="10"/>
        <rFont val="Calibri"/>
        <family val="2"/>
        <charset val="1"/>
      </rPr>
      <t xml:space="preserve">required by the standard plus that required by the organization</t>
    </r>
  </si>
  <si>
    <t xml:space="preserve">7.5.2</t>
  </si>
  <si>
    <r>
      <rPr>
        <sz val="10"/>
        <rFont val="Calibri"/>
        <family val="2"/>
        <charset val="1"/>
      </rPr>
      <t xml:space="preserve">Provide document </t>
    </r>
    <r>
      <rPr>
        <b val="true"/>
        <sz val="10"/>
        <rFont val="Calibri"/>
        <family val="2"/>
        <charset val="1"/>
      </rPr>
      <t xml:space="preserve">titles</t>
    </r>
    <r>
      <rPr>
        <sz val="10"/>
        <rFont val="Calibri"/>
        <family val="2"/>
        <charset val="1"/>
      </rPr>
      <t xml:space="preserve">, authors </t>
    </r>
    <r>
      <rPr>
        <i val="true"/>
        <sz val="10"/>
        <rFont val="Calibri"/>
        <family val="2"/>
        <charset val="1"/>
      </rPr>
      <t xml:space="preserve">etc</t>
    </r>
    <r>
      <rPr>
        <sz val="10"/>
        <rFont val="Calibri"/>
        <family val="2"/>
        <charset val="1"/>
      </rPr>
      <t xml:space="preserve">., </t>
    </r>
    <r>
      <rPr>
        <b val="true"/>
        <sz val="10"/>
        <rFont val="Calibri"/>
        <family val="2"/>
        <charset val="1"/>
      </rPr>
      <t xml:space="preserve">format</t>
    </r>
    <r>
      <rPr>
        <sz val="10"/>
        <rFont val="Calibri"/>
        <family val="2"/>
        <charset val="1"/>
      </rPr>
      <t xml:space="preserve"> them consistently, and </t>
    </r>
    <r>
      <rPr>
        <b val="true"/>
        <sz val="10"/>
        <rFont val="Calibri"/>
        <family val="2"/>
        <charset val="1"/>
      </rPr>
      <t xml:space="preserve">review &amp; approve </t>
    </r>
    <r>
      <rPr>
        <sz val="10"/>
        <rFont val="Calibri"/>
        <family val="2"/>
        <charset val="1"/>
      </rPr>
      <t xml:space="preserve">them</t>
    </r>
  </si>
  <si>
    <t xml:space="preserve">7.5.3</t>
  </si>
  <si>
    <r>
      <rPr>
        <b val="true"/>
        <sz val="10"/>
        <rFont val="Calibri"/>
        <family val="2"/>
        <charset val="1"/>
      </rPr>
      <t xml:space="preserve">Control the documentation </t>
    </r>
    <r>
      <rPr>
        <sz val="10"/>
        <rFont val="Calibri"/>
        <family val="2"/>
        <charset val="1"/>
      </rPr>
      <t xml:space="preserve">properly</t>
    </r>
  </si>
  <si>
    <t xml:space="preserve">Operation</t>
  </si>
  <si>
    <t xml:space="preserve">Operational planning and control</t>
  </si>
  <si>
    <r>
      <rPr>
        <sz val="10"/>
        <rFont val="Calibri"/>
        <family val="2"/>
        <charset val="1"/>
      </rPr>
      <t xml:space="preserve">Plan, implement, control &amp; document ISMS processes to manage risks (</t>
    </r>
    <r>
      <rPr>
        <i val="true"/>
        <sz val="10"/>
        <rFont val="Calibri"/>
        <family val="2"/>
        <charset val="1"/>
      </rPr>
      <t xml:space="preserve">i.e. </t>
    </r>
    <r>
      <rPr>
        <sz val="10"/>
        <rFont val="Calibri"/>
        <family val="2"/>
        <charset val="1"/>
      </rPr>
      <t xml:space="preserve">a </t>
    </r>
    <r>
      <rPr>
        <b val="true"/>
        <sz val="10"/>
        <rFont val="Calibri"/>
        <family val="2"/>
        <charset val="1"/>
      </rPr>
      <t xml:space="preserve">risk treatment plan</t>
    </r>
    <r>
      <rPr>
        <sz val="10"/>
        <rFont val="Calibri"/>
        <family val="2"/>
        <charset val="1"/>
      </rPr>
      <t xml:space="preserve">)</t>
    </r>
  </si>
  <si>
    <t xml:space="preserve">Information security risk assessment</t>
  </si>
  <si>
    <r>
      <rPr>
        <b val="true"/>
        <sz val="10"/>
        <rFont val="Calibri"/>
        <family val="2"/>
        <charset val="1"/>
      </rPr>
      <t xml:space="preserve">(Re)assess &amp; document information security risks </t>
    </r>
    <r>
      <rPr>
        <sz val="10"/>
        <rFont val="Calibri"/>
        <family val="2"/>
        <charset val="1"/>
      </rPr>
      <t xml:space="preserve">regularly &amp; on changes </t>
    </r>
  </si>
  <si>
    <t xml:space="preserve">Information security risk treatment</t>
  </si>
  <si>
    <r>
      <rPr>
        <sz val="10"/>
        <rFont val="Calibri"/>
        <family val="2"/>
        <charset val="1"/>
      </rPr>
      <t xml:space="preserve">Implement the risk treatment plan</t>
    </r>
    <r>
      <rPr>
        <b val="true"/>
        <sz val="10"/>
        <rFont val="Calibri"/>
        <family val="2"/>
        <charset val="1"/>
      </rPr>
      <t xml:space="preserve"> (treat the risks!) </t>
    </r>
    <r>
      <rPr>
        <sz val="10"/>
        <rFont val="Calibri"/>
        <family val="2"/>
        <charset val="1"/>
      </rPr>
      <t xml:space="preserve">and document the results</t>
    </r>
  </si>
  <si>
    <t xml:space="preserve">Performance evaluation</t>
  </si>
  <si>
    <t xml:space="preserve">Monitoring, measurement, analysis and evaluation</t>
  </si>
  <si>
    <r>
      <rPr>
        <b val="true"/>
        <sz val="10"/>
        <rFont val="Calibri"/>
        <family val="2"/>
        <charset val="1"/>
      </rPr>
      <t xml:space="preserve">Monitor, measure, analyze and evaluate</t>
    </r>
    <r>
      <rPr>
        <sz val="10"/>
        <rFont val="Calibri"/>
        <family val="2"/>
        <charset val="1"/>
      </rPr>
      <t xml:space="preserve"> the ISMS and the controls</t>
    </r>
  </si>
  <si>
    <t xml:space="preserve">Internal audit</t>
  </si>
  <si>
    <r>
      <rPr>
        <sz val="10"/>
        <rFont val="Calibri"/>
        <family val="2"/>
        <charset val="1"/>
      </rPr>
      <t xml:space="preserve">Plan &amp; conduct </t>
    </r>
    <r>
      <rPr>
        <b val="true"/>
        <sz val="10"/>
        <rFont val="Calibri"/>
        <family val="2"/>
        <charset val="1"/>
      </rPr>
      <t xml:space="preserve">internal audits </t>
    </r>
    <r>
      <rPr>
        <sz val="10"/>
        <rFont val="Calibri"/>
        <family val="2"/>
        <charset val="1"/>
      </rPr>
      <t xml:space="preserve">of the ISMS</t>
    </r>
  </si>
  <si>
    <t xml:space="preserve">Management review</t>
  </si>
  <si>
    <r>
      <rPr>
        <sz val="10"/>
        <rFont val="Calibri"/>
        <family val="2"/>
        <charset val="1"/>
      </rPr>
      <t xml:space="preserve">Undertake regular </t>
    </r>
    <r>
      <rPr>
        <b val="true"/>
        <sz val="10"/>
        <rFont val="Calibri"/>
        <family val="2"/>
        <charset val="1"/>
      </rPr>
      <t xml:space="preserve">management reviews </t>
    </r>
    <r>
      <rPr>
        <sz val="10"/>
        <rFont val="Calibri"/>
        <family val="2"/>
        <charset val="1"/>
      </rPr>
      <t xml:space="preserve">of the ISMS</t>
    </r>
  </si>
  <si>
    <t xml:space="preserve">Improvement</t>
  </si>
  <si>
    <t xml:space="preserve">Continual improvement</t>
  </si>
  <si>
    <r>
      <rPr>
        <sz val="10"/>
        <rFont val="Calibri"/>
        <family val="2"/>
        <charset val="1"/>
      </rPr>
      <t xml:space="preserve">Continually </t>
    </r>
    <r>
      <rPr>
        <b val="true"/>
        <sz val="10"/>
        <rFont val="Calibri"/>
        <family val="2"/>
        <charset val="1"/>
      </rPr>
      <t xml:space="preserve">improve</t>
    </r>
    <r>
      <rPr>
        <sz val="10"/>
        <rFont val="Calibri"/>
        <family val="2"/>
        <charset val="1"/>
      </rPr>
      <t xml:space="preserve"> the ISMS</t>
    </r>
  </si>
  <si>
    <t xml:space="preserve">Nonconformity and corrective action</t>
  </si>
  <si>
    <t xml:space="preserve">Identify, fix and take action to prevent recurrence of nonconformities, documenting the actions</t>
  </si>
  <si>
    <t xml:space="preserve">Number of requirements</t>
  </si>
  <si>
    <t xml:space="preserve">Statement of Applicability and status of information security controls</t>
  </si>
  <si>
    <t xml:space="preserve">Information security control</t>
  </si>
  <si>
    <t xml:space="preserve">Description</t>
  </si>
  <si>
    <t xml:space="preserve">A5</t>
  </si>
  <si>
    <t xml:space="preserve">Organizational controls</t>
  </si>
  <si>
    <t xml:space="preserve">A.5.1</t>
  </si>
  <si>
    <t xml:space="preserve">Policies for information security</t>
  </si>
  <si>
    <t xml:space="preserve">A.5.2</t>
  </si>
  <si>
    <t xml:space="preserve">Information security roles and responsibilities</t>
  </si>
  <si>
    <t xml:space="preserve">A.5.3</t>
  </si>
  <si>
    <t xml:space="preserve">Segregation of duties</t>
  </si>
  <si>
    <t xml:space="preserve">A.5.4</t>
  </si>
  <si>
    <t xml:space="preserve">Management responsibilities</t>
  </si>
  <si>
    <t xml:space="preserve">A.5.5</t>
  </si>
  <si>
    <t xml:space="preserve">Contact with authorities</t>
  </si>
  <si>
    <t xml:space="preserve">A.5.6</t>
  </si>
  <si>
    <t xml:space="preserve">Contact with special interest groups</t>
  </si>
  <si>
    <t xml:space="preserve">A.5.7</t>
  </si>
  <si>
    <t xml:space="preserve">Threat intelligence</t>
  </si>
  <si>
    <t xml:space="preserve">A.5.8</t>
  </si>
  <si>
    <t xml:space="preserve">Information security in project management</t>
  </si>
  <si>
    <t xml:space="preserve">A.5.9</t>
  </si>
  <si>
    <t xml:space="preserve">Inventory of information and other associated assets</t>
  </si>
  <si>
    <t xml:space="preserve">A.5.10</t>
  </si>
  <si>
    <t xml:space="preserve">Acceptable use of information and other associated assets</t>
  </si>
  <si>
    <t xml:space="preserve">A.5.11</t>
  </si>
  <si>
    <t xml:space="preserve">Return of assets</t>
  </si>
  <si>
    <t xml:space="preserve">A.5.12</t>
  </si>
  <si>
    <t xml:space="preserve">Classification of information</t>
  </si>
  <si>
    <t xml:space="preserve">A.5.13</t>
  </si>
  <si>
    <t xml:space="preserve">Labelling of information</t>
  </si>
  <si>
    <t xml:space="preserve">A.5.14</t>
  </si>
  <si>
    <t xml:space="preserve">Information transfer</t>
  </si>
  <si>
    <t xml:space="preserve">A.5.15</t>
  </si>
  <si>
    <t xml:space="preserve">Access control</t>
  </si>
  <si>
    <t xml:space="preserve">A.5.16</t>
  </si>
  <si>
    <t xml:space="preserve">Identity management</t>
  </si>
  <si>
    <t xml:space="preserve">A.5.17</t>
  </si>
  <si>
    <t xml:space="preserve">Authentication information</t>
  </si>
  <si>
    <t xml:space="preserve">A.5.18</t>
  </si>
  <si>
    <t xml:space="preserve">Access rights</t>
  </si>
  <si>
    <t xml:space="preserve">A.5.19</t>
  </si>
  <si>
    <t xml:space="preserve">Information security in supplier relationships</t>
  </si>
  <si>
    <t xml:space="preserve">A.5.20</t>
  </si>
  <si>
    <t xml:space="preserve">Addressing information security within supplier agreements</t>
  </si>
  <si>
    <t xml:space="preserve">A.5.21</t>
  </si>
  <si>
    <t xml:space="preserve">Managing information security in the information 
and communication technology (ICT) supply-chain</t>
  </si>
  <si>
    <t xml:space="preserve">A.5.22</t>
  </si>
  <si>
    <t xml:space="preserve">Monitoring, review and change management of supplier services</t>
  </si>
  <si>
    <t xml:space="preserve">A.5.23</t>
  </si>
  <si>
    <t xml:space="preserve">Information security for use of cloud services</t>
  </si>
  <si>
    <t xml:space="preserve">Not applicable</t>
  </si>
  <si>
    <t xml:space="preserve">A.5.24</t>
  </si>
  <si>
    <t xml:space="preserve">Information security incident management planning and preparation</t>
  </si>
  <si>
    <t xml:space="preserve">A.5.25</t>
  </si>
  <si>
    <t xml:space="preserve">Assessment and decision on information security events</t>
  </si>
  <si>
    <t xml:space="preserve">A.5.26</t>
  </si>
  <si>
    <t xml:space="preserve">Response to information security incidents</t>
  </si>
  <si>
    <t xml:space="preserve">A.5.27</t>
  </si>
  <si>
    <t xml:space="preserve">Learning from information security incidents</t>
  </si>
  <si>
    <t xml:space="preserve">A.5.28</t>
  </si>
  <si>
    <t xml:space="preserve">Collection of evidence</t>
  </si>
  <si>
    <t xml:space="preserve">A.5.29</t>
  </si>
  <si>
    <t xml:space="preserve">Information security during disruption</t>
  </si>
  <si>
    <t xml:space="preserve">A.5.30</t>
  </si>
  <si>
    <t xml:space="preserve">ICT readiness for business continuity</t>
  </si>
  <si>
    <t xml:space="preserve">A.5.31</t>
  </si>
  <si>
    <t xml:space="preserve">Legal, statutory, regulatory and contractual requirements</t>
  </si>
  <si>
    <t xml:space="preserve">A.5.32</t>
  </si>
  <si>
    <t xml:space="preserve">Intellectual property rights</t>
  </si>
  <si>
    <t xml:space="preserve">A.5.33</t>
  </si>
  <si>
    <t xml:space="preserve">Protection of records</t>
  </si>
  <si>
    <t xml:space="preserve">A.5.34</t>
  </si>
  <si>
    <t xml:space="preserve">Privacy and protection of personal identifiable information (PII)</t>
  </si>
  <si>
    <t xml:space="preserve">A.5.35</t>
  </si>
  <si>
    <t xml:space="preserve">Independent review of information security</t>
  </si>
  <si>
    <t xml:space="preserve">A.5.36</t>
  </si>
  <si>
    <t xml:space="preserve">Compliance with policies, rules and standards for information security</t>
  </si>
  <si>
    <t xml:space="preserve">A.5.37</t>
  </si>
  <si>
    <t xml:space="preserve">Documented operating procedures</t>
  </si>
  <si>
    <t xml:space="preserve">A6</t>
  </si>
  <si>
    <t xml:space="preserve">People controls</t>
  </si>
  <si>
    <t xml:space="preserve">A.6.1</t>
  </si>
  <si>
    <t xml:space="preserve">Screening</t>
  </si>
  <si>
    <t xml:space="preserve">A.6.2</t>
  </si>
  <si>
    <t xml:space="preserve">Terms and conditions of employment</t>
  </si>
  <si>
    <t xml:space="preserve">A.6.3</t>
  </si>
  <si>
    <t xml:space="preserve">Information security awareness, education and training</t>
  </si>
  <si>
    <t xml:space="preserve">A.6.4</t>
  </si>
  <si>
    <t xml:space="preserve">Disciplinary process</t>
  </si>
  <si>
    <t xml:space="preserve">A.6.5</t>
  </si>
  <si>
    <t xml:space="preserve">Responsibilities after termination or change of employment</t>
  </si>
  <si>
    <t xml:space="preserve">A.6.6</t>
  </si>
  <si>
    <t xml:space="preserve">Confidentiality or non-disclosure agreements</t>
  </si>
  <si>
    <t xml:space="preserve">A.6.7</t>
  </si>
  <si>
    <t xml:space="preserve">Remote working</t>
  </si>
  <si>
    <t xml:space="preserve">A.6.8</t>
  </si>
  <si>
    <t xml:space="preserve">Information security event reporting</t>
  </si>
  <si>
    <t xml:space="preserve">A7</t>
  </si>
  <si>
    <t xml:space="preserve">Physical controls</t>
  </si>
  <si>
    <t xml:space="preserve">A.7.1</t>
  </si>
  <si>
    <t xml:space="preserve">Physical security perimeters</t>
  </si>
  <si>
    <t xml:space="preserve">A.7.2</t>
  </si>
  <si>
    <t xml:space="preserve">Physical entry</t>
  </si>
  <si>
    <t xml:space="preserve">A.7.3</t>
  </si>
  <si>
    <t xml:space="preserve">Securing offices, rooms and facilities</t>
  </si>
  <si>
    <t xml:space="preserve">A.7.4</t>
  </si>
  <si>
    <t xml:space="preserve">Physical security monitoring</t>
  </si>
  <si>
    <t xml:space="preserve">A.7.5</t>
  </si>
  <si>
    <t xml:space="preserve">Protecting against physical and environmental threats</t>
  </si>
  <si>
    <t xml:space="preserve">A.7.6</t>
  </si>
  <si>
    <t xml:space="preserve">Working in secure areas</t>
  </si>
  <si>
    <t xml:space="preserve">A.7.7</t>
  </si>
  <si>
    <t xml:space="preserve">Clear desk and clear screen</t>
  </si>
  <si>
    <t xml:space="preserve">A.7.8</t>
  </si>
  <si>
    <t xml:space="preserve">Equipment siting and protection</t>
  </si>
  <si>
    <t xml:space="preserve">A.7.9</t>
  </si>
  <si>
    <t xml:space="preserve">Security of assets off-premises</t>
  </si>
  <si>
    <t xml:space="preserve">A.7.10</t>
  </si>
  <si>
    <t xml:space="preserve">Storage media</t>
  </si>
  <si>
    <t xml:space="preserve">A.7.11</t>
  </si>
  <si>
    <t xml:space="preserve">Supporting utilities</t>
  </si>
  <si>
    <t xml:space="preserve">A.7.12</t>
  </si>
  <si>
    <t xml:space="preserve">Cabling security</t>
  </si>
  <si>
    <t xml:space="preserve">A.7.13</t>
  </si>
  <si>
    <t xml:space="preserve">Equipment maintenance</t>
  </si>
  <si>
    <t xml:space="preserve">A.7.14</t>
  </si>
  <si>
    <t xml:space="preserve">Secure disposal or re-use of equipment</t>
  </si>
  <si>
    <t xml:space="preserve">A8</t>
  </si>
  <si>
    <t xml:space="preserve">Technological controls</t>
  </si>
  <si>
    <t xml:space="preserve">A.8.1</t>
  </si>
  <si>
    <t xml:space="preserve">User end point devices</t>
  </si>
  <si>
    <t xml:space="preserve">A.8.2</t>
  </si>
  <si>
    <t xml:space="preserve">Privileged access rights</t>
  </si>
  <si>
    <t xml:space="preserve">A.8.3</t>
  </si>
  <si>
    <t xml:space="preserve">Information access restriction</t>
  </si>
  <si>
    <t xml:space="preserve">A.8.4</t>
  </si>
  <si>
    <t xml:space="preserve">Access to source code</t>
  </si>
  <si>
    <t xml:space="preserve">A.8.5</t>
  </si>
  <si>
    <t xml:space="preserve">Secure authentication</t>
  </si>
  <si>
    <t xml:space="preserve">A.8.6</t>
  </si>
  <si>
    <t xml:space="preserve">Capacity management</t>
  </si>
  <si>
    <t xml:space="preserve">A.8.7</t>
  </si>
  <si>
    <t xml:space="preserve">Protection against malware</t>
  </si>
  <si>
    <t xml:space="preserve">A.8.8</t>
  </si>
  <si>
    <t xml:space="preserve">Management of technical vulnerabilities</t>
  </si>
  <si>
    <t xml:space="preserve">A.8.9</t>
  </si>
  <si>
    <t xml:space="preserve">Configuration management</t>
  </si>
  <si>
    <t xml:space="preserve">A.8.10</t>
  </si>
  <si>
    <t xml:space="preserve">Information deletion</t>
  </si>
  <si>
    <t xml:space="preserve">A.8.11</t>
  </si>
  <si>
    <t xml:space="preserve">Data masking</t>
  </si>
  <si>
    <t xml:space="preserve">A.8.12</t>
  </si>
  <si>
    <t xml:space="preserve">Data leakage prevention</t>
  </si>
  <si>
    <t xml:space="preserve">A.8.13</t>
  </si>
  <si>
    <t xml:space="preserve">Information backup</t>
  </si>
  <si>
    <t xml:space="preserve">A.8.14</t>
  </si>
  <si>
    <t xml:space="preserve">Redundancy of information processing facilities</t>
  </si>
  <si>
    <t xml:space="preserve">A.8.15</t>
  </si>
  <si>
    <t xml:space="preserve">Logging</t>
  </si>
  <si>
    <t xml:space="preserve">A.8.16</t>
  </si>
  <si>
    <t xml:space="preserve">Monitoring activities</t>
  </si>
  <si>
    <t xml:space="preserve">A.8.17</t>
  </si>
  <si>
    <t xml:space="preserve">Clock synchronization</t>
  </si>
  <si>
    <t xml:space="preserve">A.8.18</t>
  </si>
  <si>
    <t xml:space="preserve">Use of privileged utility programs</t>
  </si>
  <si>
    <t xml:space="preserve">A.8.19</t>
  </si>
  <si>
    <t xml:space="preserve">Installation of software on operational systems</t>
  </si>
  <si>
    <t xml:space="preserve">A.8.20</t>
  </si>
  <si>
    <t xml:space="preserve">Networks security</t>
  </si>
  <si>
    <t xml:space="preserve">A.8.21</t>
  </si>
  <si>
    <t xml:space="preserve">Security of network services</t>
  </si>
  <si>
    <t xml:space="preserve">A.8.22</t>
  </si>
  <si>
    <t xml:space="preserve">Segregation of networks</t>
  </si>
  <si>
    <t xml:space="preserve">A.8.23</t>
  </si>
  <si>
    <t xml:space="preserve">Web filtering</t>
  </si>
  <si>
    <t xml:space="preserve">A.8.24</t>
  </si>
  <si>
    <t xml:space="preserve">Use of cryptography</t>
  </si>
  <si>
    <t xml:space="preserve">A.8.25</t>
  </si>
  <si>
    <t xml:space="preserve">Secure development life cycle</t>
  </si>
  <si>
    <t xml:space="preserve">A.8.26</t>
  </si>
  <si>
    <t xml:space="preserve">Application security requirements</t>
  </si>
  <si>
    <t xml:space="preserve">A.8.27</t>
  </si>
  <si>
    <t xml:space="preserve">Secure system architecture and engineering principles</t>
  </si>
  <si>
    <t xml:space="preserve">A.8.28</t>
  </si>
  <si>
    <t xml:space="preserve">Secure coding</t>
  </si>
  <si>
    <t xml:space="preserve">A.8.29</t>
  </si>
  <si>
    <t xml:space="preserve">Security testing in development and acceptance</t>
  </si>
  <si>
    <t xml:space="preserve">A.8.30</t>
  </si>
  <si>
    <t xml:space="preserve">Outsourced development</t>
  </si>
  <si>
    <t xml:space="preserve">A.8.31</t>
  </si>
  <si>
    <t xml:space="preserve">Separation of development, test and production environments</t>
  </si>
  <si>
    <t xml:space="preserve">A.8.32</t>
  </si>
  <si>
    <t xml:space="preserve">Change management</t>
  </si>
  <si>
    <t xml:space="preserve">A.8.33</t>
  </si>
  <si>
    <t xml:space="preserve">Test information</t>
  </si>
  <si>
    <t xml:space="preserve">A.8.34</t>
  </si>
  <si>
    <t xml:space="preserve">Protection of information systems during audit testing</t>
  </si>
  <si>
    <t xml:space="preserve">Number of controls</t>
  </si>
  <si>
    <t xml:space="preserve">Meaning</t>
  </si>
  <si>
    <t xml:space="preserve">Proportion of ISMS requirements</t>
  </si>
  <si>
    <t xml:space="preserve">Proportion of information security controls</t>
  </si>
  <si>
    <t xml:space="preserve">? Unknown</t>
  </si>
  <si>
    <t xml:space="preserve">Has not even been checked yet</t>
  </si>
  <si>
    <t xml:space="preserve">Nonexistent</t>
  </si>
  <si>
    <r>
      <rPr>
        <sz val="9"/>
        <rFont val="Calibri"/>
        <family val="2"/>
        <charset val="1"/>
      </rPr>
      <t xml:space="preserve">Complete lack of recognizable policy, procedure, control </t>
    </r>
    <r>
      <rPr>
        <i val="true"/>
        <sz val="9"/>
        <rFont val="Calibri"/>
        <family val="2"/>
        <charset val="1"/>
      </rPr>
      <t xml:space="preserve">etc.</t>
    </r>
  </si>
  <si>
    <t xml:space="preserve">Development has barely started and will require significant work to fulfill the requirements</t>
  </si>
  <si>
    <t xml:space="preserve">Limited</t>
  </si>
  <si>
    <t xml:space="preserve">Progressing nicely but not yet complete</t>
  </si>
  <si>
    <t xml:space="preserve">Defined</t>
  </si>
  <si>
    <t xml:space="preserve">Development is more or less complete although detail is lacking and/or it is not yet implemented, enforced and actively supported by top management</t>
  </si>
  <si>
    <t xml:space="preserve">Development is complete, the process/control has been implemented and recently started operating</t>
  </si>
  <si>
    <t xml:space="preserve">The requirement is fully satisfied, is operating fully as expected, is being actively monitored and improved, and there is substantial evidence to prove all that to the auditors</t>
  </si>
  <si>
    <t xml:space="preserve">ALL requirements in the main body of ISO/IEC 27001 are mandatory IF your ISMS is to be certified.  Otherwise, managemnent can ignore them.</t>
  </si>
  <si>
    <t xml:space="preserve">Total</t>
  </si>
</sst>
</file>

<file path=xl/styles.xml><?xml version="1.0" encoding="utf-8"?>
<styleSheet xmlns="http://schemas.openxmlformats.org/spreadsheetml/2006/main">
  <numFmts count="3">
    <numFmt numFmtId="164" formatCode="General"/>
    <numFmt numFmtId="165" formatCode="General"/>
    <numFmt numFmtId="166" formatCode="0%"/>
  </numFmts>
  <fonts count="40">
    <font>
      <sz val="10"/>
      <name val="Arial"/>
      <family val="2"/>
      <charset val="1"/>
    </font>
    <font>
      <sz val="10"/>
      <name val="Arial"/>
      <family val="0"/>
    </font>
    <font>
      <sz val="10"/>
      <name val="Arial"/>
      <family val="0"/>
    </font>
    <font>
      <sz val="10"/>
      <name val="Arial"/>
      <family val="0"/>
    </font>
    <font>
      <sz val="12"/>
      <name val="Calibri"/>
      <family val="2"/>
      <charset val="1"/>
    </font>
    <font>
      <sz val="10"/>
      <name val="Calibri"/>
      <family val="2"/>
      <charset val="1"/>
    </font>
    <font>
      <b val="true"/>
      <sz val="24"/>
      <name val="Calibri"/>
      <family val="2"/>
      <charset val="1"/>
    </font>
    <font>
      <b val="true"/>
      <sz val="14"/>
      <name val="Calibri"/>
      <family val="2"/>
      <charset val="1"/>
    </font>
    <font>
      <i val="true"/>
      <sz val="12"/>
      <name val="Calibri"/>
      <family val="2"/>
      <charset val="1"/>
    </font>
    <font>
      <b val="true"/>
      <sz val="12"/>
      <name val="Calibri"/>
      <family val="2"/>
      <charset val="1"/>
    </font>
    <font>
      <u val="single"/>
      <sz val="14"/>
      <color rgb="FF0000FF"/>
      <name val="Calibri"/>
      <family val="2"/>
      <charset val="1"/>
    </font>
    <font>
      <u val="single"/>
      <sz val="10"/>
      <color rgb="FF0000FF"/>
      <name val="Arial"/>
      <family val="2"/>
      <charset val="1"/>
    </font>
    <font>
      <sz val="20"/>
      <name val="Calibri"/>
      <family val="2"/>
      <charset val="1"/>
    </font>
    <font>
      <b val="true"/>
      <sz val="14"/>
      <color theme="0"/>
      <name val="Calibri"/>
      <family val="2"/>
      <charset val="1"/>
    </font>
    <font>
      <b val="true"/>
      <sz val="16"/>
      <color theme="0"/>
      <name val="Calibri"/>
      <family val="2"/>
      <charset val="1"/>
    </font>
    <font>
      <b val="true"/>
      <sz val="18"/>
      <name val="Calibri"/>
      <family val="2"/>
      <charset val="1"/>
    </font>
    <font>
      <b val="true"/>
      <sz val="18"/>
      <color rgb="FF000000"/>
      <name val="Calibri"/>
      <family val="2"/>
      <charset val="1"/>
    </font>
    <font>
      <b val="true"/>
      <sz val="12"/>
      <color rgb="FF000000"/>
      <name val="Calibri"/>
      <family val="2"/>
      <charset val="1"/>
    </font>
    <font>
      <b val="true"/>
      <sz val="10"/>
      <name val="Calibri"/>
      <family val="2"/>
      <charset val="1"/>
    </font>
    <font>
      <i val="true"/>
      <sz val="10"/>
      <name val="Calibri"/>
      <family val="2"/>
      <charset val="1"/>
    </font>
    <font>
      <sz val="18"/>
      <name val="Calibri"/>
      <family val="2"/>
      <charset val="1"/>
    </font>
    <font>
      <b val="true"/>
      <sz val="12"/>
      <color rgb="FFFFFFFF"/>
      <name val="Arial"/>
      <family val="2"/>
      <charset val="1"/>
    </font>
    <font>
      <b val="true"/>
      <sz val="12"/>
      <color theme="0" tint="-0.15"/>
      <name val="Calibri"/>
      <family val="2"/>
      <charset val="1"/>
    </font>
    <font>
      <sz val="10"/>
      <color theme="0" tint="-0.15"/>
      <name val="Calibri"/>
      <family val="2"/>
      <charset val="1"/>
    </font>
    <font>
      <b val="true"/>
      <sz val="12"/>
      <color rgb="FFFFFFFF"/>
      <name val="Calibri"/>
      <family val="2"/>
      <charset val="1"/>
    </font>
    <font>
      <sz val="10"/>
      <name val="Arial"/>
      <family val="2"/>
    </font>
    <font>
      <sz val="9"/>
      <color rgb="FF000000"/>
      <name val="Tahoma"/>
      <family val="2"/>
      <charset val="1"/>
    </font>
    <font>
      <b val="true"/>
      <sz val="8"/>
      <name val="Calibri"/>
      <family val="2"/>
      <charset val="1"/>
    </font>
    <font>
      <b val="true"/>
      <sz val="12"/>
      <color theme="0"/>
      <name val="Calibri"/>
      <family val="2"/>
      <charset val="1"/>
    </font>
    <font>
      <sz val="12"/>
      <color rgb="FF000000"/>
      <name val="Calibri"/>
      <family val="2"/>
      <charset val="1"/>
    </font>
    <font>
      <sz val="12"/>
      <color theme="0" tint="-0.15"/>
      <name val="Calibri"/>
      <family val="2"/>
      <charset val="1"/>
    </font>
    <font>
      <sz val="14"/>
      <name val="Calibri"/>
      <family val="2"/>
      <charset val="1"/>
    </font>
    <font>
      <b val="true"/>
      <sz val="10"/>
      <color theme="0"/>
      <name val="Calibri"/>
      <family val="2"/>
      <charset val="1"/>
    </font>
    <font>
      <b val="true"/>
      <sz val="9"/>
      <color theme="0"/>
      <name val="Calibri"/>
      <family val="2"/>
      <charset val="1"/>
    </font>
    <font>
      <sz val="9"/>
      <name val="Calibri"/>
      <family val="2"/>
      <charset val="1"/>
    </font>
    <font>
      <b val="true"/>
      <sz val="16"/>
      <name val="Calibri"/>
      <family val="2"/>
      <charset val="1"/>
    </font>
    <font>
      <i val="true"/>
      <sz val="9"/>
      <name val="Calibri"/>
      <family val="2"/>
      <charset val="1"/>
    </font>
    <font>
      <sz val="16"/>
      <name val="Calibri"/>
      <family val="2"/>
      <charset val="1"/>
    </font>
    <font>
      <b val="true"/>
      <sz val="28"/>
      <color rgb="FF000000"/>
      <name val="Times New Roman"/>
      <family val="0"/>
    </font>
    <font>
      <sz val="14"/>
      <color rgb="FF000000"/>
      <name val="Calibri"/>
      <family val="2"/>
    </font>
  </fonts>
  <fills count="7">
    <fill>
      <patternFill patternType="none"/>
    </fill>
    <fill>
      <patternFill patternType="gray125"/>
    </fill>
    <fill>
      <patternFill patternType="solid">
        <fgColor rgb="FFA0FFA0"/>
        <bgColor rgb="FFCCFFFF"/>
      </patternFill>
    </fill>
    <fill>
      <patternFill patternType="solid">
        <fgColor rgb="FFCC9900"/>
        <bgColor rgb="FFFFC000"/>
      </patternFill>
    </fill>
    <fill>
      <patternFill patternType="solid">
        <fgColor rgb="FF002060"/>
        <bgColor rgb="FF000080"/>
      </patternFill>
    </fill>
    <fill>
      <patternFill patternType="solid">
        <fgColor rgb="FFCCFFFF"/>
        <bgColor rgb="FFDCE6F2"/>
      </patternFill>
    </fill>
    <fill>
      <patternFill patternType="solid">
        <fgColor theme="4" tint="0.7999"/>
        <bgColor rgb="FFD9D9D9"/>
      </patternFill>
    </fill>
  </fills>
  <borders count="21">
    <border diagonalUp="false" diagonalDown="false">
      <left/>
      <right/>
      <top/>
      <bottom/>
      <diagonal/>
    </border>
    <border diagonalUp="false" diagonalDown="false">
      <left style="hair"/>
      <right style="hair"/>
      <top style="hair"/>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hair"/>
      <right style="medium"/>
      <top style="medium"/>
      <bottom style="hair"/>
      <diagonal/>
    </border>
    <border diagonalUp="false" diagonalDown="false">
      <left style="medium"/>
      <right style="hair"/>
      <top style="hair"/>
      <bottom style="hair"/>
      <diagonal/>
    </border>
    <border diagonalUp="false" diagonalDown="false">
      <left style="hair"/>
      <right style="hair"/>
      <top style="hair"/>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 diagonalUp="false" diagonalDown="false">
      <left style="hair"/>
      <right/>
      <top style="hair"/>
      <bottom style="hair"/>
      <diagonal/>
    </border>
    <border diagonalUp="false" diagonalDown="false">
      <left style="hair"/>
      <right/>
      <top/>
      <bottom/>
      <diagonal/>
    </border>
    <border diagonalUp="false" diagonalDown="false">
      <left style="hair"/>
      <right/>
      <top/>
      <bottom style="hair"/>
      <diagonal/>
    </border>
    <border diagonalUp="false" diagonalDown="false">
      <left/>
      <right/>
      <top/>
      <bottom style="hair"/>
      <diagonal/>
    </border>
    <border diagonalUp="false" diagonalDown="false">
      <left style="medium"/>
      <right style="hair"/>
      <top style="medium"/>
      <bottom/>
      <diagonal/>
    </border>
    <border diagonalUp="false" diagonalDown="false">
      <left style="hair"/>
      <right style="hair"/>
      <top style="medium"/>
      <bottom/>
      <diagonal/>
    </border>
    <border diagonalUp="false" diagonalDown="false">
      <left style="hair"/>
      <right style="medium"/>
      <top style="medium"/>
      <bottom/>
      <diagonal/>
    </border>
    <border diagonalUp="false" diagonalDown="false">
      <left style="hair"/>
      <right style="thin"/>
      <top style="medium"/>
      <bottom style="hair"/>
      <diagonal/>
    </border>
    <border diagonalUp="false" diagonalDown="false">
      <left style="hair"/>
      <right style="thin"/>
      <top style="hair"/>
      <bottom style="hair"/>
      <diagonal/>
    </border>
    <border diagonalUp="false" diagonalDown="false">
      <left style="hair"/>
      <right style="thin"/>
      <top style="hair"/>
      <bottom style="mediu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1" fillId="0" borderId="0" applyFont="true" applyBorder="true" applyAlignment="true" applyProtection="true">
      <alignment horizontal="general" vertical="bottom" textRotation="0" wrapText="false" indent="0" shrinkToFit="false"/>
      <protection locked="true" hidden="false"/>
    </xf>
    <xf numFmtId="164" fontId="0" fillId="2"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center" vertical="center" textRotation="0" wrapText="false" indent="0" shrinkToFit="tru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21" fillId="3" borderId="0" applyFont="true" applyBorder="false" applyAlignment="true" applyProtection="false">
      <alignment horizontal="center" vertical="center" textRotation="0" wrapText="false" indent="0" shrinkToFit="false"/>
    </xf>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3" applyFont="true" applyBorder="false" applyAlignment="true" applyProtection="true">
      <alignment horizontal="general" vertical="bottom" textRotation="0" wrapText="true" indent="0" shrinkToFit="false"/>
      <protection locked="true" hidden="false"/>
    </xf>
    <xf numFmtId="164" fontId="5" fillId="0" borderId="0" xfId="23" applyFont="true" applyBorder="false" applyAlignment="true" applyProtection="true">
      <alignment horizontal="center" vertical="bottom" textRotation="0" wrapText="true" indent="0" shrinkToFit="false"/>
      <protection locked="true" hidden="false"/>
    </xf>
    <xf numFmtId="164" fontId="6" fillId="0" borderId="0" xfId="23" applyFont="true" applyBorder="false" applyAlignment="true" applyProtection="true">
      <alignment horizontal="center" vertical="center" textRotation="0" wrapText="true" indent="0" shrinkToFit="false"/>
      <protection locked="true" hidden="false"/>
    </xf>
    <xf numFmtId="164" fontId="7" fillId="0" borderId="0" xfId="23" applyFont="true" applyBorder="false" applyAlignment="true" applyProtection="true">
      <alignment horizontal="general" vertical="bottom" textRotation="0" wrapText="true" indent="0" shrinkToFit="false"/>
      <protection locked="true" hidden="false"/>
    </xf>
    <xf numFmtId="164" fontId="4" fillId="0" borderId="0" xfId="23" applyFont="true" applyBorder="false" applyAlignment="true" applyProtection="true">
      <alignment horizontal="general" vertical="bottom" textRotation="0" wrapText="true" indent="0" shrinkToFit="false"/>
      <protection locked="true" hidden="false"/>
    </xf>
    <xf numFmtId="164" fontId="9" fillId="0" borderId="0" xfId="23" applyFont="true" applyBorder="false" applyAlignment="true" applyProtection="true">
      <alignment horizontal="general" vertical="bottom" textRotation="0" wrapText="true" indent="0" shrinkToFit="false"/>
      <protection locked="true" hidden="false"/>
    </xf>
    <xf numFmtId="164" fontId="10" fillId="0" borderId="0" xfId="20" applyFont="true" applyBorder="false" applyAlignment="true" applyProtection="true">
      <alignment horizontal="center" vertical="bottom" textRotation="0" wrapText="true" indent="0" shrinkToFit="false"/>
      <protection locked="true" hidden="false"/>
    </xf>
    <xf numFmtId="164" fontId="5" fillId="0" borderId="0" xfId="23" applyFont="true" applyBorder="false" applyAlignment="true" applyProtection="true">
      <alignment horizontal="general" vertical="bottom" textRotation="0" wrapText="true" indent="0" shrinkToFit="false"/>
      <protection locked="false" hidden="false"/>
    </xf>
    <xf numFmtId="164" fontId="4" fillId="0" borderId="0" xfId="23" applyFont="true" applyBorder="false" applyAlignment="true" applyProtection="true">
      <alignment horizontal="center" vertical="bottom" textRotation="0" wrapText="false" indent="0" shrinkToFit="false"/>
      <protection locked="false" hidden="false"/>
    </xf>
    <xf numFmtId="164" fontId="5" fillId="0" borderId="0" xfId="23" applyFont="true" applyBorder="false" applyAlignment="true" applyProtection="true">
      <alignment horizontal="center" vertical="bottom" textRotation="0" wrapText="false" indent="0" shrinkToFit="false"/>
      <protection locked="false" hidden="false"/>
    </xf>
    <xf numFmtId="164" fontId="5" fillId="0" borderId="0" xfId="23" applyFont="true" applyBorder="false" applyAlignment="true" applyProtection="true">
      <alignment horizontal="general" vertical="bottom" textRotation="0" wrapText="false" indent="0" shrinkToFit="false"/>
      <protection locked="false" hidden="false"/>
    </xf>
    <xf numFmtId="164" fontId="12" fillId="0" borderId="0" xfId="23" applyFont="true" applyBorder="false" applyAlignment="true" applyProtection="true">
      <alignment horizontal="general" vertical="center" textRotation="0" wrapText="true" indent="0" shrinkToFit="false"/>
      <protection locked="false" hidden="false"/>
    </xf>
    <xf numFmtId="164" fontId="6" fillId="0" borderId="1" xfId="23" applyFont="true" applyBorder="true" applyAlignment="true" applyProtection="true">
      <alignment horizontal="center" vertical="center" textRotation="0" wrapText="false" indent="0" shrinkToFit="false"/>
      <protection locked="false" hidden="false"/>
    </xf>
    <xf numFmtId="164" fontId="4" fillId="0" borderId="0" xfId="23" applyFont="true" applyBorder="false" applyAlignment="true" applyProtection="true">
      <alignment horizontal="center" vertical="bottom" textRotation="0" wrapText="true" indent="0" shrinkToFit="false"/>
      <protection locked="false" hidden="false"/>
    </xf>
    <xf numFmtId="164" fontId="13" fillId="4" borderId="2" xfId="23" applyFont="true" applyBorder="true" applyAlignment="true" applyProtection="true">
      <alignment horizontal="center" vertical="bottom" textRotation="0" wrapText="false" indent="0" shrinkToFit="false"/>
      <protection locked="false" hidden="false"/>
    </xf>
    <xf numFmtId="164" fontId="14" fillId="4" borderId="3" xfId="23" applyFont="true" applyBorder="true" applyAlignment="true" applyProtection="true">
      <alignment horizontal="center" vertical="bottom" textRotation="0" wrapText="false" indent="0" shrinkToFit="false"/>
      <protection locked="false" hidden="false"/>
    </xf>
    <xf numFmtId="164" fontId="14" fillId="4" borderId="4" xfId="23" applyFont="true" applyBorder="true" applyAlignment="true" applyProtection="true">
      <alignment horizontal="center" vertical="bottom" textRotation="0" wrapText="false" indent="0" shrinkToFit="false"/>
      <protection locked="false" hidden="false"/>
    </xf>
    <xf numFmtId="164" fontId="15" fillId="0" borderId="0" xfId="23" applyFont="true" applyBorder="false" applyAlignment="true" applyProtection="true">
      <alignment horizontal="general" vertical="center" textRotation="0" wrapText="true" indent="0" shrinkToFit="false"/>
      <protection locked="false" hidden="false"/>
    </xf>
    <xf numFmtId="164" fontId="16" fillId="5" borderId="5" xfId="23" applyFont="true" applyBorder="true" applyAlignment="true" applyProtection="true">
      <alignment horizontal="center" vertical="center" textRotation="0" wrapText="false" indent="0" shrinkToFit="false"/>
      <protection locked="false" hidden="false"/>
    </xf>
    <xf numFmtId="164" fontId="16" fillId="5" borderId="6" xfId="23" applyFont="true" applyBorder="true" applyAlignment="true" applyProtection="true">
      <alignment horizontal="center" vertical="center" textRotation="0" wrapText="false" indent="0" shrinkToFit="false"/>
      <protection locked="false" hidden="false"/>
    </xf>
    <xf numFmtId="164" fontId="16" fillId="5" borderId="6" xfId="23" applyFont="true" applyBorder="true" applyAlignment="true" applyProtection="true">
      <alignment horizontal="general" vertical="center" textRotation="0" wrapText="false" indent="0" shrinkToFit="false"/>
      <protection locked="false" hidden="false"/>
    </xf>
    <xf numFmtId="164" fontId="16" fillId="5" borderId="7" xfId="23" applyFont="true" applyBorder="true" applyAlignment="true" applyProtection="true">
      <alignment horizontal="general" vertical="center" textRotation="0" wrapText="false" indent="0" shrinkToFit="false"/>
      <protection locked="false" hidden="false"/>
    </xf>
    <xf numFmtId="164" fontId="4" fillId="0" borderId="0" xfId="23" applyFont="true" applyBorder="false" applyAlignment="true" applyProtection="true">
      <alignment horizontal="general" vertical="center" textRotation="0" wrapText="true" indent="0" shrinkToFit="false"/>
      <protection locked="false" hidden="false"/>
    </xf>
    <xf numFmtId="164" fontId="17" fillId="6" borderId="5" xfId="23" applyFont="true" applyBorder="true" applyAlignment="true" applyProtection="true">
      <alignment horizontal="center" vertical="center" textRotation="0" wrapText="false" indent="0" shrinkToFit="false"/>
      <protection locked="false" hidden="false"/>
    </xf>
    <xf numFmtId="164" fontId="17" fillId="6" borderId="6" xfId="23" applyFont="true" applyBorder="true" applyAlignment="true" applyProtection="true">
      <alignment horizontal="center" vertical="center" textRotation="0" wrapText="false" indent="0" shrinkToFit="false"/>
      <protection locked="false" hidden="false"/>
    </xf>
    <xf numFmtId="164" fontId="17" fillId="6" borderId="6" xfId="23" applyFont="true" applyBorder="true" applyAlignment="true" applyProtection="true">
      <alignment horizontal="left" vertical="center" textRotation="0" wrapText="false" indent="0" shrinkToFit="false"/>
      <protection locked="false" hidden="false"/>
    </xf>
    <xf numFmtId="164" fontId="17" fillId="6" borderId="7" xfId="23" applyFont="true" applyBorder="true" applyAlignment="true" applyProtection="true">
      <alignment horizontal="left" vertical="center" textRotation="0" wrapText="false" indent="0" shrinkToFit="false"/>
      <protection locked="false" hidden="false"/>
    </xf>
    <xf numFmtId="164" fontId="4" fillId="0" borderId="0" xfId="0" applyFont="true" applyBorder="false" applyAlignment="true" applyProtection="true">
      <alignment horizontal="general" vertical="center" textRotation="0" wrapText="true" indent="0" shrinkToFit="false"/>
      <protection locked="false" hidden="false"/>
    </xf>
    <xf numFmtId="164" fontId="5" fillId="0" borderId="0" xfId="23" applyFont="true" applyBorder="false" applyAlignment="true" applyProtection="true">
      <alignment horizontal="general" vertical="center" textRotation="0" wrapText="true" indent="0" shrinkToFit="false"/>
      <protection locked="false" hidden="false"/>
    </xf>
    <xf numFmtId="164" fontId="5" fillId="0" borderId="5" xfId="23" applyFont="true" applyBorder="true" applyAlignment="true" applyProtection="true">
      <alignment horizontal="center" vertical="center" textRotation="0" wrapText="false" indent="0" shrinkToFit="false"/>
      <protection locked="false" hidden="false"/>
    </xf>
    <xf numFmtId="164" fontId="5" fillId="0" borderId="6" xfId="23" applyFont="true" applyBorder="true" applyAlignment="true" applyProtection="true">
      <alignment horizontal="center" vertical="center" textRotation="0" wrapText="false" indent="0" shrinkToFit="false"/>
      <protection locked="false" hidden="false"/>
    </xf>
    <xf numFmtId="164" fontId="4" fillId="0" borderId="6" xfId="23" applyFont="true" applyBorder="true" applyAlignment="true" applyProtection="true">
      <alignment horizontal="center" vertical="center" textRotation="0" wrapText="false" indent="0" shrinkToFit="true"/>
      <protection locked="true" hidden="false"/>
    </xf>
    <xf numFmtId="164" fontId="5" fillId="0" borderId="7" xfId="23" applyFont="true" applyBorder="true" applyAlignment="true" applyProtection="true">
      <alignment horizontal="general" vertical="center" textRotation="0" wrapText="false" indent="0" shrinkToFit="false"/>
      <protection locked="false" hidden="false"/>
    </xf>
    <xf numFmtId="164" fontId="17" fillId="6" borderId="6" xfId="23" applyFont="true" applyBorder="true" applyAlignment="true" applyProtection="true">
      <alignment horizontal="left" vertical="center" textRotation="0" wrapText="false" indent="0" shrinkToFit="true"/>
      <protection locked="false" hidden="false"/>
    </xf>
    <xf numFmtId="164" fontId="16" fillId="5" borderId="6" xfId="23" applyFont="true" applyBorder="true" applyAlignment="true" applyProtection="true">
      <alignment horizontal="center" vertical="center" textRotation="0" wrapText="false" indent="0" shrinkToFit="true"/>
      <protection locked="false" hidden="false"/>
    </xf>
    <xf numFmtId="164" fontId="16" fillId="5" borderId="7" xfId="23" applyFont="true" applyBorder="true" applyAlignment="true" applyProtection="true">
      <alignment horizontal="center" vertical="center" textRotation="0" wrapText="false" indent="0" shrinkToFit="false"/>
      <protection locked="false" hidden="false"/>
    </xf>
    <xf numFmtId="164" fontId="20" fillId="0" borderId="0" xfId="23" applyFont="true" applyBorder="false" applyAlignment="true" applyProtection="true">
      <alignment horizontal="general" vertical="center" textRotation="0" wrapText="true" indent="0" shrinkToFit="false"/>
      <protection locked="false" hidden="false"/>
    </xf>
    <xf numFmtId="164" fontId="20" fillId="0" borderId="0" xfId="0" applyFont="true" applyBorder="false" applyAlignment="true" applyProtection="true">
      <alignment horizontal="general" vertical="center" textRotation="0" wrapText="true" indent="0" shrinkToFit="false"/>
      <protection locked="false" hidden="false"/>
    </xf>
    <xf numFmtId="164" fontId="18" fillId="0" borderId="6" xfId="23" applyFont="true" applyBorder="true" applyAlignment="true" applyProtection="true">
      <alignment horizontal="center" vertical="center" textRotation="0" wrapText="false" indent="0" shrinkToFit="false"/>
      <protection locked="false" hidden="false"/>
    </xf>
    <xf numFmtId="164" fontId="5" fillId="0" borderId="8" xfId="23" applyFont="true" applyBorder="true" applyAlignment="true" applyProtection="true">
      <alignment horizontal="center" vertical="center" textRotation="0" wrapText="false" indent="0" shrinkToFit="false"/>
      <protection locked="false" hidden="false"/>
    </xf>
    <xf numFmtId="164" fontId="5" fillId="0" borderId="9" xfId="23" applyFont="true" applyBorder="true" applyAlignment="true" applyProtection="true">
      <alignment horizontal="center" vertical="center" textRotation="0" wrapText="false" indent="0" shrinkToFit="false"/>
      <protection locked="false" hidden="false"/>
    </xf>
    <xf numFmtId="164" fontId="5" fillId="0" borderId="10" xfId="23" applyFont="true" applyBorder="true" applyAlignment="true" applyProtection="true">
      <alignment horizontal="general" vertical="center" textRotation="0" wrapText="false" indent="0" shrinkToFit="false"/>
      <protection locked="false" hidden="false"/>
    </xf>
    <xf numFmtId="165" fontId="22" fillId="0" borderId="0" xfId="24" applyFont="true" applyBorder="true" applyAlignment="true" applyProtection="true">
      <alignment horizontal="center" vertical="center" textRotation="0" wrapText="false" indent="0" shrinkToFit="false"/>
      <protection locked="false" hidden="false"/>
    </xf>
    <xf numFmtId="164" fontId="23" fillId="0" borderId="0" xfId="23" applyFont="true" applyBorder="false" applyAlignment="true" applyProtection="true">
      <alignment horizontal="general" vertical="bottom" textRotation="0" wrapText="false" indent="0" shrinkToFit="false"/>
      <protection locked="false" hidden="false"/>
    </xf>
    <xf numFmtId="164" fontId="24" fillId="0" borderId="0" xfId="24" applyFont="true" applyBorder="true" applyAlignment="true" applyProtection="true">
      <alignment horizontal="center" vertical="center" textRotation="0" wrapText="false" indent="0" shrinkToFit="false"/>
      <protection locked="false" hidden="false"/>
    </xf>
    <xf numFmtId="164" fontId="5" fillId="0" borderId="11" xfId="23" applyFont="true" applyBorder="true" applyAlignment="true" applyProtection="true">
      <alignment horizontal="general" vertical="bottom" textRotation="0" wrapText="true" indent="0" shrinkToFit="false"/>
      <protection locked="false" hidden="false"/>
    </xf>
    <xf numFmtId="164" fontId="4" fillId="0" borderId="0" xfId="23" applyFont="true" applyBorder="false" applyAlignment="true" applyProtection="true">
      <alignment horizontal="center" vertical="bottom" textRotation="0" wrapText="false" indent="0" shrinkToFit="false"/>
      <protection locked="true" hidden="false"/>
    </xf>
    <xf numFmtId="165" fontId="5" fillId="0" borderId="12" xfId="23" applyFont="true" applyBorder="true" applyAlignment="true" applyProtection="true">
      <alignment horizontal="center" vertical="top" textRotation="0" wrapText="false" indent="0" shrinkToFit="false"/>
      <protection locked="true" hidden="false"/>
    </xf>
    <xf numFmtId="166" fontId="18" fillId="0" borderId="0" xfId="23" applyFont="true" applyBorder="false" applyAlignment="true" applyProtection="true">
      <alignment horizontal="center" vertical="top" textRotation="0" wrapText="false" indent="0" shrinkToFit="false"/>
      <protection locked="true" hidden="false"/>
    </xf>
    <xf numFmtId="165" fontId="18" fillId="0" borderId="13" xfId="23" applyFont="true" applyBorder="true" applyAlignment="true" applyProtection="true">
      <alignment horizontal="center" vertical="top" textRotation="0" wrapText="false" indent="0" shrinkToFit="false"/>
      <protection locked="true" hidden="false"/>
    </xf>
    <xf numFmtId="164" fontId="4" fillId="0" borderId="14" xfId="23" applyFont="true" applyBorder="true" applyAlignment="true" applyProtection="true">
      <alignment horizontal="center" vertical="bottom" textRotation="0" wrapText="false" indent="0" shrinkToFit="false"/>
      <protection locked="false" hidden="false"/>
    </xf>
    <xf numFmtId="164" fontId="5" fillId="0" borderId="14" xfId="23" applyFont="true" applyBorder="true" applyAlignment="true" applyProtection="true">
      <alignment horizontal="center"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23" applyFont="true" applyBorder="false" applyAlignment="true" applyProtection="true">
      <alignment horizontal="center" vertical="center" textRotation="0" wrapText="false" indent="0" shrinkToFit="false"/>
      <protection locked="true" hidden="false"/>
    </xf>
    <xf numFmtId="164" fontId="5" fillId="0" borderId="0" xfId="23" applyFont="true" applyBorder="false" applyAlignment="true" applyProtection="true">
      <alignment horizontal="center" vertical="center" textRotation="0" wrapText="false" indent="0" shrinkToFit="true"/>
      <protection locked="true" hidden="false"/>
    </xf>
    <xf numFmtId="164" fontId="27" fillId="0" borderId="0" xfId="23" applyFont="true" applyBorder="false" applyAlignment="true" applyProtection="true">
      <alignment horizontal="center" vertical="center" textRotation="0" wrapText="false" indent="0" shrinkToFit="false"/>
      <protection locked="true" hidden="false"/>
    </xf>
    <xf numFmtId="164" fontId="5" fillId="0" borderId="0" xfId="23"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0" borderId="6" xfId="23" applyFont="true" applyBorder="true" applyAlignment="true" applyProtection="true">
      <alignment horizontal="center" vertical="center" textRotation="0" wrapText="false" indent="0" shrinkToFit="false"/>
      <protection locked="true" hidden="false"/>
    </xf>
    <xf numFmtId="164" fontId="6" fillId="0" borderId="9" xfId="23" applyFont="true" applyBorder="true" applyAlignment="true" applyProtection="true">
      <alignment horizontal="center" vertical="center" textRotation="0" wrapText="false" indent="0" shrinkToFit="false"/>
      <protection locked="true" hidden="false"/>
    </xf>
    <xf numFmtId="164" fontId="12" fillId="0" borderId="0" xfId="23" applyFont="true" applyBorder="false" applyAlignment="true" applyProtection="true">
      <alignment horizontal="general" vertical="center" textRotation="0" wrapText="false" indent="0" shrinkToFit="false"/>
      <protection locked="true" hidden="false"/>
    </xf>
    <xf numFmtId="164" fontId="28" fillId="4" borderId="2" xfId="23" applyFont="true" applyBorder="true" applyAlignment="true" applyProtection="true">
      <alignment horizontal="center" vertical="bottom" textRotation="0" wrapText="true" indent="0" shrinkToFit="false"/>
      <protection locked="false" hidden="false"/>
    </xf>
    <xf numFmtId="164" fontId="14" fillId="4" borderId="3" xfId="23" applyFont="true" applyBorder="true" applyAlignment="true" applyProtection="true">
      <alignment horizontal="center" vertical="center" textRotation="0" wrapText="false" indent="0" shrinkToFit="true"/>
      <protection locked="false" hidden="false"/>
    </xf>
    <xf numFmtId="164" fontId="14" fillId="4" borderId="3" xfId="23" applyFont="true" applyBorder="true" applyAlignment="true" applyProtection="true">
      <alignment horizontal="center" vertical="center" textRotation="0" wrapText="false" indent="0" shrinkToFit="false"/>
      <protection locked="false" hidden="false"/>
    </xf>
    <xf numFmtId="164" fontId="14" fillId="4" borderId="4" xfId="23" applyFont="true" applyBorder="true" applyAlignment="true" applyProtection="true">
      <alignment horizontal="center" vertical="center" textRotation="0" wrapText="false" indent="0" shrinkToFit="false"/>
      <protection locked="false" hidden="false"/>
    </xf>
    <xf numFmtId="164" fontId="15" fillId="0" borderId="0" xfId="23" applyFont="true" applyBorder="false" applyAlignment="true" applyProtection="true">
      <alignment horizontal="general" vertical="bottom" textRotation="0" wrapText="true" indent="0" shrinkToFit="false"/>
      <protection locked="false" hidden="false"/>
    </xf>
    <xf numFmtId="164" fontId="16" fillId="5" borderId="5" xfId="23" applyFont="true" applyBorder="true" applyAlignment="true" applyProtection="true">
      <alignment horizontal="center" vertical="bottom" textRotation="0" wrapText="true" indent="0" shrinkToFit="false"/>
      <protection locked="false" hidden="false"/>
    </xf>
    <xf numFmtId="164" fontId="16" fillId="5" borderId="7" xfId="23" applyFont="true" applyBorder="true" applyAlignment="true" applyProtection="true">
      <alignment horizontal="center" vertical="center" textRotation="0" wrapText="false" indent="0" shrinkToFit="true"/>
      <protection locked="false" hidden="false"/>
    </xf>
    <xf numFmtId="164" fontId="4" fillId="0" borderId="5" xfId="23" applyFont="true" applyBorder="true" applyAlignment="true" applyProtection="true">
      <alignment horizontal="center" vertical="center" textRotation="0" wrapText="true" indent="0" shrinkToFit="false"/>
      <protection locked="false" hidden="false"/>
    </xf>
    <xf numFmtId="164" fontId="4" fillId="0" borderId="6" xfId="23" applyFont="true" applyBorder="true" applyAlignment="true" applyProtection="true">
      <alignment horizontal="center" vertical="center" textRotation="0" wrapText="false" indent="0" shrinkToFit="true"/>
      <protection locked="false" hidden="false"/>
    </xf>
    <xf numFmtId="164" fontId="4" fillId="0" borderId="7" xfId="23" applyFont="true" applyBorder="true" applyAlignment="true" applyProtection="true">
      <alignment horizontal="center" vertical="center" textRotation="0" wrapText="false" indent="0" shrinkToFit="false"/>
      <protection locked="false" hidden="false"/>
    </xf>
    <xf numFmtId="164" fontId="4" fillId="0" borderId="6" xfId="23" applyFont="true" applyBorder="true" applyAlignment="true" applyProtection="true">
      <alignment horizontal="center" vertical="center" textRotation="0" wrapText="true" indent="0" shrinkToFit="true"/>
      <protection locked="false" hidden="false"/>
    </xf>
    <xf numFmtId="164" fontId="9" fillId="0" borderId="6" xfId="23" applyFont="true" applyBorder="true" applyAlignment="true" applyProtection="true">
      <alignment horizontal="center" vertical="center" textRotation="0" wrapText="true" indent="0" shrinkToFit="false"/>
      <protection locked="true" hidden="false"/>
    </xf>
    <xf numFmtId="164" fontId="9" fillId="0" borderId="0" xfId="23" applyFont="true" applyBorder="false" applyAlignment="true" applyProtection="true">
      <alignment horizontal="center" vertical="center" textRotation="0" wrapText="true" indent="0" shrinkToFit="false"/>
      <protection locked="true" hidden="false"/>
    </xf>
    <xf numFmtId="164" fontId="29" fillId="0" borderId="0" xfId="23" applyFont="true" applyBorder="false" applyAlignment="true" applyProtection="true">
      <alignment horizontal="center" vertical="center" textRotation="0" wrapText="false" indent="0" shrinkToFit="true"/>
      <protection locked="true" hidden="false"/>
    </xf>
    <xf numFmtId="164" fontId="30" fillId="0" borderId="0" xfId="23" applyFont="true" applyBorder="false" applyAlignment="true" applyProtection="true">
      <alignment horizontal="center" vertical="center" textRotation="0" wrapText="false" indent="0" shrinkToFit="false"/>
      <protection locked="false" hidden="false"/>
    </xf>
    <xf numFmtId="164" fontId="4" fillId="0" borderId="0" xfId="23" applyFont="true" applyBorder="false" applyAlignment="true" applyProtection="true">
      <alignment horizontal="general" vertical="center" textRotation="0" wrapText="false" indent="0" shrinkToFit="false"/>
      <protection locked="true" hidden="false"/>
    </xf>
    <xf numFmtId="164" fontId="4" fillId="0" borderId="0" xfId="23" applyFont="true" applyBorder="false" applyAlignment="true" applyProtection="true">
      <alignment horizontal="center" vertical="center" textRotation="0" wrapText="false" indent="0" shrinkToFit="false"/>
      <protection locked="true" hidden="false"/>
    </xf>
    <xf numFmtId="164" fontId="4" fillId="0" borderId="0" xfId="23" applyFont="true" applyBorder="false" applyAlignment="true" applyProtection="true">
      <alignment horizontal="center" vertical="center" textRotation="0" wrapText="false" indent="0" shrinkToFit="true"/>
      <protection locked="true" hidden="false"/>
    </xf>
    <xf numFmtId="164" fontId="9" fillId="0" borderId="0" xfId="23" applyFont="true" applyBorder="false" applyAlignment="true" applyProtection="true">
      <alignment horizontal="center" vertical="center"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13" fillId="4" borderId="15" xfId="23" applyFont="true" applyBorder="true" applyAlignment="true" applyProtection="true">
      <alignment horizontal="center" vertical="bottom" textRotation="0" wrapText="true" indent="0" shrinkToFit="false"/>
      <protection locked="true" hidden="false"/>
    </xf>
    <xf numFmtId="164" fontId="13" fillId="4" borderId="16" xfId="23" applyFont="true" applyBorder="true" applyAlignment="true" applyProtection="true">
      <alignment horizontal="center" vertical="bottom" textRotation="0" wrapText="true" indent="0" shrinkToFit="false"/>
      <protection locked="true" hidden="false"/>
    </xf>
    <xf numFmtId="164" fontId="32" fillId="4" borderId="16" xfId="23" applyFont="true" applyBorder="true" applyAlignment="true" applyProtection="true">
      <alignment horizontal="center" vertical="bottom" textRotation="0" wrapText="true" indent="0" shrinkToFit="true"/>
      <protection locked="true" hidden="false"/>
    </xf>
    <xf numFmtId="164" fontId="33" fillId="4" borderId="17" xfId="23" applyFont="true" applyBorder="true" applyAlignment="true" applyProtection="true">
      <alignment horizontal="center" vertical="bottom" textRotation="0" wrapText="true" indent="0" shrinkToFit="tru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15" fillId="0" borderId="2" xfId="23" applyFont="true" applyBorder="true" applyAlignment="true" applyProtection="true">
      <alignment horizontal="center" vertical="center" textRotation="0" wrapText="false" indent="0" shrinkToFit="true"/>
      <protection locked="true" hidden="false"/>
    </xf>
    <xf numFmtId="164" fontId="34" fillId="0" borderId="3" xfId="23" applyFont="true" applyBorder="true" applyAlignment="true" applyProtection="true">
      <alignment horizontal="center" vertical="center" textRotation="0" wrapText="true" indent="0" shrinkToFit="false"/>
      <protection locked="true" hidden="false"/>
    </xf>
    <xf numFmtId="166" fontId="35" fillId="0" borderId="18" xfId="23" applyFont="true" applyBorder="true" applyAlignment="true" applyProtection="true">
      <alignment horizontal="center" vertical="center" textRotation="0" wrapText="true" indent="0" shrinkToFit="false"/>
      <protection locked="true" hidden="false"/>
    </xf>
    <xf numFmtId="166" fontId="35" fillId="0" borderId="4" xfId="23" applyFont="true" applyBorder="true" applyAlignment="true" applyProtection="true">
      <alignment horizontal="center" vertical="center" textRotation="0" wrapText="true" indent="0" shrinkToFit="false"/>
      <protection locked="true" hidden="false"/>
    </xf>
    <xf numFmtId="164" fontId="15" fillId="0" borderId="5" xfId="23" applyFont="true" applyBorder="true" applyAlignment="true" applyProtection="true">
      <alignment horizontal="center" vertical="center" textRotation="0" wrapText="false" indent="0" shrinkToFit="true"/>
      <protection locked="true" hidden="false"/>
    </xf>
    <xf numFmtId="164" fontId="34" fillId="0" borderId="6" xfId="23" applyFont="true" applyBorder="true" applyAlignment="true" applyProtection="true">
      <alignment horizontal="center" vertical="center" textRotation="0" wrapText="true" indent="0" shrinkToFit="false"/>
      <protection locked="true" hidden="false"/>
    </xf>
    <xf numFmtId="166" fontId="35" fillId="0" borderId="19" xfId="23" applyFont="true" applyBorder="true" applyAlignment="true" applyProtection="true">
      <alignment horizontal="center" vertical="center" textRotation="0" wrapText="true" indent="0" shrinkToFit="false"/>
      <protection locked="true" hidden="false"/>
    </xf>
    <xf numFmtId="166" fontId="35" fillId="0" borderId="7" xfId="23" applyFont="true" applyBorder="true" applyAlignment="true" applyProtection="true">
      <alignment horizontal="center" vertical="center" textRotation="0" wrapText="true" indent="0" shrinkToFit="false"/>
      <protection locked="true" hidden="false"/>
    </xf>
    <xf numFmtId="164" fontId="35" fillId="0" borderId="8" xfId="23" applyFont="true" applyBorder="true" applyAlignment="true" applyProtection="true">
      <alignment horizontal="center" vertical="center" textRotation="0" wrapText="false" indent="0" shrinkToFit="true"/>
      <protection locked="true" hidden="false"/>
    </xf>
    <xf numFmtId="164" fontId="34" fillId="0" borderId="9" xfId="23" applyFont="true" applyBorder="true" applyAlignment="true" applyProtection="true">
      <alignment horizontal="center" vertical="center" textRotation="0" wrapText="true" indent="0" shrinkToFit="false"/>
      <protection locked="true" hidden="false"/>
    </xf>
    <xf numFmtId="166" fontId="35" fillId="0" borderId="20" xfId="23" applyFont="true" applyBorder="true" applyAlignment="true" applyProtection="true">
      <alignment horizontal="center" vertical="center" textRotation="0" wrapText="true" indent="0" shrinkToFit="false"/>
      <protection locked="true" hidden="false"/>
    </xf>
    <xf numFmtId="166" fontId="35" fillId="0" borderId="10" xfId="23" applyFont="true" applyBorder="tru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right" vertical="center" textRotation="0" wrapText="false" indent="0" shrinkToFit="false"/>
      <protection locked="true" hidden="false"/>
    </xf>
    <xf numFmtId="166" fontId="5" fillId="0" borderId="0" xfId="0" applyFont="true" applyBorder="fals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_state_yes" xfId="21"/>
    <cellStyle name="Status 1" xfId="22"/>
    <cellStyle name="Excel Built-in Normal" xfId="23"/>
    <cellStyle name="*unknown*" xfId="20" builtinId="8"/>
    <cellStyle name="ConditionalStyle_2 1" xfId="24"/>
  </cellStyles>
  <dxfs count="373">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b val="0"/>
        <color rgb="FFFFFFFF"/>
      </font>
      <fill>
        <patternFill>
          <bgColor rgb="FF33FF99"/>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2" tint="-0.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D9D9D9"/>
      </font>
      <fill>
        <patternFill>
          <bgColor theme="0"/>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color rgb="FFFFFFFF"/>
      </font>
      <fill>
        <patternFill>
          <bgColor theme="2" tint="-0.5"/>
        </patternFill>
      </fill>
    </dxf>
    <dxf>
      <font>
        <color rgb="FFFFFFFF"/>
      </font>
      <fill>
        <patternFill>
          <bgColor rgb="FFFFC000"/>
        </patternFill>
      </fill>
    </dxf>
    <dxf>
      <font>
        <color rgb="FFFFFFFF"/>
      </font>
      <fill>
        <patternFill>
          <bgColor rgb="FF92D050"/>
        </patternFill>
      </fill>
    </dxf>
    <dxf>
      <font>
        <color rgb="FFFFFFFF"/>
      </font>
      <fill>
        <patternFill>
          <bgColor rgb="FF336600"/>
        </patternFill>
      </fill>
    </dxf>
    <dxf>
      <font>
        <color rgb="FFFFFFFF"/>
      </font>
      <fill>
        <patternFill>
          <bgColor theme="0" tint="-0.35"/>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theme="0" tint="-0.35"/>
        </patternFill>
      </fill>
    </dxf>
    <dxf>
      <font>
        <color rgb="FFFFFFFF"/>
      </font>
      <fill>
        <patternFill>
          <bgColor rgb="FF336600"/>
        </patternFill>
      </fill>
    </dxf>
    <dxf>
      <font>
        <color rgb="FFFFFFFF"/>
      </font>
      <fill>
        <patternFill>
          <bgColor rgb="FF92D050"/>
        </patternFill>
      </fill>
    </dxf>
    <dxf>
      <font>
        <color rgb="FFFFFFFF"/>
      </font>
      <fill>
        <patternFill>
          <bgColor rgb="FFFFC000"/>
        </patternFill>
      </fill>
    </dxf>
    <dxf>
      <font>
        <color rgb="FFFFFFFF"/>
      </font>
      <fill>
        <patternFill>
          <bgColor theme="2" tint="-0.5"/>
        </patternFill>
      </fill>
    </dxf>
    <dxf>
      <font>
        <color rgb="FFFFFFFF"/>
      </font>
      <fill>
        <patternFill>
          <bgColor rgb="FFC00000"/>
        </patternFill>
      </fill>
    </dxf>
    <dxf>
      <font>
        <color rgb="FFFFFFFF"/>
      </font>
      <fill>
        <patternFill>
          <bgColor rgb="FFFF0000"/>
        </patternFill>
      </fill>
    </dxf>
    <dxf>
      <font>
        <color rgb="FFD9D9D9"/>
      </font>
      <fill>
        <patternFill>
          <bgColor theme="0"/>
        </patternFill>
      </fill>
    </dxf>
    <dxf>
      <font>
        <color rgb="FFFFFFFF"/>
      </font>
      <fill>
        <patternFill>
          <bgColor rgb="FFFF0000"/>
        </patternFill>
      </fill>
    </dxf>
    <dxf>
      <font>
        <color rgb="FFFFFFFF"/>
      </font>
      <fill>
        <patternFill>
          <bgColor rgb="FFC00000"/>
        </patternFill>
      </fill>
    </dxf>
    <dxf>
      <font>
        <b val="0"/>
        <i val="0"/>
        <strike val="0"/>
        <color rgb="FF000000"/>
        <sz val="10"/>
        <u val="none"/>
      </font>
      <fill>
        <patternFill>
          <bgColor rgb="FFA0FFA0"/>
        </patternFill>
      </fill>
    </dxf>
  </dxfs>
  <colors>
    <indexedColors>
      <rgbColor rgb="FF000000"/>
      <rgbColor rgb="FFFFFFFF"/>
      <rgbColor rgb="FFFF0000"/>
      <rgbColor rgb="FF00FF00"/>
      <rgbColor rgb="FF0000FF"/>
      <rgbColor rgb="FFFFFF00"/>
      <rgbColor rgb="FFFF00FF"/>
      <rgbColor rgb="FF00FFFF"/>
      <rgbColor rgb="FF8E0000"/>
      <rgbColor rgb="FF336600"/>
      <rgbColor rgb="FF000080"/>
      <rgbColor rgb="FF808000"/>
      <rgbColor rgb="FF800080"/>
      <rgbColor rgb="FF008080"/>
      <rgbColor rgb="FFC0C0C0"/>
      <rgbColor rgb="FF948A54"/>
      <rgbColor rgb="FF9999FF"/>
      <rgbColor rgb="FFC0504D"/>
      <rgbColor rgb="FFF2F2F2"/>
      <rgbColor rgb="FFCCFFFF"/>
      <rgbColor rgb="FF660066"/>
      <rgbColor rgb="FFFF8080"/>
      <rgbColor rgb="FF0066CC"/>
      <rgbColor rgb="FFD9D9D9"/>
      <rgbColor rgb="FF000080"/>
      <rgbColor rgb="FFFF00FF"/>
      <rgbColor rgb="FFFFFF00"/>
      <rgbColor rgb="FF00FFFF"/>
      <rgbColor rgb="FF800080"/>
      <rgbColor rgb="FFC00000"/>
      <rgbColor rgb="FF008080"/>
      <rgbColor rgb="FF0000FF"/>
      <rgbColor rgb="FF00CCFF"/>
      <rgbColor rgb="FFDCE6F2"/>
      <rgbColor rgb="FFA0FFA0"/>
      <rgbColor rgb="FFFFFF99"/>
      <rgbColor rgb="FF99CCFF"/>
      <rgbColor rgb="FFFF99CC"/>
      <rgbColor rgb="FFCC99FF"/>
      <rgbColor rgb="FFFFCC99"/>
      <rgbColor rgb="FF3366FF"/>
      <rgbColor rgb="FF33FF99"/>
      <rgbColor rgb="FF92D050"/>
      <rgbColor rgb="FFFFC000"/>
      <rgbColor rgb="FFCC9900"/>
      <rgbColor rgb="FFFF6600"/>
      <rgbColor rgb="FF4F81BD"/>
      <rgbColor rgb="FFA6A6A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3.xml"/>
</Relationships>
</file>

<file path=xl/charts/_rels/chart2.xml.rels><?xml version="1.0" encoding="UTF-8"?>
<Relationships xmlns="http://schemas.openxmlformats.org/package/2006/relationships"><Relationship Id="rId1" Type="http://schemas.openxmlformats.org/officeDocument/2006/relationships/chartUserShapes" Target="../drawings/drawing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spPr>
            <a:solidFill>
              <a:srgbClr val="4f81bd"/>
            </a:solidFill>
            <a:ln w="0">
              <a:noFill/>
            </a:ln>
          </c:spPr>
          <c:explosion val="0"/>
          <c:dPt>
            <c:idx val="0"/>
            <c:spPr>
              <a:solidFill>
                <a:srgbClr val="f2f2f2"/>
              </a:solidFill>
              <a:ln w="0">
                <a:noFill/>
              </a:ln>
            </c:spPr>
          </c:dPt>
          <c:dPt>
            <c:idx val="1"/>
            <c:spPr>
              <a:solidFill>
                <a:srgbClr val="ff0000"/>
              </a:solidFill>
              <a:ln w="0">
                <a:noFill/>
              </a:ln>
            </c:spPr>
          </c:dPt>
          <c:dPt>
            <c:idx val="2"/>
            <c:spPr>
              <a:solidFill>
                <a:srgbClr val="8e0000"/>
              </a:solidFill>
              <a:ln w="0">
                <a:noFill/>
              </a:ln>
            </c:spPr>
          </c:dPt>
          <c:dPt>
            <c:idx val="3"/>
            <c:spPr>
              <a:solidFill>
                <a:srgbClr val="948a54"/>
              </a:solidFill>
              <a:ln w="0">
                <a:noFill/>
              </a:ln>
            </c:spPr>
          </c:dPt>
          <c:dPt>
            <c:idx val="4"/>
            <c:spPr>
              <a:solidFill>
                <a:srgbClr val="ffc000"/>
              </a:solidFill>
              <a:ln w="0">
                <a:noFill/>
              </a:ln>
            </c:spPr>
          </c:dPt>
          <c:dPt>
            <c:idx val="5"/>
            <c:spPr>
              <a:solidFill>
                <a:srgbClr val="92d050"/>
              </a:solidFill>
              <a:ln w="0">
                <a:noFill/>
              </a:ln>
            </c:spPr>
          </c:dPt>
          <c:dPt>
            <c:idx val="6"/>
            <c:spPr>
              <a:solidFill>
                <a:srgbClr val="336600"/>
              </a:solidFill>
              <a:ln w="0">
                <a:noFill/>
              </a:ln>
            </c:spPr>
          </c:dPt>
          <c:dPt>
            <c:idx val="7"/>
            <c:spPr>
              <a:solidFill>
                <a:srgbClr val="a6a6a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showLeaderLines val="1"/>
          </c:dLbls>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Metrics!$D$3:$D$10</c:f>
              <c:numCache>
                <c:formatCode>0%</c:formatCode>
                <c:ptCount val="8"/>
                <c:pt idx="0">
                  <c:v>0</c:v>
                </c:pt>
                <c:pt idx="1">
                  <c:v>0</c:v>
                </c:pt>
                <c:pt idx="2">
                  <c:v>0.214285714285714</c:v>
                </c:pt>
                <c:pt idx="3">
                  <c:v>0</c:v>
                </c:pt>
                <c:pt idx="4">
                  <c:v>0</c:v>
                </c:pt>
                <c:pt idx="5">
                  <c:v>0.428571428571429</c:v>
                </c:pt>
                <c:pt idx="6">
                  <c:v>0.357142857142857</c:v>
                </c:pt>
                <c:pt idx="7">
                  <c:v>0</c:v>
                </c:pt>
              </c:numCache>
            </c:numRef>
          </c:val>
        </c:ser>
        <c:firstSliceAng val="0"/>
      </c:pieChart>
      <c:spPr>
        <a:noFill/>
        <a:ln w="0">
          <a:noFill/>
        </a:ln>
      </c:spPr>
    </c:plotArea>
    <c:legend>
      <c:legendPos val="r"/>
      <c:overlay val="0"/>
      <c:spPr>
        <a:noFill/>
        <a:ln w="0">
          <a:noFill/>
        </a:ln>
      </c:spPr>
      <c:txPr>
        <a:bodyPr/>
        <a:lstStyle/>
        <a:p>
          <a:pPr>
            <a:defRPr b="0" sz="1400" spc="-1" strike="noStrike">
              <a:solidFill>
                <a:srgbClr val="000000"/>
              </a:solidFill>
              <a:latin typeface="Calibri"/>
            </a:defRPr>
          </a:pPr>
        </a:p>
      </c:txPr>
    </c:legend>
    <c:plotVisOnly val="1"/>
    <c:dispBlanksAs val="gap"/>
  </c:chart>
  <c:spPr>
    <a:solidFill>
      <a:srgbClr val="ffffff"/>
    </a:solidFill>
    <a:ln w="9360">
      <a:solidFill>
        <a:srgbClr val="d9d9d9"/>
      </a:solidFill>
      <a:round/>
    </a:ln>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pieChart>
        <c:varyColors val="1"/>
        <c:ser>
          <c:idx val="0"/>
          <c:order val="0"/>
          <c:tx>
            <c:strRef>
              <c:f>Metrics!$E$2:$E$2</c:f>
              <c:strCache>
                <c:ptCount val="1"/>
                <c:pt idx="0">
                  <c:v>Proportion of information security controls</c:v>
                </c:pt>
              </c:strCache>
            </c:strRef>
          </c:tx>
          <c:spPr>
            <a:solidFill>
              <a:srgbClr val="c0504d"/>
            </a:solidFill>
            <a:ln w="0">
              <a:noFill/>
            </a:ln>
          </c:spPr>
          <c:explosion val="0"/>
          <c:dPt>
            <c:idx val="0"/>
            <c:spPr>
              <a:solidFill>
                <a:srgbClr val="f2f2f2"/>
              </a:solidFill>
              <a:ln w="0">
                <a:noFill/>
              </a:ln>
            </c:spPr>
          </c:dPt>
          <c:dPt>
            <c:idx val="1"/>
            <c:spPr>
              <a:solidFill>
                <a:srgbClr val="ff0000"/>
              </a:solidFill>
              <a:ln w="0">
                <a:noFill/>
              </a:ln>
            </c:spPr>
          </c:dPt>
          <c:dPt>
            <c:idx val="2"/>
            <c:spPr>
              <a:solidFill>
                <a:srgbClr val="8e0000"/>
              </a:solidFill>
              <a:ln w="0">
                <a:noFill/>
              </a:ln>
            </c:spPr>
          </c:dPt>
          <c:dPt>
            <c:idx val="3"/>
            <c:spPr>
              <a:solidFill>
                <a:srgbClr val="948a54"/>
              </a:solidFill>
              <a:ln w="0">
                <a:noFill/>
              </a:ln>
            </c:spPr>
          </c:dPt>
          <c:dPt>
            <c:idx val="4"/>
            <c:spPr>
              <a:solidFill>
                <a:srgbClr val="ffc000"/>
              </a:solidFill>
              <a:ln w="0">
                <a:noFill/>
              </a:ln>
            </c:spPr>
          </c:dPt>
          <c:dPt>
            <c:idx val="5"/>
            <c:spPr>
              <a:solidFill>
                <a:srgbClr val="92d050"/>
              </a:solidFill>
              <a:ln w="0">
                <a:noFill/>
              </a:ln>
            </c:spPr>
          </c:dPt>
          <c:dPt>
            <c:idx val="6"/>
            <c:spPr>
              <a:solidFill>
                <a:srgbClr val="336600"/>
              </a:solidFill>
              <a:ln w="0">
                <a:noFill/>
              </a:ln>
            </c:spPr>
          </c:dPt>
          <c:dPt>
            <c:idx val="7"/>
            <c:spPr>
              <a:solidFill>
                <a:srgbClr val="a6a6a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0"/>
            <c:separator>; </c:separator>
            <c:showLeaderLines val="1"/>
          </c:dLbls>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Metrics!$E$3:$E$10</c:f>
              <c:numCache>
                <c:formatCode>0%</c:formatCode>
                <c:ptCount val="8"/>
                <c:pt idx="0">
                  <c:v>0</c:v>
                </c:pt>
                <c:pt idx="1">
                  <c:v>0</c:v>
                </c:pt>
                <c:pt idx="2">
                  <c:v>0.0752688172043011</c:v>
                </c:pt>
                <c:pt idx="3">
                  <c:v>0</c:v>
                </c:pt>
                <c:pt idx="4">
                  <c:v>0</c:v>
                </c:pt>
                <c:pt idx="5">
                  <c:v>0.688172043010753</c:v>
                </c:pt>
                <c:pt idx="6">
                  <c:v>0.225806451612903</c:v>
                </c:pt>
                <c:pt idx="7">
                  <c:v>0.010752688172043</c:v>
                </c:pt>
              </c:numCache>
            </c:numRef>
          </c:val>
        </c:ser>
        <c:firstSliceAng val="0"/>
      </c:pieChart>
      <c:spPr>
        <a:noFill/>
        <a:ln w="0">
          <a:noFill/>
        </a:ln>
      </c:spPr>
    </c:plotArea>
    <c:legend>
      <c:legendPos val="r"/>
      <c:overlay val="0"/>
      <c:spPr>
        <a:noFill/>
        <a:ln w="0">
          <a:noFill/>
        </a:ln>
      </c:spPr>
      <c:txPr>
        <a:bodyPr/>
        <a:lstStyle/>
        <a:p>
          <a:pPr>
            <a:defRPr b="0" sz="1400" spc="-1" strike="noStrike">
              <a:solidFill>
                <a:srgbClr val="000000"/>
              </a:solidFill>
              <a:latin typeface="Calibri"/>
            </a:defRPr>
          </a:pPr>
        </a:p>
      </c:txPr>
    </c:legend>
    <c:plotVisOnly val="1"/>
    <c:dispBlanksAs val="gap"/>
  </c:chart>
  <c:spPr>
    <a:solidFill>
      <a:srgbClr val="ffffff"/>
    </a:solidFill>
    <a:ln w="9360">
      <a:solidFill>
        <a:srgbClr val="d9d9d9"/>
      </a:solidFill>
      <a:round/>
    </a:ln>
  </c:spPr>
  <c:userShapes r:id="rId1"/>
</c:chartSpace>
</file>

<file path=xl/drawings/_rels/drawing1.xml.rels><?xml version="1.0" encoding="UTF-8"?>
<Relationships xmlns="http://schemas.openxmlformats.org/package/2006/relationships"><Relationship Id="rId1" Type="http://schemas.openxmlformats.org/officeDocument/2006/relationships/hyperlink" Target="http://www.iso27001security.com" TargetMode="External"/><Relationship Id="rId2"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66600</xdr:colOff>
      <xdr:row>0</xdr:row>
      <xdr:rowOff>123840</xdr:rowOff>
    </xdr:from>
    <xdr:to>
      <xdr:col>1</xdr:col>
      <xdr:colOff>1463760</xdr:colOff>
      <xdr:row>1</xdr:row>
      <xdr:rowOff>54360</xdr:rowOff>
    </xdr:to>
    <xdr:pic>
      <xdr:nvPicPr>
        <xdr:cNvPr id="0" name="Picture 1" descr="">
          <a:hlinkClick r:id="rId1"/>
        </xdr:cNvPr>
        <xdr:cNvPicPr/>
      </xdr:nvPicPr>
      <xdr:blipFill>
        <a:blip r:embed="rId2"/>
        <a:stretch/>
      </xdr:blipFill>
      <xdr:spPr>
        <a:xfrm>
          <a:off x="218880" y="123840"/>
          <a:ext cx="1397160" cy="1244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352440</xdr:colOff>
      <xdr:row>0</xdr:row>
      <xdr:rowOff>152280</xdr:rowOff>
    </xdr:from>
    <xdr:to>
      <xdr:col>14</xdr:col>
      <xdr:colOff>330480</xdr:colOff>
      <xdr:row>7</xdr:row>
      <xdr:rowOff>629640</xdr:rowOff>
    </xdr:to>
    <xdr:graphicFrame>
      <xdr:nvGraphicFramePr>
        <xdr:cNvPr id="1" name="Chart 1"/>
        <xdr:cNvGraphicFramePr/>
      </xdr:nvGraphicFramePr>
      <xdr:xfrm>
        <a:off x="7349400" y="152280"/>
        <a:ext cx="5796000" cy="5036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324000</xdr:colOff>
      <xdr:row>8</xdr:row>
      <xdr:rowOff>76320</xdr:rowOff>
    </xdr:from>
    <xdr:to>
      <xdr:col>14</xdr:col>
      <xdr:colOff>302040</xdr:colOff>
      <xdr:row>35</xdr:row>
      <xdr:rowOff>8640</xdr:rowOff>
    </xdr:to>
    <xdr:graphicFrame>
      <xdr:nvGraphicFramePr>
        <xdr:cNvPr id="3" name="Chart 2"/>
        <xdr:cNvGraphicFramePr/>
      </xdr:nvGraphicFramePr>
      <xdr:xfrm>
        <a:off x="7320960" y="5378040"/>
        <a:ext cx="5796000" cy="61502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0.10601825973542</cdr:x>
      <cdr:y>0.0168691922802001</cdr:y>
    </cdr:from>
    <cdr:to>
      <cdr:x>0.910937208869014</cdr:x>
      <cdr:y>0.0996426018584703</cdr:y>
    </cdr:to>
    <cdr:sp>
      <cdr:nvSpPr>
        <cdr:cNvPr id="2" name="TextBox 1"/>
        <cdr:cNvSpPr/>
      </cdr:nvSpPr>
      <cdr:spPr>
        <a:xfrm>
          <a:off x="614520" y="84960"/>
          <a:ext cx="4665600" cy="416880"/>
        </a:xfrm>
        <a:prstGeom prst="rect">
          <a:avLst/>
        </a:prstGeom>
        <a:noFill/>
        <a:ln w="0">
          <a:noFill/>
        </a:ln>
      </cdr:spPr>
      <cdr:style>
        <a:lnRef idx="0"/>
        <a:fillRef idx="0"/>
        <a:effectRef idx="0"/>
        <a:fontRef idx="minor"/>
      </cdr:style>
      <cdr:txBody>
        <a:bodyPr vertOverflow="clip" lIns="90000" rIns="90000" tIns="45000" bIns="45000" anchor="ctr">
          <a:noAutofit/>
        </a:bodyPr>
        <a:p>
          <a:pPr algn="ctr">
            <a:lnSpc>
              <a:spcPct val="100000"/>
            </a:lnSpc>
          </a:pPr>
          <a:r>
            <a:rPr b="1" lang="en-US" sz="2800" spc="-1" strike="noStrike">
              <a:solidFill>
                <a:srgbClr val="000000"/>
              </a:solidFill>
              <a:latin typeface="Times New Roman"/>
            </a:rPr>
            <a:t>ISMS implementation status</a:t>
          </a:r>
          <a:endParaRPr b="0" sz="2800" spc="-1" strike="noStrike">
            <a:latin typeface="Times New Roman"/>
          </a:endParaRPr>
        </a:p>
      </cdr:txBody>
    </cdr:sp>
  </cdr:relSizeAnchor>
</c:userShapes>
</file>

<file path=xl/drawings/drawing4.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0.10601825973542</cdr:x>
      <cdr:y>0.0169154228855721</cdr:y>
    </cdr:from>
    <cdr:to>
      <cdr:x>0.910937208869014</cdr:x>
      <cdr:y>0.099795141937372</cdr:y>
    </cdr:to>
    <cdr:sp>
      <cdr:nvSpPr>
        <cdr:cNvPr id="4" name="TextBox 1"/>
        <cdr:cNvSpPr/>
      </cdr:nvSpPr>
      <cdr:spPr>
        <a:xfrm>
          <a:off x="614520" y="104040"/>
          <a:ext cx="4665600" cy="509760"/>
        </a:xfrm>
        <a:prstGeom prst="rect">
          <a:avLst/>
        </a:prstGeom>
        <a:noFill/>
        <a:ln w="0">
          <a:noFill/>
        </a:ln>
      </cdr:spPr>
      <cdr:style>
        <a:lnRef idx="0"/>
        <a:fillRef idx="0"/>
        <a:effectRef idx="0"/>
        <a:fontRef idx="minor"/>
      </cdr:style>
      <cdr:txBody>
        <a:bodyPr vertOverflow="clip" lIns="90000" rIns="90000" tIns="45000" bIns="45000" anchor="ctr">
          <a:noAutofit/>
        </a:bodyPr>
        <a:p>
          <a:pPr algn="ctr">
            <a:lnSpc>
              <a:spcPct val="100000"/>
            </a:lnSpc>
          </a:pPr>
          <a:r>
            <a:rPr b="1" lang="en-US" sz="2800" spc="-1" strike="noStrike">
              <a:solidFill>
                <a:srgbClr val="000000"/>
              </a:solidFill>
              <a:latin typeface="Times New Roman"/>
            </a:rPr>
            <a:t>Infosec controls status</a:t>
          </a:r>
          <a:endParaRPr b="0" sz="2800" spc="-1" strike="noStrike">
            <a:latin typeface="Times New Roman"/>
          </a:endParaRPr>
        </a:p>
      </cdr:txBody>
    </cdr:sp>
  </cdr:relSizeAnchor>
</c:userShape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iso27001security.com/"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true" showRowColHeaders="true" showZeros="true" rightToLeft="false" tabSelected="false" showOutlineSymbols="true" defaultGridColor="true" view="normal" topLeftCell="B1" colorId="64" zoomScale="80" zoomScaleNormal="80" zoomScalePageLayoutView="100" workbookViewId="0">
      <selection pane="topLeft" activeCell="B17" activeCellId="0" sqref="B17"/>
    </sheetView>
  </sheetViews>
  <sheetFormatPr defaultColWidth="9.171875" defaultRowHeight="14.25" zeroHeight="false" outlineLevelRow="0" outlineLevelCol="0"/>
  <cols>
    <col collapsed="false" customWidth="true" hidden="false" outlineLevel="0" max="1" min="1" style="1" width="2.16"/>
    <col collapsed="false" customWidth="true" hidden="false" outlineLevel="0" max="2" min="2" style="1" width="255.55"/>
    <col collapsed="false" customWidth="false" hidden="false" outlineLevel="0" max="16384" min="3" style="1" width="9.17"/>
  </cols>
  <sheetData>
    <row r="1" s="2" customFormat="true" ht="103.5" hidden="false" customHeight="true" outlineLevel="0" collapsed="false">
      <c r="B1" s="3" t="s">
        <v>0</v>
      </c>
    </row>
    <row r="2" customFormat="false" ht="39" hidden="false" customHeight="true" outlineLevel="0" collapsed="false">
      <c r="B2" s="4" t="s">
        <v>1</v>
      </c>
    </row>
    <row r="3" s="5" customFormat="true" ht="17.9" hidden="false" customHeight="false" outlineLevel="0" collapsed="false">
      <c r="B3" s="5" t="s">
        <v>2</v>
      </c>
    </row>
    <row r="4" s="5" customFormat="true" ht="50.7" hidden="false" customHeight="false" outlineLevel="0" collapsed="false">
      <c r="B4" s="5" t="s">
        <v>3</v>
      </c>
    </row>
    <row r="5" s="5" customFormat="true" ht="34.3" hidden="false" customHeight="false" outlineLevel="0" collapsed="false">
      <c r="B5" s="5" t="s">
        <v>4</v>
      </c>
    </row>
    <row r="6" customFormat="false" ht="39" hidden="false" customHeight="true" outlineLevel="0" collapsed="false">
      <c r="B6" s="4" t="s">
        <v>5</v>
      </c>
    </row>
    <row r="7" s="5" customFormat="true" ht="34.3" hidden="false" customHeight="false" outlineLevel="0" collapsed="false">
      <c r="B7" s="5" t="s">
        <v>6</v>
      </c>
    </row>
    <row r="8" s="5" customFormat="true" ht="50.7" hidden="false" customHeight="false" outlineLevel="0" collapsed="false">
      <c r="B8" s="5" t="s">
        <v>7</v>
      </c>
    </row>
    <row r="9" s="5" customFormat="true" ht="17.9" hidden="false" customHeight="false" outlineLevel="0" collapsed="false">
      <c r="B9" s="5" t="s">
        <v>8</v>
      </c>
    </row>
    <row r="10" s="5" customFormat="true" ht="50.7" hidden="false" customHeight="false" outlineLevel="0" collapsed="false">
      <c r="B10" s="5" t="s">
        <v>9</v>
      </c>
    </row>
    <row r="11" customFormat="false" ht="39" hidden="false" customHeight="true" outlineLevel="0" collapsed="false">
      <c r="B11" s="4" t="s">
        <v>10</v>
      </c>
    </row>
    <row r="12" s="5" customFormat="true" ht="17.9" hidden="false" customHeight="false" outlineLevel="0" collapsed="false">
      <c r="B12" s="5" t="s">
        <v>11</v>
      </c>
    </row>
    <row r="13" s="5" customFormat="true" ht="17.9" hidden="false" customHeight="false" outlineLevel="0" collapsed="false">
      <c r="B13" s="5" t="s">
        <v>12</v>
      </c>
    </row>
    <row r="14" s="5" customFormat="true" ht="17.9" hidden="false" customHeight="false" outlineLevel="0" collapsed="false">
      <c r="B14" s="5" t="s">
        <v>13</v>
      </c>
    </row>
    <row r="15" customFormat="false" ht="39" hidden="false" customHeight="true" outlineLevel="0" collapsed="false">
      <c r="B15" s="4" t="s">
        <v>14</v>
      </c>
    </row>
    <row r="16" s="5" customFormat="true" ht="50.7" hidden="false" customHeight="false" outlineLevel="0" collapsed="false">
      <c r="B16" s="5" t="s">
        <v>15</v>
      </c>
    </row>
    <row r="17" s="5" customFormat="true" ht="34.3" hidden="false" customHeight="false" outlineLevel="0" collapsed="false">
      <c r="B17" s="6" t="s">
        <v>16</v>
      </c>
    </row>
    <row r="18" s="5" customFormat="true" ht="17.9" hidden="false" customHeight="false" outlineLevel="0" collapsed="false">
      <c r="B18" s="5" t="s">
        <v>17</v>
      </c>
    </row>
    <row r="19" customFormat="false" ht="20.85" hidden="false" customHeight="false" outlineLevel="0" collapsed="false">
      <c r="B19" s="7" t="s">
        <v>18</v>
      </c>
    </row>
  </sheetData>
  <hyperlinks>
    <hyperlink ref="B19" r:id="rId1" display="www.ISO27001security.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F7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2" topLeftCell="A3" activePane="bottomLeft" state="frozen"/>
      <selection pane="topLeft" activeCell="A1" activeCellId="0" sqref="A1"/>
      <selection pane="bottomLeft" activeCell="C3" activeCellId="0" sqref="C3"/>
    </sheetView>
  </sheetViews>
  <sheetFormatPr defaultColWidth="8.7578125" defaultRowHeight="18.2" zeroHeight="false" outlineLevelRow="0" outlineLevelCol="0"/>
  <cols>
    <col collapsed="false" customWidth="true" hidden="false" outlineLevel="0" max="1" min="1" style="8" width="1.08"/>
    <col collapsed="false" customWidth="true" hidden="false" outlineLevel="0" max="2" min="2" style="9" width="10.25"/>
    <col collapsed="false" customWidth="true" hidden="false" outlineLevel="0" max="3" min="3" style="10" width="84.07"/>
    <col collapsed="false" customWidth="true" hidden="false" outlineLevel="0" max="4" min="4" style="11" width="16.73"/>
    <col collapsed="false" customWidth="true" hidden="false" outlineLevel="0" max="5" min="5" style="11" width="64.12"/>
    <col collapsed="false" customWidth="false" hidden="false" outlineLevel="0" max="16384" min="6" style="8" width="8.76"/>
  </cols>
  <sheetData>
    <row r="1" s="12" customFormat="true" ht="45.75" hidden="false" customHeight="true" outlineLevel="0" collapsed="false">
      <c r="B1" s="13" t="s">
        <v>19</v>
      </c>
      <c r="C1" s="13"/>
      <c r="D1" s="13"/>
      <c r="E1" s="13"/>
    </row>
    <row r="2" s="14" customFormat="true" ht="21.75" hidden="false" customHeight="true" outlineLevel="0" collapsed="false">
      <c r="B2" s="15" t="s">
        <v>20</v>
      </c>
      <c r="C2" s="16" t="s">
        <v>21</v>
      </c>
      <c r="D2" s="16" t="s">
        <v>22</v>
      </c>
      <c r="E2" s="17" t="s">
        <v>23</v>
      </c>
    </row>
    <row r="3" s="18" customFormat="true" ht="39.6" hidden="false" customHeight="true" outlineLevel="0" collapsed="false">
      <c r="B3" s="19" t="n">
        <v>4</v>
      </c>
      <c r="C3" s="20" t="s">
        <v>24</v>
      </c>
      <c r="D3" s="21"/>
      <c r="E3" s="22"/>
    </row>
    <row r="4" s="23" customFormat="true" ht="22.5" hidden="false" customHeight="true" outlineLevel="0" collapsed="false">
      <c r="B4" s="24" t="n">
        <v>4.1</v>
      </c>
      <c r="C4" s="25" t="s">
        <v>25</v>
      </c>
      <c r="D4" s="26"/>
      <c r="E4" s="27"/>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29" customFormat="true" ht="22.5" hidden="false" customHeight="true" outlineLevel="0" collapsed="false">
      <c r="B5" s="30" t="n">
        <v>4.1</v>
      </c>
      <c r="C5" s="31" t="s">
        <v>26</v>
      </c>
      <c r="D5" s="32" t="s">
        <v>27</v>
      </c>
      <c r="E5" s="33"/>
    </row>
    <row r="6" s="23" customFormat="true" ht="22.5" hidden="false" customHeight="true" outlineLevel="0" collapsed="false">
      <c r="B6" s="24" t="n">
        <v>4.2</v>
      </c>
      <c r="C6" s="25" t="s">
        <v>28</v>
      </c>
      <c r="D6" s="34"/>
      <c r="E6" s="27"/>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29" customFormat="true" ht="22.5" hidden="false" customHeight="true" outlineLevel="0" collapsed="false">
      <c r="B7" s="30" t="s">
        <v>29</v>
      </c>
      <c r="C7" s="31" t="s">
        <v>30</v>
      </c>
      <c r="D7" s="32" t="s">
        <v>27</v>
      </c>
      <c r="E7" s="33"/>
    </row>
    <row r="8" s="29" customFormat="true" ht="22.5" hidden="false" customHeight="true" outlineLevel="0" collapsed="false">
      <c r="B8" s="30" t="s">
        <v>31</v>
      </c>
      <c r="C8" s="31" t="s">
        <v>32</v>
      </c>
      <c r="D8" s="32" t="s">
        <v>27</v>
      </c>
      <c r="E8" s="33"/>
    </row>
    <row r="9" s="23" customFormat="true" ht="22.5" hidden="false" customHeight="true" outlineLevel="0" collapsed="false">
      <c r="B9" s="24" t="n">
        <v>4.3</v>
      </c>
      <c r="C9" s="25" t="s">
        <v>33</v>
      </c>
      <c r="D9" s="34"/>
      <c r="E9" s="27"/>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29" customFormat="true" ht="22.5" hidden="false" customHeight="true" outlineLevel="0" collapsed="false">
      <c r="B10" s="30" t="n">
        <v>4.3</v>
      </c>
      <c r="C10" s="31" t="s">
        <v>34</v>
      </c>
      <c r="D10" s="32" t="s">
        <v>27</v>
      </c>
      <c r="E10" s="33"/>
    </row>
    <row r="11" s="23" customFormat="true" ht="22.5" hidden="false" customHeight="true" outlineLevel="0" collapsed="false">
      <c r="B11" s="24" t="n">
        <v>4.4</v>
      </c>
      <c r="C11" s="25" t="s">
        <v>35</v>
      </c>
      <c r="D11" s="34"/>
      <c r="E11" s="27"/>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29" customFormat="true" ht="22.5" hidden="false" customHeight="true" outlineLevel="0" collapsed="false">
      <c r="B12" s="30" t="n">
        <v>4.4</v>
      </c>
      <c r="C12" s="31" t="s">
        <v>36</v>
      </c>
      <c r="D12" s="32" t="s">
        <v>37</v>
      </c>
      <c r="E12" s="33"/>
    </row>
    <row r="13" s="18" customFormat="true" ht="39.6" hidden="false" customHeight="true" outlineLevel="0" collapsed="false">
      <c r="B13" s="19" t="n">
        <v>5</v>
      </c>
      <c r="C13" s="20" t="s">
        <v>38</v>
      </c>
      <c r="D13" s="35"/>
      <c r="E13" s="36"/>
    </row>
    <row r="14" s="23" customFormat="true" ht="22.5" hidden="false" customHeight="true" outlineLevel="0" collapsed="false">
      <c r="B14" s="24" t="n">
        <v>5.1</v>
      </c>
      <c r="C14" s="25" t="s">
        <v>39</v>
      </c>
      <c r="D14" s="34"/>
      <c r="E14" s="27"/>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29" customFormat="true" ht="22.5" hidden="false" customHeight="true" outlineLevel="0" collapsed="false">
      <c r="B15" s="30" t="n">
        <v>5.1</v>
      </c>
      <c r="C15" s="31" t="s">
        <v>40</v>
      </c>
      <c r="D15" s="32" t="s">
        <v>37</v>
      </c>
      <c r="E15" s="33"/>
    </row>
    <row r="16" s="23" customFormat="true" ht="22.5" hidden="false" customHeight="true" outlineLevel="0" collapsed="false">
      <c r="B16" s="24" t="n">
        <v>5.2</v>
      </c>
      <c r="C16" s="25" t="s">
        <v>41</v>
      </c>
      <c r="D16" s="34"/>
      <c r="E16" s="27"/>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29" customFormat="true" ht="22.5" hidden="false" customHeight="true" outlineLevel="0" collapsed="false">
      <c r="B17" s="30" t="n">
        <v>5.2</v>
      </c>
      <c r="C17" s="31" t="s">
        <v>42</v>
      </c>
      <c r="D17" s="32" t="s">
        <v>27</v>
      </c>
      <c r="E17" s="33"/>
    </row>
    <row r="18" s="23" customFormat="true" ht="22.5" hidden="false" customHeight="true" outlineLevel="0" collapsed="false">
      <c r="B18" s="24" t="n">
        <v>5.3</v>
      </c>
      <c r="C18" s="25" t="s">
        <v>43</v>
      </c>
      <c r="D18" s="34"/>
      <c r="E18" s="27"/>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29" customFormat="true" ht="22.5" hidden="false" customHeight="true" outlineLevel="0" collapsed="false">
      <c r="B19" s="30" t="n">
        <v>5.3</v>
      </c>
      <c r="C19" s="31" t="s">
        <v>44</v>
      </c>
      <c r="D19" s="32" t="s">
        <v>27</v>
      </c>
      <c r="E19" s="33"/>
    </row>
    <row r="20" s="18" customFormat="true" ht="39.6" hidden="false" customHeight="true" outlineLevel="0" collapsed="false">
      <c r="B20" s="19" t="n">
        <v>6</v>
      </c>
      <c r="C20" s="20" t="s">
        <v>45</v>
      </c>
      <c r="D20" s="35"/>
      <c r="E20" s="36"/>
    </row>
    <row r="21" s="23" customFormat="true" ht="22.5" hidden="false" customHeight="true" outlineLevel="0" collapsed="false">
      <c r="B21" s="24" t="n">
        <v>6.1</v>
      </c>
      <c r="C21" s="25" t="s">
        <v>46</v>
      </c>
      <c r="D21" s="34"/>
      <c r="E21" s="27"/>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29" customFormat="true" ht="22.5" hidden="false" customHeight="true" outlineLevel="0" collapsed="false">
      <c r="B22" s="30" t="s">
        <v>47</v>
      </c>
      <c r="C22" s="31" t="s">
        <v>48</v>
      </c>
      <c r="D22" s="32" t="s">
        <v>37</v>
      </c>
      <c r="E22" s="33"/>
    </row>
    <row r="23" s="29" customFormat="true" ht="22.5" hidden="false" customHeight="true" outlineLevel="0" collapsed="false">
      <c r="B23" s="30" t="s">
        <v>49</v>
      </c>
      <c r="C23" s="31" t="s">
        <v>50</v>
      </c>
      <c r="D23" s="32" t="s">
        <v>27</v>
      </c>
      <c r="E23" s="33"/>
    </row>
    <row r="24" s="29" customFormat="true" ht="22.5" hidden="false" customHeight="true" outlineLevel="0" collapsed="false">
      <c r="B24" s="30" t="s">
        <v>51</v>
      </c>
      <c r="C24" s="31" t="s">
        <v>52</v>
      </c>
      <c r="D24" s="32" t="s">
        <v>37</v>
      </c>
      <c r="E24" s="33"/>
    </row>
    <row r="25" s="23" customFormat="true" ht="22.5" hidden="false" customHeight="true" outlineLevel="0" collapsed="false">
      <c r="B25" s="24" t="n">
        <v>6.2</v>
      </c>
      <c r="C25" s="25" t="s">
        <v>53</v>
      </c>
      <c r="D25" s="34"/>
      <c r="E25" s="27"/>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23" customFormat="true" ht="22.5" hidden="false" customHeight="true" outlineLevel="0" collapsed="false">
      <c r="B26" s="30" t="n">
        <v>6.2</v>
      </c>
      <c r="C26" s="31" t="s">
        <v>54</v>
      </c>
      <c r="D26" s="32" t="s">
        <v>37</v>
      </c>
      <c r="E26" s="33"/>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23" customFormat="true" ht="22.5" hidden="false" customHeight="true" outlineLevel="0" collapsed="false">
      <c r="B27" s="24" t="n">
        <v>6.3</v>
      </c>
      <c r="C27" s="25" t="s">
        <v>55</v>
      </c>
      <c r="D27" s="34"/>
      <c r="E27" s="27"/>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29" customFormat="true" ht="22.5" hidden="false" customHeight="true" outlineLevel="0" collapsed="false">
      <c r="B28" s="30" t="n">
        <v>6.3</v>
      </c>
      <c r="C28" s="31" t="s">
        <v>56</v>
      </c>
      <c r="D28" s="32" t="s">
        <v>37</v>
      </c>
      <c r="E28" s="33" t="s">
        <v>57</v>
      </c>
    </row>
    <row r="29" s="37" customFormat="true" ht="39.6" hidden="false" customHeight="true" outlineLevel="0" collapsed="false">
      <c r="B29" s="19" t="n">
        <v>7</v>
      </c>
      <c r="C29" s="20" t="s">
        <v>58</v>
      </c>
      <c r="D29" s="35"/>
      <c r="E29" s="36"/>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row>
    <row r="30" s="23" customFormat="true" ht="22.5" hidden="false" customHeight="true" outlineLevel="0" collapsed="false">
      <c r="B30" s="24" t="n">
        <v>7.1</v>
      </c>
      <c r="C30" s="25" t="s">
        <v>59</v>
      </c>
      <c r="D30" s="34"/>
      <c r="E30" s="27"/>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29" customFormat="true" ht="22.5" hidden="false" customHeight="true" outlineLevel="0" collapsed="false">
      <c r="B31" s="30" t="n">
        <v>7.1</v>
      </c>
      <c r="C31" s="31" t="s">
        <v>60</v>
      </c>
      <c r="D31" s="32" t="s">
        <v>37</v>
      </c>
      <c r="E31" s="33"/>
    </row>
    <row r="32" s="23" customFormat="true" ht="22.5" hidden="false" customHeight="true" outlineLevel="0" collapsed="false">
      <c r="B32" s="24" t="n">
        <v>7.2</v>
      </c>
      <c r="C32" s="25" t="s">
        <v>61</v>
      </c>
      <c r="D32" s="34"/>
      <c r="E32" s="27"/>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row r="33" s="29" customFormat="true" ht="22.5" hidden="false" customHeight="true" outlineLevel="0" collapsed="false">
      <c r="B33" s="30" t="n">
        <v>7.2</v>
      </c>
      <c r="C33" s="31" t="s">
        <v>62</v>
      </c>
      <c r="D33" s="32" t="s">
        <v>27</v>
      </c>
      <c r="E33" s="33"/>
    </row>
    <row r="34" s="23" customFormat="true" ht="22.5" hidden="false" customHeight="true" outlineLevel="0" collapsed="false">
      <c r="B34" s="24" t="n">
        <v>7.3</v>
      </c>
      <c r="C34" s="25" t="s">
        <v>63</v>
      </c>
      <c r="D34" s="34"/>
      <c r="E34" s="27"/>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s="29" customFormat="true" ht="22.5" hidden="false" customHeight="true" outlineLevel="0" collapsed="false">
      <c r="B35" s="30" t="n">
        <v>7.3</v>
      </c>
      <c r="C35" s="31" t="s">
        <v>64</v>
      </c>
      <c r="D35" s="32" t="s">
        <v>65</v>
      </c>
      <c r="E35" s="33"/>
    </row>
    <row r="36" s="23" customFormat="true" ht="22.5" hidden="false" customHeight="true" outlineLevel="0" collapsed="false">
      <c r="B36" s="24" t="n">
        <v>7.4</v>
      </c>
      <c r="C36" s="25" t="s">
        <v>66</v>
      </c>
      <c r="D36" s="34"/>
      <c r="E36" s="27"/>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s="29" customFormat="true" ht="22.5" hidden="false" customHeight="true" outlineLevel="0" collapsed="false">
      <c r="B37" s="30" t="n">
        <v>7.4</v>
      </c>
      <c r="C37" s="31" t="s">
        <v>67</v>
      </c>
      <c r="D37" s="32" t="s">
        <v>65</v>
      </c>
      <c r="E37" s="33"/>
    </row>
    <row r="38" s="23" customFormat="true" ht="22.5" hidden="false" customHeight="true" outlineLevel="0" collapsed="false">
      <c r="B38" s="24" t="n">
        <v>7.5</v>
      </c>
      <c r="C38" s="25" t="s">
        <v>68</v>
      </c>
      <c r="D38" s="34"/>
      <c r="E38" s="27"/>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s="29" customFormat="true" ht="22.5" hidden="false" customHeight="true" outlineLevel="0" collapsed="false">
      <c r="B39" s="30" t="s">
        <v>69</v>
      </c>
      <c r="C39" s="31" t="s">
        <v>70</v>
      </c>
      <c r="D39" s="32" t="s">
        <v>65</v>
      </c>
      <c r="E39" s="33"/>
    </row>
    <row r="40" s="29" customFormat="true" ht="22.5" hidden="false" customHeight="true" outlineLevel="0" collapsed="false">
      <c r="B40" s="30" t="s">
        <v>71</v>
      </c>
      <c r="C40" s="31" t="s">
        <v>72</v>
      </c>
      <c r="D40" s="32" t="s">
        <v>65</v>
      </c>
      <c r="E40" s="33"/>
    </row>
    <row r="41" s="29" customFormat="true" ht="22.5" hidden="false" customHeight="true" outlineLevel="0" collapsed="false">
      <c r="B41" s="30" t="s">
        <v>73</v>
      </c>
      <c r="C41" s="39" t="s">
        <v>74</v>
      </c>
      <c r="D41" s="32" t="s">
        <v>65</v>
      </c>
      <c r="E41" s="33"/>
    </row>
    <row r="42" s="37" customFormat="true" ht="39.6" hidden="false" customHeight="true" outlineLevel="0" collapsed="false">
      <c r="B42" s="19" t="n">
        <v>8</v>
      </c>
      <c r="C42" s="20" t="s">
        <v>75</v>
      </c>
      <c r="D42" s="35"/>
      <c r="E42" s="36"/>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row>
    <row r="43" s="23" customFormat="true" ht="22.5" hidden="false" customHeight="true" outlineLevel="0" collapsed="false">
      <c r="B43" s="24" t="n">
        <v>8.1</v>
      </c>
      <c r="C43" s="25" t="s">
        <v>76</v>
      </c>
      <c r="D43" s="34"/>
      <c r="E43" s="27"/>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s="29" customFormat="true" ht="22.5" hidden="false" customHeight="true" outlineLevel="0" collapsed="false">
      <c r="B44" s="30" t="n">
        <v>8.1</v>
      </c>
      <c r="C44" s="31" t="s">
        <v>77</v>
      </c>
      <c r="D44" s="32" t="s">
        <v>37</v>
      </c>
      <c r="E44" s="33"/>
    </row>
    <row r="45" s="23" customFormat="true" ht="22.5" hidden="false" customHeight="true" outlineLevel="0" collapsed="false">
      <c r="B45" s="24" t="n">
        <v>8.2</v>
      </c>
      <c r="C45" s="25" t="s">
        <v>78</v>
      </c>
      <c r="D45" s="34"/>
      <c r="E45" s="27"/>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row>
    <row r="46" s="29" customFormat="true" ht="22.5" hidden="false" customHeight="true" outlineLevel="0" collapsed="false">
      <c r="B46" s="30" t="n">
        <v>8.2</v>
      </c>
      <c r="C46" s="39" t="s">
        <v>79</v>
      </c>
      <c r="D46" s="32" t="s">
        <v>37</v>
      </c>
      <c r="E46" s="33"/>
    </row>
    <row r="47" s="23" customFormat="true" ht="22.5" hidden="false" customHeight="true" outlineLevel="0" collapsed="false">
      <c r="B47" s="24" t="n">
        <v>8.3</v>
      </c>
      <c r="C47" s="25" t="s">
        <v>80</v>
      </c>
      <c r="D47" s="34"/>
      <c r="E47" s="27"/>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row>
    <row r="48" s="29" customFormat="true" ht="22.5" hidden="false" customHeight="true" outlineLevel="0" collapsed="false">
      <c r="B48" s="30" t="n">
        <v>8.3</v>
      </c>
      <c r="C48" s="31" t="s">
        <v>81</v>
      </c>
      <c r="D48" s="32" t="s">
        <v>27</v>
      </c>
      <c r="E48" s="33"/>
    </row>
    <row r="49" s="37" customFormat="true" ht="39.6" hidden="false" customHeight="true" outlineLevel="0" collapsed="false">
      <c r="B49" s="19" t="n">
        <v>9</v>
      </c>
      <c r="C49" s="20" t="s">
        <v>82</v>
      </c>
      <c r="D49" s="35"/>
      <c r="E49" s="36"/>
    </row>
    <row r="50" s="23" customFormat="true" ht="22.5" hidden="false" customHeight="true" outlineLevel="0" collapsed="false">
      <c r="B50" s="24" t="n">
        <v>9.1</v>
      </c>
      <c r="C50" s="25" t="s">
        <v>83</v>
      </c>
      <c r="D50" s="34"/>
      <c r="E50" s="27"/>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row>
    <row r="51" s="29" customFormat="true" ht="22.5" hidden="false" customHeight="true" outlineLevel="0" collapsed="false">
      <c r="B51" s="30" t="n">
        <v>9.1</v>
      </c>
      <c r="C51" s="39" t="s">
        <v>84</v>
      </c>
      <c r="D51" s="32" t="s">
        <v>37</v>
      </c>
      <c r="E51" s="33"/>
    </row>
    <row r="52" s="23" customFormat="true" ht="22.5" hidden="false" customHeight="true" outlineLevel="0" collapsed="false">
      <c r="B52" s="24" t="n">
        <v>9.2</v>
      </c>
      <c r="C52" s="25" t="s">
        <v>85</v>
      </c>
      <c r="D52" s="34"/>
      <c r="E52" s="27"/>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row>
    <row r="53" s="29" customFormat="true" ht="22.5" hidden="false" customHeight="true" outlineLevel="0" collapsed="false">
      <c r="B53" s="30" t="n">
        <v>9.2</v>
      </c>
      <c r="C53" s="31" t="s">
        <v>86</v>
      </c>
      <c r="D53" s="32" t="s">
        <v>37</v>
      </c>
      <c r="E53" s="33"/>
    </row>
    <row r="54" s="23" customFormat="true" ht="22.5" hidden="false" customHeight="true" outlineLevel="0" collapsed="false">
      <c r="B54" s="24" t="n">
        <v>9.3</v>
      </c>
      <c r="C54" s="25" t="s">
        <v>87</v>
      </c>
      <c r="D54" s="34"/>
      <c r="E54" s="27"/>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row>
    <row r="55" s="29" customFormat="true" ht="22.5" hidden="false" customHeight="true" outlineLevel="0" collapsed="false">
      <c r="B55" s="30" t="n">
        <v>9.3</v>
      </c>
      <c r="C55" s="31" t="s">
        <v>88</v>
      </c>
      <c r="D55" s="32" t="s">
        <v>27</v>
      </c>
      <c r="E55" s="33"/>
    </row>
    <row r="56" s="37" customFormat="true" ht="39.6" hidden="false" customHeight="true" outlineLevel="0" collapsed="false">
      <c r="B56" s="19" t="n">
        <v>10</v>
      </c>
      <c r="C56" s="20" t="s">
        <v>89</v>
      </c>
      <c r="D56" s="35"/>
      <c r="E56" s="36"/>
    </row>
    <row r="57" s="23" customFormat="true" ht="22.5" hidden="false" customHeight="true" outlineLevel="0" collapsed="false">
      <c r="B57" s="24" t="n">
        <v>10.1</v>
      </c>
      <c r="C57" s="25" t="s">
        <v>90</v>
      </c>
      <c r="D57" s="34"/>
      <c r="E57" s="27"/>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row>
    <row r="58" s="29" customFormat="true" ht="22.5" hidden="false" customHeight="true" outlineLevel="0" collapsed="false">
      <c r="B58" s="30" t="n">
        <v>10.1</v>
      </c>
      <c r="C58" s="31" t="s">
        <v>91</v>
      </c>
      <c r="D58" s="32" t="s">
        <v>37</v>
      </c>
      <c r="E58" s="33"/>
    </row>
    <row r="59" s="23" customFormat="true" ht="22.5" hidden="false" customHeight="true" outlineLevel="0" collapsed="false">
      <c r="B59" s="24" t="n">
        <v>10.2</v>
      </c>
      <c r="C59" s="25" t="s">
        <v>92</v>
      </c>
      <c r="D59" s="34"/>
      <c r="E59" s="27"/>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row>
    <row r="60" s="29" customFormat="true" ht="22.5" hidden="false" customHeight="true" outlineLevel="0" collapsed="false">
      <c r="B60" s="40" t="n">
        <v>10.2</v>
      </c>
      <c r="C60" s="41" t="s">
        <v>93</v>
      </c>
      <c r="D60" s="32" t="s">
        <v>65</v>
      </c>
      <c r="E60" s="42"/>
    </row>
    <row r="61" customFormat="false" ht="18.2" hidden="false" customHeight="true" outlineLevel="0" collapsed="false">
      <c r="D61" s="43" t="n">
        <f aca="false">COUNTA(D5:D60)</f>
        <v>28</v>
      </c>
      <c r="E61" s="44" t="s">
        <v>94</v>
      </c>
    </row>
    <row r="62" customFormat="false" ht="18.2" hidden="false" customHeight="true" outlineLevel="0" collapsed="false">
      <c r="D62" s="45"/>
    </row>
    <row r="63" customFormat="false" ht="18.2" hidden="false" customHeight="true" outlineLevel="0" collapsed="false">
      <c r="A63" s="46"/>
      <c r="B63" s="11"/>
      <c r="D63" s="47"/>
    </row>
    <row r="64" customFormat="false" ht="38.65" hidden="false" customHeight="true" outlineLevel="0" collapsed="false">
      <c r="A64" s="48" t="n">
        <f aca="false">COUNTIF($D$5:$D$60,"Non Existent")</f>
        <v>0</v>
      </c>
      <c r="B64" s="11"/>
      <c r="D64" s="49"/>
    </row>
    <row r="65" customFormat="false" ht="38.65" hidden="false" customHeight="true" outlineLevel="0" collapsed="false">
      <c r="A65" s="48" t="n">
        <f aca="false">COUNTIF($D$5:$D$60,"Initial")</f>
        <v>6</v>
      </c>
      <c r="B65" s="11"/>
      <c r="D65" s="49"/>
    </row>
    <row r="66" customFormat="false" ht="38.65" hidden="false" customHeight="true" outlineLevel="0" collapsed="false">
      <c r="A66" s="48" t="n">
        <f aca="false">COUNTIF($D$5:$D$60,"Limited")</f>
        <v>0</v>
      </c>
      <c r="B66" s="11"/>
      <c r="D66" s="49"/>
    </row>
    <row r="67" customFormat="false" ht="38.65" hidden="false" customHeight="true" outlineLevel="0" collapsed="false">
      <c r="A67" s="48" t="n">
        <f aca="false">COUNTIF($D$5:$D$58,"Defined")</f>
        <v>0</v>
      </c>
      <c r="B67" s="11"/>
      <c r="D67" s="49"/>
    </row>
    <row r="68" customFormat="false" ht="38.65" hidden="false" customHeight="true" outlineLevel="0" collapsed="false">
      <c r="A68" s="48" t="n">
        <f aca="false">COUNTIF($D$5:$D$60,"managed")</f>
        <v>12</v>
      </c>
      <c r="B68" s="11"/>
      <c r="D68" s="49"/>
    </row>
    <row r="69" customFormat="false" ht="38.65" hidden="false" customHeight="true" outlineLevel="0" collapsed="false">
      <c r="A69" s="48" t="n">
        <f aca="false">COUNTIF($D$5:$D$60,"Optimized")</f>
        <v>10</v>
      </c>
      <c r="B69" s="11"/>
      <c r="D69" s="49"/>
    </row>
    <row r="70" customFormat="false" ht="38.65" hidden="false" customHeight="true" outlineLevel="0" collapsed="false">
      <c r="A70" s="48" t="n">
        <f aca="false">COUNTIF($D$5:$D$58,"Not Applicable")</f>
        <v>0</v>
      </c>
      <c r="B70" s="11"/>
      <c r="D70" s="49"/>
    </row>
    <row r="71" customFormat="false" ht="38.65" hidden="false" customHeight="true" outlineLevel="0" collapsed="false">
      <c r="A71" s="48" t="n">
        <f aca="false">COUNTIF($D$5:$D$60,"Not Checked")</f>
        <v>0</v>
      </c>
      <c r="B71" s="11"/>
      <c r="D71" s="49"/>
    </row>
    <row r="72" customFormat="false" ht="18.2" hidden="false" customHeight="true" outlineLevel="0" collapsed="false">
      <c r="A72" s="50" t="n">
        <f aca="false">SUM(A64:A71)</f>
        <v>28</v>
      </c>
      <c r="B72" s="51"/>
      <c r="C72" s="52"/>
    </row>
    <row r="74" customFormat="false" ht="18.2" hidden="false" customHeight="true" outlineLevel="0" collapsed="false">
      <c r="A74" s="53"/>
      <c r="B74" s="53"/>
    </row>
  </sheetData>
  <mergeCells count="1">
    <mergeCell ref="B1:E1"/>
  </mergeCells>
  <conditionalFormatting sqref="D60">
    <cfRule type="containsText" priority="10" operator="containsText" aboveAverage="0" equalAverage="0" bottom="0" percent="0" rank="0" text="Initial" dxfId="8">
      <formula>NOT(ISERROR(SEARCH("Initial",D60)))</formula>
    </cfRule>
    <cfRule type="containsText" priority="11" operator="containsText" aboveAverage="0" equalAverage="0" bottom="0" percent="0" rank="0" text="Nonexistent" dxfId="9">
      <formula>NOT(ISERROR(SEARCH("Nonexistent",D60)))</formula>
    </cfRule>
    <cfRule type="expression" priority="12" aboveAverage="0" equalAverage="0" bottom="0" percent="0" rank="0" text="" dxfId="10">
      <formula>_xlfn.ORG.OPENOFFICE.STYLE(VLOOKUP(D60,#ref!,2,0))</formula>
    </cfRule>
  </conditionalFormatting>
  <conditionalFormatting sqref="D58">
    <cfRule type="containsText" priority="21" operator="containsText" aboveAverage="0" equalAverage="0" bottom="0" percent="0" rank="0" text="Initial" dxfId="19">
      <formula>NOT(ISERROR(SEARCH("Initial",D58)))</formula>
    </cfRule>
    <cfRule type="containsText" priority="22" operator="containsText" aboveAverage="0" equalAverage="0" bottom="0" percent="0" rank="0" text="Nonexistent" dxfId="20">
      <formula>NOT(ISERROR(SEARCH("Nonexistent",D58)))</formula>
    </cfRule>
    <cfRule type="expression" priority="23" aboveAverage="0" equalAverage="0" bottom="0" percent="0" rank="0" text="" dxfId="21">
      <formula>_xlfn.ORG.OPENOFFICE.STYLE(VLOOKUP(D58,#ref!,2,0))</formula>
    </cfRule>
  </conditionalFormatting>
  <conditionalFormatting sqref="D55">
    <cfRule type="containsText" priority="32" operator="containsText" aboveAverage="0" equalAverage="0" bottom="0" percent="0" rank="0" text="Initial" dxfId="30">
      <formula>NOT(ISERROR(SEARCH("Initial",D55)))</formula>
    </cfRule>
    <cfRule type="containsText" priority="33" operator="containsText" aboveAverage="0" equalAverage="0" bottom="0" percent="0" rank="0" text="Nonexistent" dxfId="31">
      <formula>NOT(ISERROR(SEARCH("Nonexistent",D55)))</formula>
    </cfRule>
    <cfRule type="expression" priority="34" aboveAverage="0" equalAverage="0" bottom="0" percent="0" rank="0" text="" dxfId="32">
      <formula>_xlfn.ORG.OPENOFFICE.STYLE(VLOOKUP(D55,#ref!,2,0))</formula>
    </cfRule>
  </conditionalFormatting>
  <conditionalFormatting sqref="D53">
    <cfRule type="containsText" priority="43" operator="containsText" aboveAverage="0" equalAverage="0" bottom="0" percent="0" rank="0" text="Initial" dxfId="41">
      <formula>NOT(ISERROR(SEARCH("Initial",D53)))</formula>
    </cfRule>
    <cfRule type="containsText" priority="44" operator="containsText" aboveAverage="0" equalAverage="0" bottom="0" percent="0" rank="0" text="Nonexistent" dxfId="42">
      <formula>NOT(ISERROR(SEARCH("Nonexistent",D53)))</formula>
    </cfRule>
    <cfRule type="expression" priority="45" aboveAverage="0" equalAverage="0" bottom="0" percent="0" rank="0" text="" dxfId="43">
      <formula>_xlfn.ORG.OPENOFFICE.STYLE(VLOOKUP(D53,#ref!,2,0))</formula>
    </cfRule>
  </conditionalFormatting>
  <conditionalFormatting sqref="D51">
    <cfRule type="containsText" priority="54" operator="containsText" aboveAverage="0" equalAverage="0" bottom="0" percent="0" rank="0" text="Initial" dxfId="52">
      <formula>NOT(ISERROR(SEARCH("Initial",D51)))</formula>
    </cfRule>
    <cfRule type="containsText" priority="55" operator="containsText" aboveAverage="0" equalAverage="0" bottom="0" percent="0" rank="0" text="Nonexistent" dxfId="53">
      <formula>NOT(ISERROR(SEARCH("Nonexistent",D51)))</formula>
    </cfRule>
    <cfRule type="expression" priority="56" aboveAverage="0" equalAverage="0" bottom="0" percent="0" rank="0" text="" dxfId="54">
      <formula>_xlfn.ORG.OPENOFFICE.STYLE(VLOOKUP(D51,#ref!,2,0))</formula>
    </cfRule>
  </conditionalFormatting>
  <conditionalFormatting sqref="D48">
    <cfRule type="containsText" priority="65" operator="containsText" aboveAverage="0" equalAverage="0" bottom="0" percent="0" rank="0" text="Initial" dxfId="63">
      <formula>NOT(ISERROR(SEARCH("Initial",D48)))</formula>
    </cfRule>
    <cfRule type="containsText" priority="66" operator="containsText" aboveAverage="0" equalAverage="0" bottom="0" percent="0" rank="0" text="Nonexistent" dxfId="64">
      <formula>NOT(ISERROR(SEARCH("Nonexistent",D48)))</formula>
    </cfRule>
    <cfRule type="expression" priority="67" aboveAverage="0" equalAverage="0" bottom="0" percent="0" rank="0" text="" dxfId="65">
      <formula>_xlfn.ORG.OPENOFFICE.STYLE(VLOOKUP(D48,#ref!,2,0))</formula>
    </cfRule>
  </conditionalFormatting>
  <conditionalFormatting sqref="D46">
    <cfRule type="containsText" priority="76" operator="containsText" aboveAverage="0" equalAverage="0" bottom="0" percent="0" rank="0" text="Initial" dxfId="74">
      <formula>NOT(ISERROR(SEARCH("Initial",D46)))</formula>
    </cfRule>
    <cfRule type="containsText" priority="77" operator="containsText" aboveAverage="0" equalAverage="0" bottom="0" percent="0" rank="0" text="Nonexistent" dxfId="75">
      <formula>NOT(ISERROR(SEARCH("Nonexistent",D46)))</formula>
    </cfRule>
    <cfRule type="expression" priority="78" aboveAverage="0" equalAverage="0" bottom="0" percent="0" rank="0" text="" dxfId="76">
      <formula>_xlfn.ORG.OPENOFFICE.STYLE(VLOOKUP(D46,#ref!,2,0))</formula>
    </cfRule>
  </conditionalFormatting>
  <conditionalFormatting sqref="D44">
    <cfRule type="containsText" priority="87" operator="containsText" aboveAverage="0" equalAverage="0" bottom="0" percent="0" rank="0" text="Initial" dxfId="85">
      <formula>NOT(ISERROR(SEARCH("Initial",D44)))</formula>
    </cfRule>
    <cfRule type="containsText" priority="88" operator="containsText" aboveAverage="0" equalAverage="0" bottom="0" percent="0" rank="0" text="Nonexistent" dxfId="86">
      <formula>NOT(ISERROR(SEARCH("Nonexistent",D44)))</formula>
    </cfRule>
    <cfRule type="expression" priority="89" aboveAverage="0" equalAverage="0" bottom="0" percent="0" rank="0" text="" dxfId="87">
      <formula>_xlfn.ORG.OPENOFFICE.STYLE(VLOOKUP(D44,#ref!,2,0))</formula>
    </cfRule>
  </conditionalFormatting>
  <conditionalFormatting sqref="D39:D41">
    <cfRule type="containsText" priority="98" operator="containsText" aboveAverage="0" equalAverage="0" bottom="0" percent="0" rank="0" text="Initial" dxfId="96">
      <formula>NOT(ISERROR(SEARCH("Initial",D39)))</formula>
    </cfRule>
    <cfRule type="containsText" priority="99" operator="containsText" aboveAverage="0" equalAverage="0" bottom="0" percent="0" rank="0" text="Nonexistent" dxfId="97">
      <formula>NOT(ISERROR(SEARCH("Nonexistent",D39)))</formula>
    </cfRule>
    <cfRule type="expression" priority="100" aboveAverage="0" equalAverage="0" bottom="0" percent="0" rank="0" text="" dxfId="98">
      <formula>_xlfn.ORG.OPENOFFICE.STYLE(VLOOKUP(D39,#ref!,2,0))</formula>
    </cfRule>
  </conditionalFormatting>
  <conditionalFormatting sqref="D37">
    <cfRule type="containsText" priority="109" operator="containsText" aboveAverage="0" equalAverage="0" bottom="0" percent="0" rank="0" text="Initial" dxfId="107">
      <formula>NOT(ISERROR(SEARCH("Initial",D37)))</formula>
    </cfRule>
    <cfRule type="containsText" priority="110" operator="containsText" aboveAverage="0" equalAverage="0" bottom="0" percent="0" rank="0" text="Nonexistent" dxfId="108">
      <formula>NOT(ISERROR(SEARCH("Nonexistent",D37)))</formula>
    </cfRule>
    <cfRule type="expression" priority="111" aboveAverage="0" equalAverage="0" bottom="0" percent="0" rank="0" text="" dxfId="109">
      <formula>_xlfn.ORG.OPENOFFICE.STYLE(VLOOKUP(D37,#ref!,2,0))</formula>
    </cfRule>
  </conditionalFormatting>
  <conditionalFormatting sqref="D35">
    <cfRule type="containsText" priority="120" operator="containsText" aboveAverage="0" equalAverage="0" bottom="0" percent="0" rank="0" text="Initial" dxfId="118">
      <formula>NOT(ISERROR(SEARCH("Initial",D35)))</formula>
    </cfRule>
    <cfRule type="containsText" priority="121" operator="containsText" aboveAverage="0" equalAverage="0" bottom="0" percent="0" rank="0" text="Nonexistent" dxfId="119">
      <formula>NOT(ISERROR(SEARCH("Nonexistent",D35)))</formula>
    </cfRule>
    <cfRule type="expression" priority="122" aboveAverage="0" equalAverage="0" bottom="0" percent="0" rank="0" text="" dxfId="120">
      <formula>_xlfn.ORG.OPENOFFICE.STYLE(VLOOKUP(D35,#ref!,2,0))</formula>
    </cfRule>
  </conditionalFormatting>
  <conditionalFormatting sqref="D33">
    <cfRule type="containsText" priority="131" operator="containsText" aboveAverage="0" equalAverage="0" bottom="0" percent="0" rank="0" text="Initial" dxfId="129">
      <formula>NOT(ISERROR(SEARCH("Initial",D33)))</formula>
    </cfRule>
    <cfRule type="containsText" priority="132" operator="containsText" aboveAverage="0" equalAverage="0" bottom="0" percent="0" rank="0" text="Nonexistent" dxfId="130">
      <formula>NOT(ISERROR(SEARCH("Nonexistent",D33)))</formula>
    </cfRule>
    <cfRule type="expression" priority="133" aboveAverage="0" equalAverage="0" bottom="0" percent="0" rank="0" text="" dxfId="131">
      <formula>_xlfn.ORG.OPENOFFICE.STYLE(VLOOKUP(D33,#ref!,2,0))</formula>
    </cfRule>
  </conditionalFormatting>
  <conditionalFormatting sqref="D31">
    <cfRule type="containsText" priority="142" operator="containsText" aboveAverage="0" equalAverage="0" bottom="0" percent="0" rank="0" text="Initial" dxfId="140">
      <formula>NOT(ISERROR(SEARCH("Initial",D31)))</formula>
    </cfRule>
    <cfRule type="containsText" priority="143" operator="containsText" aboveAverage="0" equalAverage="0" bottom="0" percent="0" rank="0" text="Nonexistent" dxfId="141">
      <formula>NOT(ISERROR(SEARCH("Nonexistent",D31)))</formula>
    </cfRule>
    <cfRule type="expression" priority="144" aboveAverage="0" equalAverage="0" bottom="0" percent="0" rank="0" text="" dxfId="142">
      <formula>_xlfn.ORG.OPENOFFICE.STYLE(VLOOKUP(D31,#ref!,2,0))</formula>
    </cfRule>
  </conditionalFormatting>
  <conditionalFormatting sqref="D28">
    <cfRule type="containsText" priority="153" operator="containsText" aboveAverage="0" equalAverage="0" bottom="0" percent="0" rank="0" text="Initial" dxfId="151">
      <formula>NOT(ISERROR(SEARCH("Initial",D28)))</formula>
    </cfRule>
    <cfRule type="containsText" priority="154" operator="containsText" aboveAverage="0" equalAverage="0" bottom="0" percent="0" rank="0" text="Nonexistent" dxfId="152">
      <formula>NOT(ISERROR(SEARCH("Nonexistent",D28)))</formula>
    </cfRule>
    <cfRule type="expression" priority="155" aboveAverage="0" equalAverage="0" bottom="0" percent="0" rank="0" text="" dxfId="153">
      <formula>_xlfn.ORG.OPENOFFICE.STYLE(VLOOKUP(D28,#ref!,2,0))</formula>
    </cfRule>
  </conditionalFormatting>
  <conditionalFormatting sqref="D26">
    <cfRule type="containsText" priority="164" operator="containsText" aboveAverage="0" equalAverage="0" bottom="0" percent="0" rank="0" text="Initial" dxfId="162">
      <formula>NOT(ISERROR(SEARCH("Initial",D26)))</formula>
    </cfRule>
    <cfRule type="containsText" priority="165" operator="containsText" aboveAverage="0" equalAverage="0" bottom="0" percent="0" rank="0" text="Nonexistent" dxfId="163">
      <formula>NOT(ISERROR(SEARCH("Nonexistent",D26)))</formula>
    </cfRule>
    <cfRule type="expression" priority="166" aboveAverage="0" equalAverage="0" bottom="0" percent="0" rank="0" text="" dxfId="164">
      <formula>_xlfn.ORG.OPENOFFICE.STYLE(VLOOKUP(D26,#ref!,2,0))</formula>
    </cfRule>
  </conditionalFormatting>
  <conditionalFormatting sqref="D22:D24">
    <cfRule type="containsText" priority="175" operator="containsText" aboveAverage="0" equalAverage="0" bottom="0" percent="0" rank="0" text="Initial" dxfId="173">
      <formula>NOT(ISERROR(SEARCH("Initial",D22)))</formula>
    </cfRule>
    <cfRule type="containsText" priority="176" operator="containsText" aboveAverage="0" equalAverage="0" bottom="0" percent="0" rank="0" text="Nonexistent" dxfId="174">
      <formula>NOT(ISERROR(SEARCH("Nonexistent",D22)))</formula>
    </cfRule>
    <cfRule type="expression" priority="177" aboveAverage="0" equalAverage="0" bottom="0" percent="0" rank="0" text="" dxfId="175">
      <formula>_xlfn.ORG.OPENOFFICE.STYLE(VLOOKUP(D22,#ref!,2,0))</formula>
    </cfRule>
  </conditionalFormatting>
  <conditionalFormatting sqref="D5">
    <cfRule type="containsText" priority="186" operator="containsText" aboveAverage="0" equalAverage="0" bottom="0" percent="0" rank="0" text="Initial" dxfId="184">
      <formula>NOT(ISERROR(SEARCH("Initial",D5)))</formula>
    </cfRule>
    <cfRule type="containsText" priority="187" operator="containsText" aboveAverage="0" equalAverage="0" bottom="0" percent="0" rank="0" text="Nonexistent" dxfId="185">
      <formula>NOT(ISERROR(SEARCH("Nonexistent",D5)))</formula>
    </cfRule>
    <cfRule type="expression" priority="188" aboveAverage="0" equalAverage="0" bottom="0" percent="0" rank="0" text="" dxfId="186">
      <formula>_xlfn.ORG.OPENOFFICE.STYLE(VLOOKUP(D5,#ref!,2,0))</formula>
    </cfRule>
  </conditionalFormatting>
  <conditionalFormatting sqref="D19">
    <cfRule type="containsText" priority="197" operator="containsText" aboveAverage="0" equalAverage="0" bottom="0" percent="0" rank="0" text="Initial" dxfId="195">
      <formula>NOT(ISERROR(SEARCH("Initial",D19)))</formula>
    </cfRule>
    <cfRule type="containsText" priority="198" operator="containsText" aboveAverage="0" equalAverage="0" bottom="0" percent="0" rank="0" text="Nonexistent" dxfId="196">
      <formula>NOT(ISERROR(SEARCH("Nonexistent",D19)))</formula>
    </cfRule>
    <cfRule type="expression" priority="199" aboveAverage="0" equalAverage="0" bottom="0" percent="0" rank="0" text="" dxfId="197">
      <formula>_xlfn.ORG.OPENOFFICE.STYLE(VLOOKUP(D19,#ref!,2,0))</formula>
    </cfRule>
  </conditionalFormatting>
  <conditionalFormatting sqref="D17">
    <cfRule type="containsText" priority="208" operator="containsText" aboveAverage="0" equalAverage="0" bottom="0" percent="0" rank="0" text="Initial" dxfId="206">
      <formula>NOT(ISERROR(SEARCH("Initial",D17)))</formula>
    </cfRule>
    <cfRule type="containsText" priority="209" operator="containsText" aboveAverage="0" equalAverage="0" bottom="0" percent="0" rank="0" text="Nonexistent" dxfId="207">
      <formula>NOT(ISERROR(SEARCH("Nonexistent",D17)))</formula>
    </cfRule>
    <cfRule type="expression" priority="210" aboveAverage="0" equalAverage="0" bottom="0" percent="0" rank="0" text="" dxfId="208">
      <formula>_xlfn.ORG.OPENOFFICE.STYLE(VLOOKUP(D17,#ref!,2,0))</formula>
    </cfRule>
  </conditionalFormatting>
  <conditionalFormatting sqref="D15">
    <cfRule type="containsText" priority="219" operator="containsText" aboveAverage="0" equalAverage="0" bottom="0" percent="0" rank="0" text="Initial" dxfId="217">
      <formula>NOT(ISERROR(SEARCH("Initial",D15)))</formula>
    </cfRule>
    <cfRule type="containsText" priority="220" operator="containsText" aboveAverage="0" equalAverage="0" bottom="0" percent="0" rank="0" text="Nonexistent" dxfId="218">
      <formula>NOT(ISERROR(SEARCH("Nonexistent",D15)))</formula>
    </cfRule>
    <cfRule type="expression" priority="221" aboveAverage="0" equalAverage="0" bottom="0" percent="0" rank="0" text="" dxfId="219">
      <formula>_xlfn.ORG.OPENOFFICE.STYLE(VLOOKUP(D15,#ref!,2,0))</formula>
    </cfRule>
  </conditionalFormatting>
  <conditionalFormatting sqref="D12">
    <cfRule type="containsText" priority="230" operator="containsText" aboveAverage="0" equalAverage="0" bottom="0" percent="0" rank="0" text="Initial" dxfId="228">
      <formula>NOT(ISERROR(SEARCH("Initial",D12)))</formula>
    </cfRule>
    <cfRule type="containsText" priority="231" operator="containsText" aboveAverage="0" equalAverage="0" bottom="0" percent="0" rank="0" text="Nonexistent" dxfId="229">
      <formula>NOT(ISERROR(SEARCH("Nonexistent",D12)))</formula>
    </cfRule>
    <cfRule type="expression" priority="232" aboveAverage="0" equalAverage="0" bottom="0" percent="0" rank="0" text="" dxfId="230">
      <formula>_xlfn.ORG.OPENOFFICE.STYLE(VLOOKUP(D12,#ref!,2,0))</formula>
    </cfRule>
  </conditionalFormatting>
  <conditionalFormatting sqref="D10">
    <cfRule type="containsText" priority="241" operator="containsText" aboveAverage="0" equalAverage="0" bottom="0" percent="0" rank="0" text="Initial" dxfId="239">
      <formula>NOT(ISERROR(SEARCH("Initial",D10)))</formula>
    </cfRule>
    <cfRule type="containsText" priority="242" operator="containsText" aboveAverage="0" equalAverage="0" bottom="0" percent="0" rank="0" text="Nonexistent" dxfId="240">
      <formula>NOT(ISERROR(SEARCH("Nonexistent",D10)))</formula>
    </cfRule>
    <cfRule type="expression" priority="243" aboveAverage="0" equalAverage="0" bottom="0" percent="0" rank="0" text="" dxfId="241">
      <formula>_xlfn.ORG.OPENOFFICE.STYLE(VLOOKUP(D10,#ref!,2,0))</formula>
    </cfRule>
  </conditionalFormatting>
  <conditionalFormatting sqref="D7:D8">
    <cfRule type="containsText" priority="252" operator="containsText" aboveAverage="0" equalAverage="0" bottom="0" percent="0" rank="0" text="Initial" dxfId="250">
      <formula>NOT(ISERROR(SEARCH("Initial",D7)))</formula>
    </cfRule>
    <cfRule type="containsText" priority="253" operator="containsText" aboveAverage="0" equalAverage="0" bottom="0" percent="0" rank="0" text="Nonexistent" dxfId="251">
      <formula>NOT(ISERROR(SEARCH("Nonexistent",D7)))</formula>
    </cfRule>
    <cfRule type="expression" priority="254" aboveAverage="0" equalAverage="0" bottom="0" percent="0" rank="0" text="" dxfId="252">
      <formula>_xlfn.ORG.OPENOFFICE.STYLE(VLOOKUP(D7,#ref!,2,0))</formula>
    </cfRule>
  </conditionalFormatting>
  <conditionalFormatting sqref="F42:AF42">
    <cfRule type="expression" priority="255" aboveAverage="0" equalAverage="0" bottom="0" percent="0" rank="0" text="" dxfId="253">
      <formula>#n/a</formula>
    </cfRule>
  </conditionalFormatting>
  <dataValidations count="2">
    <dataValidation allowBlank="true" errorStyle="stop" operator="equal" promptTitle="Select Control Scope" showDropDown="false" showErrorMessage="true" showInputMessage="true" sqref="D30:E30 D32:E32 D34:E34 D36:E36 D38:E38 D43:E43 D45:E45 D47:E47 D50:E50 D52:E52 D54:E54 D59:E59" type="none">
      <formula1>0</formula1>
      <formula2>0</formula2>
    </dataValidation>
    <dataValidation allowBlank="true" errorStyle="stop" operator="equal" promptTitle="Select status" showDropDown="false" showErrorMessage="true" showInputMessage="true" sqref="D5 D7:D8 D10 D12 D15 D17 D19 D22:D24 D26 D28 D31 D33 D35 D37 D39:D41 D44 D46 D48 D51 D53 D55 D58 D60" type="list">
      <formula1>Metrics!$B$3:$B$10</formula1>
      <formula2>0</formula2>
    </dataValidation>
  </dataValidations>
  <printOptions headings="false" gridLines="false" gridLinesSet="true" horizontalCentered="true" verticalCentered="true"/>
  <pageMargins left="0.25" right="0.25"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&amp;C&amp;D&amp;RPage&amp;P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923FF02E-22CA-469D-A83F-70CA22C77512}">
            <xm:f>Metrics!$B$10</xm:f>
            <x14:dxf>
              <font>
                <color rgb="FFFFFFFF"/>
              </font>
              <fill>
                <patternFill>
                  <bgColor theme="0" tint="-0.35"/>
                </patternFill>
              </fill>
            </x14:dxf>
          </x14:cfRule>
          <x14:cfRule type="cellIs" priority="3" operator="equal" id="{EEBB8AA5-21D3-4451-A59C-5B4FFCBA1A2B}">
            <xm:f>Metrics!$B$3</xm:f>
            <x14:dxf>
              <font>
                <color rgb="FFD9D9D9"/>
              </font>
              <fill>
                <patternFill>
                  <bgColor theme="0"/>
                </patternFill>
              </fill>
            </x14:dxf>
          </x14:cfRule>
          <x14:cfRule type="cellIs" priority="4" operator="equal" id="{425F7CBE-EA79-4623-B489-B0EB40519561}">
            <xm:f>Metrics!$B$4</xm:f>
            <x14:dxf>
              <font>
                <color rgb="FFFFFFFF"/>
              </font>
              <fill>
                <patternFill>
                  <bgColor rgb="FFFF0000"/>
                </patternFill>
              </fill>
            </x14:dxf>
          </x14:cfRule>
          <x14:cfRule type="cellIs" priority="5" operator="equal" id="{815DDFC5-F7B2-4CBB-ABE8-616335F1D36B}">
            <xm:f>Metrics!$B$5</xm:f>
            <x14:dxf>
              <font>
                <color rgb="FFFFFFFF"/>
              </font>
              <fill>
                <patternFill>
                  <bgColor rgb="FFC00000"/>
                </patternFill>
              </fill>
            </x14:dxf>
          </x14:cfRule>
          <x14:cfRule type="cellIs" priority="6" operator="equal" id="{28D839E2-D240-438C-84E5-925A1DD2A02F}">
            <xm:f>Metrics!$B$6</xm:f>
            <x14:dxf>
              <font>
                <color rgb="FFFFFFFF"/>
              </font>
              <fill>
                <patternFill>
                  <bgColor theme="2" tint="-0.5"/>
                </patternFill>
              </fill>
            </x14:dxf>
          </x14:cfRule>
          <x14:cfRule type="cellIs" priority="7" operator="equal" id="{2830B0C7-EB8C-457C-B360-40DA566D1F15}">
            <xm:f>Metrics!$B$7</xm:f>
            <x14:dxf>
              <font>
                <color rgb="FFFFFFFF"/>
              </font>
              <fill>
                <patternFill>
                  <bgColor rgb="FFFFC000"/>
                </patternFill>
              </fill>
            </x14:dxf>
          </x14:cfRule>
          <x14:cfRule type="cellIs" priority="8" operator="equal" id="{23A064EA-171E-4213-9055-D0B1C6C6702D}">
            <xm:f>Metrics!$B$8</xm:f>
            <x14:dxf>
              <font>
                <color rgb="FFFFFFFF"/>
              </font>
              <fill>
                <patternFill>
                  <bgColor rgb="FF92D050"/>
                </patternFill>
              </fill>
            </x14:dxf>
          </x14:cfRule>
          <x14:cfRule type="cellIs" priority="9" operator="equal" id="{1D4CF5FE-E37F-4725-B02B-5473A46279B6}">
            <xm:f>Metrics!$B$9</xm:f>
            <x14:dxf>
              <font>
                <color rgb="FFFFFFFF"/>
              </font>
              <fill>
                <patternFill>
                  <bgColor rgb="FF336600"/>
                </patternFill>
              </fill>
            </x14:dxf>
          </x14:cfRule>
          <xm:sqref>D60</xm:sqref>
        </x14:conditionalFormatting>
        <x14:conditionalFormatting xmlns:xm="http://schemas.microsoft.com/office/excel/2006/main">
          <x14:cfRule type="cellIs" priority="13" operator="equal" id="{F1C3AE98-A1B5-457D-8460-563220123FEC}">
            <xm:f>Metrics!$B$10</xm:f>
            <x14:dxf>
              <font>
                <color rgb="FFFFFFFF"/>
              </font>
              <fill>
                <patternFill>
                  <bgColor theme="2" tint="-0.5"/>
                </patternFill>
              </fill>
            </x14:dxf>
          </x14:cfRule>
          <x14:cfRule type="cellIs" priority="14" operator="equal" id="{99F9C98B-B172-42B1-A46F-4436794D1C48}">
            <xm:f>Metrics!$B$3</xm:f>
            <x14:dxf>
              <font>
                <color rgb="FFFFFFFF"/>
              </font>
              <fill>
                <patternFill>
                  <bgColor theme="0" tint="-0.35"/>
                </patternFill>
              </fill>
            </x14:dxf>
          </x14:cfRule>
          <x14:cfRule type="cellIs" priority="15" operator="equal" id="{45A95584-2AD8-4527-8779-C7A5DF1BBB3E}">
            <xm:f>Metrics!$B$4</xm:f>
            <x14:dxf>
              <font>
                <color rgb="FFFFFFFF"/>
              </font>
              <fill>
                <patternFill>
                  <bgColor rgb="FF336600"/>
                </patternFill>
              </fill>
            </x14:dxf>
          </x14:cfRule>
          <x14:cfRule type="cellIs" priority="16" operator="equal" id="{4057AE56-7ABD-4DE0-9285-B7B0A1399BEF}">
            <xm:f>Metrics!$B$5</xm:f>
            <x14:dxf>
              <font>
                <color rgb="FFFFFFFF"/>
              </font>
              <fill>
                <patternFill>
                  <bgColor rgb="FF92D050"/>
                </patternFill>
              </fill>
            </x14:dxf>
          </x14:cfRule>
          <x14:cfRule type="cellIs" priority="17" operator="equal" id="{39672B5F-F6C6-4BD0-B444-7FE671535CE0}">
            <xm:f>Metrics!$B$6</xm:f>
            <x14:dxf>
              <font>
                <color rgb="FFFFFFFF"/>
              </font>
              <fill>
                <patternFill>
                  <bgColor rgb="FFFFC000"/>
                </patternFill>
              </fill>
            </x14:dxf>
          </x14:cfRule>
          <x14:cfRule type="cellIs" priority="18" operator="equal" id="{B09B2020-59D4-4CF2-B95F-EC939710FF65}">
            <xm:f>Metrics!$B$7</xm:f>
            <x14:dxf>
              <font>
                <color rgb="FFD9D9D9"/>
              </font>
              <fill>
                <patternFill>
                  <bgColor theme="0"/>
                </patternFill>
              </fill>
            </x14:dxf>
          </x14:cfRule>
          <x14:cfRule type="cellIs" priority="19" operator="equal" id="{938759BE-5A7B-4AC0-BBD8-27C7A82959CE}">
            <xm:f>Metrics!$B$8</xm:f>
            <x14:dxf>
              <font>
                <color rgb="FFFFFFFF"/>
              </font>
              <fill>
                <patternFill>
                  <bgColor rgb="FFC00000"/>
                </patternFill>
              </fill>
            </x14:dxf>
          </x14:cfRule>
          <x14:cfRule type="cellIs" priority="20" operator="equal" id="{3669AACC-E9AD-4FB6-87FE-D6C06D3214E9}">
            <xm:f>Metrics!$B$9</xm:f>
            <x14:dxf>
              <font>
                <color rgb="FFFFFFFF"/>
              </font>
              <fill>
                <patternFill>
                  <bgColor rgb="FFFF0000"/>
                </patternFill>
              </fill>
            </x14:dxf>
          </x14:cfRule>
          <xm:sqref>D58</xm:sqref>
        </x14:conditionalFormatting>
        <x14:conditionalFormatting xmlns:xm="http://schemas.microsoft.com/office/excel/2006/main">
          <x14:cfRule type="cellIs" priority="24" operator="equal" id="{BAC8A4DB-59FB-4184-9012-762167E92166}">
            <xm:f>Metrics!$B$3</xm:f>
            <x14:dxf>
              <font>
                <color rgb="FFD9D9D9"/>
              </font>
              <fill>
                <patternFill>
                  <bgColor theme="0"/>
                </patternFill>
              </fill>
            </x14:dxf>
          </x14:cfRule>
          <x14:cfRule type="cellIs" priority="25" operator="equal" id="{6613809B-8E94-4ED0-BCEA-E0439E6BF5E2}">
            <xm:f>Metrics!$B$4</xm:f>
            <x14:dxf>
              <font>
                <color rgb="FFFFFFFF"/>
              </font>
              <fill>
                <patternFill>
                  <bgColor rgb="FFFF0000"/>
                </patternFill>
              </fill>
            </x14:dxf>
          </x14:cfRule>
          <x14:cfRule type="cellIs" priority="26" operator="equal" id="{4C58A0A0-D026-4050-A276-D962BDB9E510}">
            <xm:f>Metrics!$B$5</xm:f>
            <x14:dxf>
              <font>
                <color rgb="FFFFFFFF"/>
              </font>
              <fill>
                <patternFill>
                  <bgColor rgb="FFC00000"/>
                </patternFill>
              </fill>
            </x14:dxf>
          </x14:cfRule>
          <x14:cfRule type="cellIs" priority="27" operator="equal" id="{B7F36A6F-977C-4DB7-BD1F-2495AABD9A1A}">
            <xm:f>Metrics!$B$6</xm:f>
            <x14:dxf>
              <font>
                <color rgb="FFFFFFFF"/>
              </font>
              <fill>
                <patternFill>
                  <bgColor theme="2" tint="-0.5"/>
                </patternFill>
              </fill>
            </x14:dxf>
          </x14:cfRule>
          <x14:cfRule type="cellIs" priority="28" operator="equal" id="{EEA1A25B-6FB2-4FAB-9113-31DC1D28275D}">
            <xm:f>Metrics!$B$7</xm:f>
            <x14:dxf>
              <font>
                <color rgb="FFFFFFFF"/>
              </font>
              <fill>
                <patternFill>
                  <bgColor rgb="FFFFC000"/>
                </patternFill>
              </fill>
            </x14:dxf>
          </x14:cfRule>
          <x14:cfRule type="cellIs" priority="29" operator="equal" id="{9130101C-B350-4760-867F-67869CC5379A}">
            <xm:f>Metrics!$B$10</xm:f>
            <x14:dxf>
              <font>
                <color rgb="FFFFFFFF"/>
              </font>
              <fill>
                <patternFill>
                  <bgColor rgb="FF92D050"/>
                </patternFill>
              </fill>
            </x14:dxf>
          </x14:cfRule>
          <x14:cfRule type="cellIs" priority="30" operator="equal" id="{327D3663-BB30-4015-8FFA-D21E2B2FE02B}">
            <xm:f>Metrics!$B$8</xm:f>
            <x14:dxf>
              <font>
                <color rgb="FFFFFFFF"/>
              </font>
              <fill>
                <patternFill>
                  <bgColor rgb="FF336600"/>
                </patternFill>
              </fill>
            </x14:dxf>
          </x14:cfRule>
          <x14:cfRule type="cellIs" priority="31" operator="equal" id="{C48B5FB0-9B28-49E5-A390-862074A31CE5}">
            <xm:f>Metrics!$B$9</xm:f>
            <x14:dxf>
              <font>
                <color rgb="FFFFFFFF"/>
              </font>
              <fill>
                <patternFill>
                  <bgColor theme="0" tint="-0.35"/>
                </patternFill>
              </fill>
            </x14:dxf>
          </x14:cfRule>
          <xm:sqref>D55</xm:sqref>
        </x14:conditionalFormatting>
        <x14:conditionalFormatting xmlns:xm="http://schemas.microsoft.com/office/excel/2006/main">
          <x14:cfRule type="cellIs" priority="35" operator="equal" id="{325F68C6-1BAD-49D5-8FE6-AA797772BB23}">
            <xm:f>Metrics!$B$9</xm:f>
            <x14:dxf>
              <font>
                <color rgb="FFFFFFFF"/>
              </font>
              <fill>
                <patternFill>
                  <bgColor theme="0" tint="-0.35"/>
                </patternFill>
              </fill>
            </x14:dxf>
          </x14:cfRule>
          <x14:cfRule type="cellIs" priority="36" operator="equal" id="{C1623068-751C-4B9C-A257-E4C59F401028}">
            <xm:f>Metrics!$B$3</xm:f>
            <x14:dxf>
              <font>
                <color rgb="FFFFFFFF"/>
              </font>
              <fill>
                <patternFill>
                  <bgColor rgb="FF336600"/>
                </patternFill>
              </fill>
            </x14:dxf>
          </x14:cfRule>
          <x14:cfRule type="cellIs" priority="37" operator="equal" id="{634675C7-EA20-4AFD-B01E-E1585F597AA9}">
            <xm:f>Metrics!$B$4</xm:f>
            <x14:dxf>
              <font>
                <color rgb="FFFFFFFF"/>
              </font>
              <fill>
                <patternFill>
                  <bgColor rgb="FF92D050"/>
                </patternFill>
              </fill>
            </x14:dxf>
          </x14:cfRule>
          <x14:cfRule type="cellIs" priority="38" operator="equal" id="{54B0952F-EC3E-4CAE-B98D-581694A3DDBB}">
            <xm:f>Metrics!$B$5</xm:f>
            <x14:dxf>
              <font>
                <color rgb="FFFFFFFF"/>
              </font>
              <fill>
                <patternFill>
                  <bgColor rgb="FFFFC000"/>
                </patternFill>
              </fill>
            </x14:dxf>
          </x14:cfRule>
          <x14:cfRule type="cellIs" priority="39" operator="equal" id="{44EA2029-10C3-4CD0-BEE0-9F3081F0682A}">
            <xm:f>Metrics!$B$6</xm:f>
            <x14:dxf>
              <font>
                <color rgb="FFFFFFFF"/>
              </font>
              <fill>
                <patternFill>
                  <bgColor theme="2" tint="-0.5"/>
                </patternFill>
              </fill>
            </x14:dxf>
          </x14:cfRule>
          <x14:cfRule type="cellIs" priority="40" operator="equal" id="{C022C5E4-EA40-4B6A-82A2-7F7D4996275D}">
            <xm:f>Metrics!$B$10</xm:f>
            <x14:dxf>
              <font>
                <color rgb="FFFFFFFF"/>
              </font>
              <fill>
                <patternFill>
                  <bgColor rgb="FFC00000"/>
                </patternFill>
              </fill>
            </x14:dxf>
          </x14:cfRule>
          <x14:cfRule type="cellIs" priority="41" operator="equal" id="{58A080C0-DAF2-418D-89D1-3F5A5C30B0FE}">
            <xm:f>Metrics!$B$7</xm:f>
            <x14:dxf>
              <font>
                <color rgb="FFFFFFFF"/>
              </font>
              <fill>
                <patternFill>
                  <bgColor rgb="FFFF0000"/>
                </patternFill>
              </fill>
            </x14:dxf>
          </x14:cfRule>
          <x14:cfRule type="cellIs" priority="42" operator="equal" id="{6B89AC97-BAC0-4175-B221-1559E98FFE85}">
            <xm:f>Metrics!$B$8</xm:f>
            <x14:dxf>
              <font>
                <color rgb="FFD9D9D9"/>
              </font>
              <fill>
                <patternFill>
                  <bgColor theme="0"/>
                </patternFill>
              </fill>
            </x14:dxf>
          </x14:cfRule>
          <xm:sqref>D53</xm:sqref>
        </x14:conditionalFormatting>
        <x14:conditionalFormatting xmlns:xm="http://schemas.microsoft.com/office/excel/2006/main">
          <x14:cfRule type="cellIs" priority="46" operator="equal" id="{DA41A76D-373C-48ED-B7DF-59E12F6423AC}">
            <xm:f>Metrics!$B$10</xm:f>
            <x14:dxf>
              <font>
                <color rgb="FFFFFFFF"/>
              </font>
              <fill>
                <patternFill>
                  <bgColor theme="0" tint="-0.35"/>
                </patternFill>
              </fill>
            </x14:dxf>
          </x14:cfRule>
          <x14:cfRule type="cellIs" priority="47" operator="equal" id="{D9C09B79-5332-4D84-A3CD-46B93BA08451}">
            <xm:f>Metrics!$B$3</xm:f>
            <x14:dxf>
              <font>
                <color rgb="FFD9D9D9"/>
              </font>
              <fill>
                <patternFill>
                  <bgColor theme="0"/>
                </patternFill>
              </fill>
            </x14:dxf>
          </x14:cfRule>
          <x14:cfRule type="cellIs" priority="48" operator="equal" id="{EF601F6D-97A2-44C0-ADBB-B7184CE3E91F}">
            <xm:f>Metrics!$B$4</xm:f>
            <x14:dxf>
              <font>
                <color rgb="FFFFFFFF"/>
              </font>
              <fill>
                <patternFill>
                  <bgColor rgb="FFFF0000"/>
                </patternFill>
              </fill>
            </x14:dxf>
          </x14:cfRule>
          <x14:cfRule type="cellIs" priority="49" operator="equal" id="{D3A56F87-20CC-49F2-8094-A25197DF2086}">
            <xm:f>Metrics!$B$5</xm:f>
            <x14:dxf>
              <font>
                <color rgb="FFFFFFFF"/>
              </font>
              <fill>
                <patternFill>
                  <bgColor rgb="FFC00000"/>
                </patternFill>
              </fill>
            </x14:dxf>
          </x14:cfRule>
          <x14:cfRule type="cellIs" priority="50" operator="equal" id="{74B6E7F8-2086-444C-9A8D-3D1B1E93E489}">
            <xm:f>Metrics!$B$6</xm:f>
            <x14:dxf>
              <font>
                <color rgb="FFFFFFFF"/>
              </font>
              <fill>
                <patternFill>
                  <bgColor theme="2" tint="-0.5"/>
                </patternFill>
              </fill>
            </x14:dxf>
          </x14:cfRule>
          <x14:cfRule type="cellIs" priority="51" operator="equal" id="{4FFEDF2F-CD88-4870-AF60-85C8BA469068}">
            <xm:f>Metrics!$B$7</xm:f>
            <x14:dxf>
              <font>
                <color rgb="FFFFFFFF"/>
              </font>
              <fill>
                <patternFill>
                  <bgColor rgb="FFFFC000"/>
                </patternFill>
              </fill>
            </x14:dxf>
          </x14:cfRule>
          <x14:cfRule type="cellIs" priority="52" operator="equal" id="{E5EEAA8A-60BD-4AB2-8031-FCC7B370B4E0}">
            <xm:f>Metrics!$B$8</xm:f>
            <x14:dxf>
              <font>
                <color rgb="FFFFFFFF"/>
              </font>
              <fill>
                <patternFill>
                  <bgColor rgb="FF92D050"/>
                </patternFill>
              </fill>
            </x14:dxf>
          </x14:cfRule>
          <x14:cfRule type="cellIs" priority="53" operator="equal" id="{1050BFCF-B76F-4210-8459-F9C1B5A872E0}">
            <xm:f>Metrics!$B$9</xm:f>
            <x14:dxf>
              <font>
                <color rgb="FFFFFFFF"/>
              </font>
              <fill>
                <patternFill>
                  <bgColor rgb="FF336600"/>
                </patternFill>
              </fill>
            </x14:dxf>
          </x14:cfRule>
          <xm:sqref>D51</xm:sqref>
        </x14:conditionalFormatting>
        <x14:conditionalFormatting xmlns:xm="http://schemas.microsoft.com/office/excel/2006/main">
          <x14:cfRule type="cellIs" priority="57" operator="equal" id="{2BBA3320-38DD-4EF8-BB52-93A49E225934}">
            <xm:f>Metrics!$B$3</xm:f>
            <x14:dxf>
              <font>
                <color rgb="FFFFFFFF"/>
              </font>
              <fill>
                <patternFill>
                  <bgColor theme="2" tint="-0.5"/>
                </patternFill>
              </fill>
            </x14:dxf>
          </x14:cfRule>
          <x14:cfRule type="cellIs" priority="58" operator="equal" id="{EF9DC2F7-762D-4332-A39F-434BD8BB46C9}">
            <xm:f>Metrics!$B$4</xm:f>
            <x14:dxf>
              <font>
                <color rgb="FFFFFFFF"/>
              </font>
              <fill>
                <patternFill>
                  <bgColor theme="0" tint="-0.35"/>
                </patternFill>
              </fill>
            </x14:dxf>
          </x14:cfRule>
          <x14:cfRule type="cellIs" priority="59" operator="equal" id="{62183897-513F-4B4B-9600-92D55AD38BD2}">
            <xm:f>Metrics!$B$5</xm:f>
            <x14:dxf>
              <font>
                <color rgb="FFFFFFFF"/>
              </font>
              <fill>
                <patternFill>
                  <bgColor rgb="FF336600"/>
                </patternFill>
              </fill>
            </x14:dxf>
          </x14:cfRule>
          <x14:cfRule type="cellIs" priority="60" operator="equal" id="{37B8AEA4-D2F1-46B6-A8F0-6E49D7138A60}">
            <xm:f>Metrics!$B$6</xm:f>
            <x14:dxf>
              <font>
                <color rgb="FFFFFFFF"/>
              </font>
              <fill>
                <patternFill>
                  <bgColor rgb="FF92D050"/>
                </patternFill>
              </fill>
            </x14:dxf>
          </x14:cfRule>
          <x14:cfRule type="cellIs" priority="61" operator="equal" id="{D0FA5B5A-F819-4956-9694-C5F911E3F91F}">
            <xm:f>Metrics!$B$7</xm:f>
            <x14:dxf>
              <font>
                <color rgb="FFFFFFFF"/>
              </font>
              <fill>
                <patternFill>
                  <bgColor rgb="FFFFC000"/>
                </patternFill>
              </fill>
            </x14:dxf>
          </x14:cfRule>
          <x14:cfRule type="cellIs" priority="62" operator="equal" id="{FED4EAA8-13D6-4F72-B320-C6B2FAA7D6CB}">
            <xm:f>Metrics!$B$8</xm:f>
            <x14:dxf>
              <font>
                <color rgb="FFD9D9D9"/>
              </font>
              <fill>
                <patternFill>
                  <bgColor theme="0"/>
                </patternFill>
              </fill>
            </x14:dxf>
          </x14:cfRule>
          <x14:cfRule type="cellIs" priority="63" operator="equal" id="{30AA1271-3FE4-48A0-B2CB-B1719CAE982A}">
            <xm:f>Metrics!$B$9</xm:f>
            <x14:dxf>
              <font>
                <color rgb="FFFFFFFF"/>
              </font>
              <fill>
                <patternFill>
                  <bgColor rgb="FFC00000"/>
                </patternFill>
              </fill>
            </x14:dxf>
          </x14:cfRule>
          <x14:cfRule type="cellIs" priority="64" operator="equal" id="{766C6F80-F4FE-43BC-9417-808E236D169C}">
            <xm:f>Metrics!$B$10</xm:f>
            <x14:dxf>
              <font>
                <color rgb="FFFFFFFF"/>
              </font>
              <fill>
                <patternFill>
                  <bgColor rgb="FFFF0000"/>
                </patternFill>
              </fill>
            </x14:dxf>
          </x14:cfRule>
          <xm:sqref>D48</xm:sqref>
        </x14:conditionalFormatting>
        <x14:conditionalFormatting xmlns:xm="http://schemas.microsoft.com/office/excel/2006/main">
          <x14:cfRule type="cellIs" priority="68" operator="equal" id="{37CBDE8A-F584-4CC9-A294-F1C8271B27F0}">
            <xm:f>Metrics!$B$10</xm:f>
            <x14:dxf>
              <font>
                <color rgb="FFD9D9D9"/>
              </font>
              <fill>
                <patternFill>
                  <bgColor theme="0"/>
                </patternFill>
              </fill>
            </x14:dxf>
          </x14:cfRule>
          <x14:cfRule type="cellIs" priority="69" operator="equal" id="{DF641FFB-447B-46AF-83D0-8440D431F08B}">
            <xm:f>Metrics!$B$3</xm:f>
            <x14:dxf>
              <font>
                <color rgb="FFFFFFFF"/>
              </font>
              <fill>
                <patternFill>
                  <bgColor rgb="FFFF0000"/>
                </patternFill>
              </fill>
            </x14:dxf>
          </x14:cfRule>
          <x14:cfRule type="cellIs" priority="70" operator="equal" id="{741D8384-174F-4300-B1D0-1AF9F39C88B5}">
            <xm:f>Metrics!$B$4</xm:f>
            <x14:dxf>
              <font>
                <color rgb="FFFFFFFF"/>
              </font>
              <fill>
                <patternFill>
                  <bgColor rgb="FFC00000"/>
                </patternFill>
              </fill>
            </x14:dxf>
          </x14:cfRule>
          <x14:cfRule type="cellIs" priority="71" operator="equal" id="{F3405D26-8B9D-4992-8800-B9EC1F204DA9}">
            <xm:f>Metrics!$B$5</xm:f>
            <x14:dxf>
              <font>
                <color rgb="FFFFFFFF"/>
              </font>
              <fill>
                <patternFill>
                  <bgColor theme="2" tint="-0.5"/>
                </patternFill>
              </fill>
            </x14:dxf>
          </x14:cfRule>
          <x14:cfRule type="cellIs" priority="72" operator="equal" id="{E1C2304B-D0C3-4490-8962-99BD8DC9A7F8}">
            <xm:f>Metrics!$B$6</xm:f>
            <x14:dxf>
              <font>
                <color rgb="FFFFFFFF"/>
              </font>
              <fill>
                <patternFill>
                  <bgColor rgb="FFFFC000"/>
                </patternFill>
              </fill>
            </x14:dxf>
          </x14:cfRule>
          <x14:cfRule type="cellIs" priority="73" operator="equal" id="{56519059-3272-4DFD-B142-2DAA9387EF49}">
            <xm:f>Metrics!$B$7</xm:f>
            <x14:dxf>
              <font>
                <color rgb="FFFFFFFF"/>
              </font>
              <fill>
                <patternFill>
                  <bgColor rgb="FF92D050"/>
                </patternFill>
              </fill>
            </x14:dxf>
          </x14:cfRule>
          <x14:cfRule type="cellIs" priority="74" operator="equal" id="{50CB3B7D-38B7-4941-A9C1-C756A94CD64B}">
            <xm:f>Metrics!$B$8</xm:f>
            <x14:dxf>
              <font>
                <color rgb="FFFFFFFF"/>
              </font>
              <fill>
                <patternFill>
                  <bgColor rgb="FF336600"/>
                </patternFill>
              </fill>
            </x14:dxf>
          </x14:cfRule>
          <x14:cfRule type="cellIs" priority="75" operator="equal" id="{DD9F30D5-CEA1-4468-B732-9A94BD95143E}">
            <xm:f>Metrics!$B$9</xm:f>
            <x14:dxf>
              <font>
                <color rgb="FFFFFFFF"/>
              </font>
              <fill>
                <patternFill>
                  <bgColor theme="0" tint="-0.35"/>
                </patternFill>
              </fill>
            </x14:dxf>
          </x14:cfRule>
          <xm:sqref>D46</xm:sqref>
        </x14:conditionalFormatting>
        <x14:conditionalFormatting xmlns:xm="http://schemas.microsoft.com/office/excel/2006/main">
          <x14:cfRule type="cellIs" priority="79" operator="equal" id="{68CE3E36-C774-406F-8171-8EC088D3CE1E}">
            <xm:f>Metrics!$B$10</xm:f>
            <x14:dxf>
              <font>
                <color rgb="FFFFFFFF"/>
              </font>
              <fill>
                <patternFill>
                  <bgColor theme="0" tint="-0.35"/>
                </patternFill>
              </fill>
            </x14:dxf>
          </x14:cfRule>
          <x14:cfRule type="cellIs" priority="80" operator="equal" id="{C0209BE2-708A-4418-BC31-EF2C47A2B775}">
            <xm:f>Metrics!$B$3</xm:f>
            <x14:dxf>
              <font>
                <color rgb="FFFFFFFF"/>
              </font>
              <fill>
                <patternFill>
                  <bgColor rgb="FF336600"/>
                </patternFill>
              </fill>
            </x14:dxf>
          </x14:cfRule>
          <x14:cfRule type="cellIs" priority="81" operator="equal" id="{C4B611A0-7B9B-42FF-9C00-CC1D9BC5D012}">
            <xm:f>Metrics!$B$4</xm:f>
            <x14:dxf>
              <font>
                <color rgb="FFFFFFFF"/>
              </font>
              <fill>
                <patternFill>
                  <bgColor rgb="FF92D050"/>
                </patternFill>
              </fill>
            </x14:dxf>
          </x14:cfRule>
          <x14:cfRule type="cellIs" priority="82" operator="equal" id="{FFCEAE79-6766-457A-9714-642D24872DAA}">
            <xm:f>Metrics!$B$5</xm:f>
            <x14:dxf>
              <font>
                <color rgb="FFFFFFFF"/>
              </font>
              <fill>
                <patternFill>
                  <bgColor rgb="FFFFC000"/>
                </patternFill>
              </fill>
            </x14:dxf>
          </x14:cfRule>
          <x14:cfRule type="cellIs" priority="83" operator="equal" id="{C35329FC-2462-4BCC-AD56-1C329B5F7730}">
            <xm:f>Metrics!$B$6</xm:f>
            <x14:dxf>
              <font>
                <color rgb="FFFFFFFF"/>
              </font>
              <fill>
                <patternFill>
                  <bgColor theme="2" tint="-0.5"/>
                </patternFill>
              </fill>
            </x14:dxf>
          </x14:cfRule>
          <x14:cfRule type="cellIs" priority="84" operator="equal" id="{D723404C-57AC-4BED-A427-5669FF678FCD}">
            <xm:f>Metrics!$B$7</xm:f>
            <x14:dxf>
              <font>
                <color rgb="FFFFFFFF"/>
              </font>
              <fill>
                <patternFill>
                  <bgColor rgb="FFC00000"/>
                </patternFill>
              </fill>
            </x14:dxf>
          </x14:cfRule>
          <x14:cfRule type="cellIs" priority="85" operator="equal" id="{59F4FE3C-00C2-4915-829F-F7998E7EAC43}">
            <xm:f>Metrics!$B$8</xm:f>
            <x14:dxf>
              <font>
                <color rgb="FFFFFFFF"/>
              </font>
              <fill>
                <patternFill>
                  <bgColor rgb="FFFF0000"/>
                </patternFill>
              </fill>
            </x14:dxf>
          </x14:cfRule>
          <x14:cfRule type="cellIs" priority="86" operator="equal" id="{8ED9FB16-804D-441C-87CB-D18A8FCEB4A8}">
            <xm:f>Metrics!$B$9</xm:f>
            <x14:dxf>
              <font>
                <color rgb="FFD9D9D9"/>
              </font>
              <fill>
                <patternFill>
                  <bgColor theme="0"/>
                </patternFill>
              </fill>
            </x14:dxf>
          </x14:cfRule>
          <xm:sqref>D44</xm:sqref>
        </x14:conditionalFormatting>
        <x14:conditionalFormatting xmlns:xm="http://schemas.microsoft.com/office/excel/2006/main">
          <x14:cfRule type="cellIs" priority="90" operator="equal" id="{693166D8-C4EF-438A-B840-D1203B8A8859}">
            <xm:f>Metrics!$B$3</xm:f>
            <x14:dxf>
              <font>
                <color rgb="FFFFFFFF"/>
              </font>
              <fill>
                <patternFill>
                  <bgColor theme="0" tint="-0.35"/>
                </patternFill>
              </fill>
            </x14:dxf>
          </x14:cfRule>
          <x14:cfRule type="cellIs" priority="91" operator="equal" id="{E091DFD9-B163-4445-933E-56149195D4F8}">
            <xm:f>Metrics!$B$4</xm:f>
            <x14:dxf>
              <font>
                <color rgb="FFD9D9D9"/>
              </font>
              <fill>
                <patternFill>
                  <bgColor theme="0"/>
                </patternFill>
              </fill>
            </x14:dxf>
          </x14:cfRule>
          <x14:cfRule type="cellIs" priority="92" operator="equal" id="{D3C8AA12-BB18-4736-B42A-8FE0611819CB}">
            <xm:f>Metrics!$B$5</xm:f>
            <x14:dxf>
              <font>
                <color rgb="FFFFFFFF"/>
              </font>
              <fill>
                <patternFill>
                  <bgColor rgb="FFFF0000"/>
                </patternFill>
              </fill>
            </x14:dxf>
          </x14:cfRule>
          <x14:cfRule type="cellIs" priority="93" operator="equal" id="{29436350-BB1F-4A21-B488-96D663F01EBA}">
            <xm:f>Metrics!$B$6</xm:f>
            <x14:dxf>
              <font>
                <color rgb="FFFFFFFF"/>
              </font>
              <fill>
                <patternFill>
                  <bgColor rgb="FFC00000"/>
                </patternFill>
              </fill>
            </x14:dxf>
          </x14:cfRule>
          <x14:cfRule type="cellIs" priority="94" operator="equal" id="{1B34C5E6-2A47-4E80-B59B-893F9E629CA7}">
            <xm:f>Metrics!$B$7</xm:f>
            <x14:dxf>
              <font>
                <color rgb="FFFFFFFF"/>
              </font>
              <fill>
                <patternFill>
                  <bgColor theme="2" tint="-0.5"/>
                </patternFill>
              </fill>
            </x14:dxf>
          </x14:cfRule>
          <x14:cfRule type="cellIs" priority="95" operator="equal" id="{1E30809E-D321-4F2A-935C-186E803E9B46}">
            <xm:f>Metrics!$B$10</xm:f>
            <x14:dxf>
              <font>
                <color rgb="FFFFFFFF"/>
              </font>
              <fill>
                <patternFill>
                  <bgColor rgb="FFFFC000"/>
                </patternFill>
              </fill>
            </x14:dxf>
          </x14:cfRule>
          <x14:cfRule type="cellIs" priority="96" operator="equal" id="{ADD4E175-E4D0-4219-AE65-76A5ED40A5F7}">
            <xm:f>Metrics!$B$8</xm:f>
            <x14:dxf>
              <font>
                <color rgb="FFFFFFFF"/>
              </font>
              <fill>
                <patternFill>
                  <bgColor rgb="FF92D050"/>
                </patternFill>
              </fill>
            </x14:dxf>
          </x14:cfRule>
          <x14:cfRule type="cellIs" priority="97" operator="equal" id="{3B79B8C5-53E4-4880-8EC7-3B5A7730B3BC}">
            <xm:f>Metrics!$B$9</xm:f>
            <x14:dxf>
              <font>
                <color rgb="FFFFFFFF"/>
              </font>
              <fill>
                <patternFill>
                  <bgColor rgb="FF336600"/>
                </patternFill>
              </fill>
            </x14:dxf>
          </x14:cfRule>
          <xm:sqref>D39:D41</xm:sqref>
        </x14:conditionalFormatting>
        <x14:conditionalFormatting xmlns:xm="http://schemas.microsoft.com/office/excel/2006/main">
          <x14:cfRule type="cellIs" priority="101" operator="equal" id="{38516573-18E5-4290-9ED4-D34485F016EE}">
            <xm:f>Metrics!$B$9</xm:f>
            <x14:dxf>
              <font>
                <color rgb="FFFFFFFF"/>
              </font>
              <fill>
                <patternFill>
                  <bgColor theme="2" tint="-0.5"/>
                </patternFill>
              </fill>
            </x14:dxf>
          </x14:cfRule>
          <x14:cfRule type="cellIs" priority="102" operator="equal" id="{71A166AD-5884-426D-86F5-A95E596774DC}">
            <xm:f>Metrics!$B$3</xm:f>
            <x14:dxf>
              <font>
                <color rgb="FFFFFFFF"/>
              </font>
              <fill>
                <patternFill>
                  <bgColor theme="0" tint="-0.35"/>
                </patternFill>
              </fill>
            </x14:dxf>
          </x14:cfRule>
          <x14:cfRule type="cellIs" priority="103" operator="equal" id="{55435C4C-7C26-4A9D-ABE2-17F83731947B}">
            <xm:f>Metrics!$B$4</xm:f>
            <x14:dxf>
              <font>
                <color rgb="FFFFFFFF"/>
              </font>
              <fill>
                <patternFill>
                  <bgColor rgb="FF336600"/>
                </patternFill>
              </fill>
            </x14:dxf>
          </x14:cfRule>
          <x14:cfRule type="cellIs" priority="104" operator="equal" id="{97804437-85F0-416D-B167-A38DBAE22EF7}">
            <xm:f>Metrics!$B$5</xm:f>
            <x14:dxf>
              <font>
                <color rgb="FFFFFFFF"/>
              </font>
              <fill>
                <patternFill>
                  <bgColor rgb="FF92D050"/>
                </patternFill>
              </fill>
            </x14:dxf>
          </x14:cfRule>
          <x14:cfRule type="cellIs" priority="105" operator="equal" id="{9892B760-C3A5-4070-82A3-1A8A7FF03FB2}">
            <xm:f>Metrics!$B$6</xm:f>
            <x14:dxf>
              <font>
                <color rgb="FFFFFFFF"/>
              </font>
              <fill>
                <patternFill>
                  <bgColor rgb="FFFFC000"/>
                </patternFill>
              </fill>
            </x14:dxf>
          </x14:cfRule>
          <x14:cfRule type="cellIs" priority="106" operator="equal" id="{8E89BFA9-F6C4-479C-8D2B-6B1BACD0CFD8}">
            <xm:f>Metrics!$B$10</xm:f>
            <x14:dxf>
              <font>
                <color rgb="FFD9D9D9"/>
              </font>
              <fill>
                <patternFill>
                  <bgColor theme="0"/>
                </patternFill>
              </fill>
            </x14:dxf>
          </x14:cfRule>
          <x14:cfRule type="cellIs" priority="107" operator="equal" id="{111DFD70-8450-4CD3-A0E5-461EE240F918}">
            <xm:f>Metrics!$B$7</xm:f>
            <x14:dxf>
              <font>
                <color rgb="FFFFFFFF"/>
              </font>
              <fill>
                <patternFill>
                  <bgColor rgb="FFC00000"/>
                </patternFill>
              </fill>
            </x14:dxf>
          </x14:cfRule>
          <x14:cfRule type="cellIs" priority="108" operator="equal" id="{86F27081-5EA6-4FD4-A55E-7996C0C0E2E6}">
            <xm:f>Metrics!$B$8</xm:f>
            <x14:dxf>
              <font>
                <color rgb="FFFFFFFF"/>
              </font>
              <fill>
                <patternFill>
                  <bgColor rgb="FFFF0000"/>
                </patternFill>
              </fill>
            </x14:dxf>
          </x14:cfRule>
          <xm:sqref>D37</xm:sqref>
        </x14:conditionalFormatting>
        <x14:conditionalFormatting xmlns:xm="http://schemas.microsoft.com/office/excel/2006/main">
          <x14:cfRule type="cellIs" priority="112" operator="equal" id="{77E4DCE5-DFB4-494F-8990-2A927762AFC5}">
            <xm:f>Metrics!$B$10</xm:f>
            <x14:dxf>
              <font>
                <color rgb="FFD9D9D9"/>
              </font>
              <fill>
                <patternFill>
                  <bgColor theme="0"/>
                </patternFill>
              </fill>
            </x14:dxf>
          </x14:cfRule>
          <x14:cfRule type="cellIs" priority="113" operator="equal" id="{89F09968-0045-48D2-905A-C0FEEE6076BC}">
            <xm:f>Metrics!$B$3</xm:f>
            <x14:dxf>
              <font>
                <color rgb="FFFFFFFF"/>
              </font>
              <fill>
                <patternFill>
                  <bgColor rgb="FFFF0000"/>
                </patternFill>
              </fill>
            </x14:dxf>
          </x14:cfRule>
          <x14:cfRule type="cellIs" priority="114" operator="equal" id="{B439CF78-A52D-47A1-9D3B-E6721DA741CC}">
            <xm:f>Metrics!$B$4</xm:f>
            <x14:dxf>
              <font>
                <color rgb="FFFFFFFF"/>
              </font>
              <fill>
                <patternFill>
                  <bgColor rgb="FFC00000"/>
                </patternFill>
              </fill>
            </x14:dxf>
          </x14:cfRule>
          <x14:cfRule type="cellIs" priority="115" operator="equal" id="{DAA8A376-791C-44CC-9069-F35B62DEFDB7}">
            <xm:f>Metrics!$B$5</xm:f>
            <x14:dxf>
              <font>
                <color rgb="FFFFFFFF"/>
              </font>
              <fill>
                <patternFill>
                  <bgColor theme="2" tint="-0.5"/>
                </patternFill>
              </fill>
            </x14:dxf>
          </x14:cfRule>
          <x14:cfRule type="cellIs" priority="116" operator="equal" id="{D8806A45-2BA8-4793-8774-7097AA94F0C8}">
            <xm:f>Metrics!$B$6</xm:f>
            <x14:dxf>
              <font>
                <color rgb="FFFFFFFF"/>
              </font>
              <fill>
                <patternFill>
                  <bgColor rgb="FFFFC000"/>
                </patternFill>
              </fill>
            </x14:dxf>
          </x14:cfRule>
          <x14:cfRule type="cellIs" priority="117" operator="equal" id="{8ECBBA1E-FF71-4843-A8C5-A714A59BDF30}">
            <xm:f>Metrics!$B$7</xm:f>
            <x14:dxf>
              <font>
                <color rgb="FFFFFFFF"/>
              </font>
              <fill>
                <patternFill>
                  <bgColor rgb="FF92D050"/>
                </patternFill>
              </fill>
            </x14:dxf>
          </x14:cfRule>
          <x14:cfRule type="cellIs" priority="118" operator="equal" id="{6E46AFDB-1B43-4CFE-8DDD-E318DBC2467E}">
            <xm:f>Metrics!$B$8</xm:f>
            <x14:dxf>
              <font>
                <color rgb="FFFFFFFF"/>
              </font>
              <fill>
                <patternFill>
                  <bgColor rgb="FF336600"/>
                </patternFill>
              </fill>
            </x14:dxf>
          </x14:cfRule>
          <x14:cfRule type="cellIs" priority="119" operator="equal" id="{42AAE0C1-CDA3-4D7C-B49D-F543B2F232DC}">
            <xm:f>Metrics!$B$9</xm:f>
            <x14:dxf>
              <font>
                <color rgb="FFFFFFFF"/>
              </font>
              <fill>
                <patternFill>
                  <bgColor theme="0" tint="-0.35"/>
                </patternFill>
              </fill>
            </x14:dxf>
          </x14:cfRule>
          <xm:sqref>D35</xm:sqref>
        </x14:conditionalFormatting>
        <x14:conditionalFormatting xmlns:xm="http://schemas.microsoft.com/office/excel/2006/main">
          <x14:cfRule type="cellIs" priority="123" operator="equal" id="{6438349F-F628-47EB-BD1C-97E0A1B05B55}">
            <xm:f>Metrics!$B$4</xm:f>
            <x14:dxf>
              <font>
                <color rgb="FFFFFFFF"/>
              </font>
              <fill>
                <patternFill>
                  <bgColor theme="0" tint="-0.35"/>
                </patternFill>
              </fill>
            </x14:dxf>
          </x14:cfRule>
          <x14:cfRule type="cellIs" priority="124" operator="equal" id="{E83580B9-AB9D-4430-A8F1-4E85BB22F534}">
            <xm:f>Metrics!$B$5</xm:f>
            <x14:dxf>
              <font>
                <color rgb="FFFFFFFF"/>
              </font>
              <fill>
                <patternFill>
                  <bgColor rgb="FF336600"/>
                </patternFill>
              </fill>
            </x14:dxf>
          </x14:cfRule>
          <x14:cfRule type="cellIs" priority="125" operator="equal" id="{941BB896-F0F3-417B-ACAA-EE65BE4359F3}">
            <xm:f>Metrics!$B$3</xm:f>
            <x14:dxf>
              <font>
                <color rgb="FFFFFFFF"/>
              </font>
              <fill>
                <patternFill>
                  <bgColor rgb="FF92D050"/>
                </patternFill>
              </fill>
            </x14:dxf>
          </x14:cfRule>
          <x14:cfRule type="cellIs" priority="126" operator="equal" id="{B1242281-4B7F-4F83-9ED5-30DD6F26AB42}">
            <xm:f>Metrics!$B$9</xm:f>
            <x14:dxf>
              <font>
                <color rgb="FFFFFFFF"/>
              </font>
              <fill>
                <patternFill>
                  <bgColor rgb="FFFFC000"/>
                </patternFill>
              </fill>
            </x14:dxf>
          </x14:cfRule>
          <x14:cfRule type="cellIs" priority="127" operator="equal" id="{27F120BC-467C-472E-B4A4-6D3E42CCD6F3}">
            <xm:f>Metrics!$B$8</xm:f>
            <x14:dxf>
              <font>
                <color rgb="FFFFFFFF"/>
              </font>
              <fill>
                <patternFill>
                  <bgColor theme="2" tint="-0.5"/>
                </patternFill>
              </fill>
            </x14:dxf>
          </x14:cfRule>
          <x14:cfRule type="cellIs" priority="128" operator="equal" id="{A1592130-9449-49C0-AFFE-38BDA7ABBBC0}">
            <xm:f>Metrics!$B$7</xm:f>
            <x14:dxf>
              <font>
                <color rgb="FFFFFFFF"/>
              </font>
              <fill>
                <patternFill>
                  <bgColor rgb="FFC00000"/>
                </patternFill>
              </fill>
            </x14:dxf>
          </x14:cfRule>
          <x14:cfRule type="cellIs" priority="129" operator="equal" id="{1490F86A-4535-4C4D-999B-2334356D2792}">
            <xm:f>Metrics!$B$6</xm:f>
            <x14:dxf>
              <font>
                <color rgb="FFFFFFFF"/>
              </font>
              <fill>
                <patternFill>
                  <bgColor rgb="FFFF0000"/>
                </patternFill>
              </fill>
            </x14:dxf>
          </x14:cfRule>
          <x14:cfRule type="cellIs" priority="130" operator="equal" id="{88A050D8-FA4D-4177-B91F-5C34E5B5FB12}">
            <xm:f>Metrics!$B$10</xm:f>
            <x14:dxf>
              <font>
                <color rgb="FFD9D9D9"/>
              </font>
              <fill>
                <patternFill>
                  <bgColor theme="0"/>
                </patternFill>
              </fill>
            </x14:dxf>
          </x14:cfRule>
          <xm:sqref>D33</xm:sqref>
        </x14:conditionalFormatting>
        <x14:conditionalFormatting xmlns:xm="http://schemas.microsoft.com/office/excel/2006/main">
          <x14:cfRule type="cellIs" priority="134" operator="equal" id="{E6678550-9B58-4033-B187-E110BFBBAE7E}">
            <xm:f>Metrics!$B$10</xm:f>
            <x14:dxf>
              <font>
                <color rgb="FFFFFFFF"/>
              </font>
              <fill>
                <patternFill>
                  <bgColor theme="0" tint="-0.35"/>
                </patternFill>
              </fill>
            </x14:dxf>
          </x14:cfRule>
          <x14:cfRule type="cellIs" priority="135" operator="equal" id="{BF23206A-8E85-4618-A646-7A26E1BA2EDF}">
            <xm:f>Metrics!$B$3</xm:f>
            <x14:dxf>
              <font>
                <color rgb="FFD9D9D9"/>
              </font>
              <fill>
                <patternFill>
                  <bgColor theme="0"/>
                </patternFill>
              </fill>
            </x14:dxf>
          </x14:cfRule>
          <x14:cfRule type="cellIs" priority="136" operator="equal" id="{D62182C5-41EB-41F4-AF70-E0A130A310BB}">
            <xm:f>Metrics!$B$4</xm:f>
            <x14:dxf>
              <font>
                <color rgb="FFFFFFFF"/>
              </font>
              <fill>
                <patternFill>
                  <bgColor rgb="FFFF0000"/>
                </patternFill>
              </fill>
            </x14:dxf>
          </x14:cfRule>
          <x14:cfRule type="cellIs" priority="137" operator="equal" id="{3294DE9B-A0FD-4FE1-94C1-38B2624586EF}">
            <xm:f>Metrics!$B$5</xm:f>
            <x14:dxf>
              <font>
                <color rgb="FFFFFFFF"/>
              </font>
              <fill>
                <patternFill>
                  <bgColor rgb="FFC00000"/>
                </patternFill>
              </fill>
            </x14:dxf>
          </x14:cfRule>
          <x14:cfRule type="cellIs" priority="138" operator="equal" id="{AA177EAA-6A1F-4761-8826-CC7CAFC2A8D0}">
            <xm:f>Metrics!$B$6</xm:f>
            <x14:dxf>
              <font>
                <color rgb="FFFFFFFF"/>
              </font>
              <fill>
                <patternFill>
                  <bgColor theme="2" tint="-0.5"/>
                </patternFill>
              </fill>
            </x14:dxf>
          </x14:cfRule>
          <x14:cfRule type="cellIs" priority="139" operator="equal" id="{4B6DBF50-5B8A-456D-9327-E4ADA5E1501F}">
            <xm:f>Metrics!$B$7</xm:f>
            <x14:dxf>
              <font>
                <color rgb="FFFFFFFF"/>
              </font>
              <fill>
                <patternFill>
                  <bgColor rgb="FFFFC000"/>
                </patternFill>
              </fill>
            </x14:dxf>
          </x14:cfRule>
          <x14:cfRule type="cellIs" priority="140" operator="equal" id="{30261365-CEC0-4BCB-93AE-DCDB10ED50CD}">
            <xm:f>Metrics!$B$8</xm:f>
            <x14:dxf>
              <font>
                <color rgb="FFFFFFFF"/>
              </font>
              <fill>
                <patternFill>
                  <bgColor rgb="FF92D050"/>
                </patternFill>
              </fill>
            </x14:dxf>
          </x14:cfRule>
          <x14:cfRule type="cellIs" priority="141" operator="equal" id="{426391D1-48FE-432D-929B-91B9C91CFD57}">
            <xm:f>Metrics!$B$9</xm:f>
            <x14:dxf>
              <font>
                <color rgb="FFFFFFFF"/>
              </font>
              <fill>
                <patternFill>
                  <bgColor rgb="FF336600"/>
                </patternFill>
              </fill>
            </x14:dxf>
          </x14:cfRule>
          <xm:sqref>D31</xm:sqref>
        </x14:conditionalFormatting>
        <x14:conditionalFormatting xmlns:xm="http://schemas.microsoft.com/office/excel/2006/main">
          <x14:cfRule type="cellIs" priority="145" operator="equal" id="{D180D943-3FEC-4F93-BA30-FFB730D4BF60}">
            <xm:f>Metrics!$B$10</xm:f>
            <x14:dxf>
              <font>
                <color rgb="FFFFFFFF"/>
              </font>
              <fill>
                <patternFill>
                  <bgColor theme="2" tint="-0.5"/>
                </patternFill>
              </fill>
            </x14:dxf>
          </x14:cfRule>
          <x14:cfRule type="cellIs" priority="146" operator="equal" id="{F5E792A1-6E47-496B-9853-BED8F4E41EB2}">
            <xm:f>Metrics!$B$3</xm:f>
            <x14:dxf>
              <font>
                <color rgb="FFFFFFFF"/>
              </font>
              <fill>
                <patternFill>
                  <bgColor theme="0" tint="-0.35"/>
                </patternFill>
              </fill>
            </x14:dxf>
          </x14:cfRule>
          <x14:cfRule type="cellIs" priority="147" operator="equal" id="{42946275-2481-49C4-9FD4-263480BBDA66}">
            <xm:f>Metrics!$B$4</xm:f>
            <x14:dxf>
              <font>
                <color rgb="FFFFFFFF"/>
              </font>
              <fill>
                <patternFill>
                  <bgColor rgb="FF336600"/>
                </patternFill>
              </fill>
            </x14:dxf>
          </x14:cfRule>
          <x14:cfRule type="cellIs" priority="148" operator="equal" id="{D8ED217E-3F74-475C-BCCC-19DC357681E0}">
            <xm:f>Metrics!$B$5</xm:f>
            <x14:dxf>
              <font>
                <color rgb="FFFFFFFF"/>
              </font>
              <fill>
                <patternFill>
                  <bgColor rgb="FF92D050"/>
                </patternFill>
              </fill>
            </x14:dxf>
          </x14:cfRule>
          <x14:cfRule type="cellIs" priority="149" operator="equal" id="{78DEF6F1-23E1-47E9-816E-B3DDA4C04B5A}">
            <xm:f>Metrics!$B$6</xm:f>
            <x14:dxf>
              <font>
                <color rgb="FFFFFFFF"/>
              </font>
              <fill>
                <patternFill>
                  <bgColor rgb="FFFFC000"/>
                </patternFill>
              </fill>
            </x14:dxf>
          </x14:cfRule>
          <x14:cfRule type="cellIs" priority="150" operator="equal" id="{A6A3002E-AC48-4C43-987A-263E8F2A2058}">
            <xm:f>Metrics!$B$7</xm:f>
            <x14:dxf>
              <font>
                <color rgb="FFD9D9D9"/>
              </font>
              <fill>
                <patternFill>
                  <bgColor theme="0"/>
                </patternFill>
              </fill>
            </x14:dxf>
          </x14:cfRule>
          <x14:cfRule type="cellIs" priority="151" operator="equal" id="{E54F9C33-D3E2-4AB0-A843-E8A96BA655B0}">
            <xm:f>Metrics!$B$8</xm:f>
            <x14:dxf>
              <font>
                <color rgb="FFFFFFFF"/>
              </font>
              <fill>
                <patternFill>
                  <bgColor rgb="FFC00000"/>
                </patternFill>
              </fill>
            </x14:dxf>
          </x14:cfRule>
          <x14:cfRule type="cellIs" priority="152" operator="equal" id="{3514AE57-24C0-4923-AB53-BBFBD83C4E16}">
            <xm:f>Metrics!$B$9</xm:f>
            <x14:dxf>
              <font>
                <color rgb="FFFFFFFF"/>
              </font>
              <fill>
                <patternFill>
                  <bgColor rgb="FFFF0000"/>
                </patternFill>
              </fill>
            </x14:dxf>
          </x14:cfRule>
          <xm:sqref>D28</xm:sqref>
        </x14:conditionalFormatting>
        <x14:conditionalFormatting xmlns:xm="http://schemas.microsoft.com/office/excel/2006/main">
          <x14:cfRule type="cellIs" priority="156" operator="equal" id="{7AC71D59-CB6A-47FD-9048-BB741420E127}">
            <xm:f>Metrics!$B$3</xm:f>
            <x14:dxf>
              <font>
                <color rgb="FFD9D9D9"/>
              </font>
              <fill>
                <patternFill>
                  <bgColor theme="0"/>
                </patternFill>
              </fill>
            </x14:dxf>
          </x14:cfRule>
          <x14:cfRule type="cellIs" priority="157" operator="equal" id="{8030128A-1065-4060-BDA0-9CE5FBE631BC}">
            <xm:f>Metrics!$B$4</xm:f>
            <x14:dxf>
              <font>
                <color rgb="FFFFFFFF"/>
              </font>
              <fill>
                <patternFill>
                  <bgColor rgb="FFFF0000"/>
                </patternFill>
              </fill>
            </x14:dxf>
          </x14:cfRule>
          <x14:cfRule type="cellIs" priority="158" operator="equal" id="{48E17BFA-5E80-44E7-AB63-9F24B787F22B}">
            <xm:f>Metrics!$B$5</xm:f>
            <x14:dxf>
              <font>
                <color rgb="FFFFFFFF"/>
              </font>
              <fill>
                <patternFill>
                  <bgColor rgb="FFC00000"/>
                </patternFill>
              </fill>
            </x14:dxf>
          </x14:cfRule>
          <x14:cfRule type="cellIs" priority="159" operator="equal" id="{1C68D691-8094-40D5-BC6A-6AD38414B192}">
            <xm:f>Metrics!$B$6</xm:f>
            <x14:dxf>
              <font>
                <color rgb="FFFFFFFF"/>
              </font>
              <fill>
                <patternFill>
                  <bgColor theme="2" tint="-0.5"/>
                </patternFill>
              </fill>
            </x14:dxf>
          </x14:cfRule>
          <x14:cfRule type="cellIs" priority="160" operator="equal" id="{729DA848-651B-43F5-9D96-E8B22A4477D3}">
            <xm:f>Metrics!$B$7</xm:f>
            <x14:dxf>
              <font>
                <color rgb="FFFFFFFF"/>
              </font>
              <fill>
                <patternFill>
                  <bgColor rgb="FFFFC000"/>
                </patternFill>
              </fill>
            </x14:dxf>
          </x14:cfRule>
          <x14:cfRule type="cellIs" priority="161" operator="equal" id="{FE87E0DF-F5B1-4B99-B455-C76BB1CFCE9B}">
            <xm:f>Metrics!$B$10</xm:f>
            <x14:dxf>
              <font>
                <color rgb="FFFFFFFF"/>
              </font>
              <fill>
                <patternFill>
                  <bgColor rgb="FF92D050"/>
                </patternFill>
              </fill>
            </x14:dxf>
          </x14:cfRule>
          <x14:cfRule type="cellIs" priority="162" operator="equal" id="{A389BAA5-33B8-45FD-9069-C02BFF1C9ED4}">
            <xm:f>Metrics!$B$8</xm:f>
            <x14:dxf>
              <font>
                <color rgb="FFFFFFFF"/>
              </font>
              <fill>
                <patternFill>
                  <bgColor rgb="FF336600"/>
                </patternFill>
              </fill>
            </x14:dxf>
          </x14:cfRule>
          <x14:cfRule type="cellIs" priority="163" operator="equal" id="{EB11B080-6F68-4652-BFAC-14B3EBEF30EC}">
            <xm:f>Metrics!$B$9</xm:f>
            <x14:dxf>
              <font>
                <color rgb="FFFFFFFF"/>
              </font>
              <fill>
                <patternFill>
                  <bgColor theme="0" tint="-0.35"/>
                </patternFill>
              </fill>
            </x14:dxf>
          </x14:cfRule>
          <xm:sqref>D26</xm:sqref>
        </x14:conditionalFormatting>
        <x14:conditionalFormatting xmlns:xm="http://schemas.microsoft.com/office/excel/2006/main">
          <x14:cfRule type="cellIs" priority="167" operator="equal" id="{99DF4FFD-E9F2-49F2-B4DD-967D154A9868}">
            <xm:f>Metrics!$B$9</xm:f>
            <x14:dxf>
              <font>
                <color rgb="FFFFFFFF"/>
              </font>
              <fill>
                <patternFill>
                  <bgColor theme="0" tint="-0.35"/>
                </patternFill>
              </fill>
            </x14:dxf>
          </x14:cfRule>
          <x14:cfRule type="cellIs" priority="168" operator="equal" id="{D2D5B5F9-5865-40DE-B129-7CC85ECB72CD}">
            <xm:f>Metrics!$B$3</xm:f>
            <x14:dxf>
              <font>
                <color rgb="FFFFFFFF"/>
              </font>
              <fill>
                <patternFill>
                  <bgColor rgb="FF336600"/>
                </patternFill>
              </fill>
            </x14:dxf>
          </x14:cfRule>
          <x14:cfRule type="cellIs" priority="169" operator="equal" id="{DB26F234-941E-4942-A298-8E2DBE8A31F7}">
            <xm:f>Metrics!$B$4</xm:f>
            <x14:dxf>
              <font>
                <color rgb="FFFFFFFF"/>
              </font>
              <fill>
                <patternFill>
                  <bgColor rgb="FF92D050"/>
                </patternFill>
              </fill>
            </x14:dxf>
          </x14:cfRule>
          <x14:cfRule type="cellIs" priority="170" operator="equal" id="{00548ED9-2EFA-416C-BBC6-89E344368586}">
            <xm:f>Metrics!$B$5</xm:f>
            <x14:dxf>
              <font>
                <color rgb="FFFFFFFF"/>
              </font>
              <fill>
                <patternFill>
                  <bgColor rgb="FFFFC000"/>
                </patternFill>
              </fill>
            </x14:dxf>
          </x14:cfRule>
          <x14:cfRule type="cellIs" priority="171" operator="equal" id="{EE7F19AB-58F3-40C8-A514-57CAAB2A7146}">
            <xm:f>Metrics!$B$6</xm:f>
            <x14:dxf>
              <font>
                <color rgb="FFFFFFFF"/>
              </font>
              <fill>
                <patternFill>
                  <bgColor theme="2" tint="-0.5"/>
                </patternFill>
              </fill>
            </x14:dxf>
          </x14:cfRule>
          <x14:cfRule type="cellIs" priority="172" operator="equal" id="{B8D64F65-799C-4A4D-B052-CA65658F168C}">
            <xm:f>Metrics!$B$10</xm:f>
            <x14:dxf>
              <font>
                <color rgb="FFFFFFFF"/>
              </font>
              <fill>
                <patternFill>
                  <bgColor rgb="FFC00000"/>
                </patternFill>
              </fill>
            </x14:dxf>
          </x14:cfRule>
          <x14:cfRule type="cellIs" priority="173" operator="equal" id="{74746783-529D-48EE-8BFF-EE63E790B1A6}">
            <xm:f>Metrics!$B$7</xm:f>
            <x14:dxf>
              <font>
                <color rgb="FFFFFFFF"/>
              </font>
              <fill>
                <patternFill>
                  <bgColor rgb="FFFF0000"/>
                </patternFill>
              </fill>
            </x14:dxf>
          </x14:cfRule>
          <x14:cfRule type="cellIs" priority="174" operator="equal" id="{DCC2BBB9-E2EA-4DCD-9A79-EB4F23F4A0DF}">
            <xm:f>Metrics!$B$8</xm:f>
            <x14:dxf>
              <font>
                <color rgb="FFD9D9D9"/>
              </font>
              <fill>
                <patternFill>
                  <bgColor theme="0"/>
                </patternFill>
              </fill>
            </x14:dxf>
          </x14:cfRule>
          <xm:sqref>D22:D24</xm:sqref>
        </x14:conditionalFormatting>
        <x14:conditionalFormatting xmlns:xm="http://schemas.microsoft.com/office/excel/2006/main">
          <x14:cfRule type="cellIs" priority="178" operator="equal" id="{C2521597-72E3-4EF0-B25B-52CBAA8CEE10}">
            <xm:f>Metrics!$B$3</xm:f>
            <x14:dxf>
              <font>
                <color rgb="FFFFFFFF"/>
              </font>
              <fill>
                <patternFill>
                  <bgColor theme="0" tint="-0.35"/>
                </patternFill>
              </fill>
            </x14:dxf>
          </x14:cfRule>
          <x14:cfRule type="cellIs" priority="179" operator="equal" id="{333BDE9F-A043-42C1-BA30-FC3C309CB0F7}">
            <xm:f>Metrics!$B$4</xm:f>
            <x14:dxf>
              <font>
                <color rgb="FFD9D9D9"/>
              </font>
              <fill>
                <patternFill>
                  <bgColor theme="0"/>
                </patternFill>
              </fill>
            </x14:dxf>
          </x14:cfRule>
          <x14:cfRule type="cellIs" priority="180" operator="equal" id="{D411D01F-274D-43BC-877D-46831532A218}">
            <xm:f>Metrics!$B$5</xm:f>
            <x14:dxf>
              <font>
                <color rgb="FFFFFFFF"/>
              </font>
              <fill>
                <patternFill>
                  <bgColor rgb="FFFF0000"/>
                </patternFill>
              </fill>
            </x14:dxf>
          </x14:cfRule>
          <x14:cfRule type="cellIs" priority="181" operator="equal" id="{D1DFCBD3-F599-47A0-A798-56DC4036C827}">
            <xm:f>Metrics!$B$6</xm:f>
            <x14:dxf>
              <font>
                <color rgb="FFFFFFFF"/>
              </font>
              <fill>
                <patternFill>
                  <bgColor rgb="FFC00000"/>
                </patternFill>
              </fill>
            </x14:dxf>
          </x14:cfRule>
          <x14:cfRule type="cellIs" priority="182" operator="equal" id="{53F99821-E4C2-4331-8E98-F573F51DC6A7}">
            <xm:f>Metrics!$B$7</xm:f>
            <x14:dxf>
              <font>
                <color rgb="FFFFFFFF"/>
              </font>
              <fill>
                <patternFill>
                  <bgColor theme="2" tint="-0.5"/>
                </patternFill>
              </fill>
            </x14:dxf>
          </x14:cfRule>
          <x14:cfRule type="cellIs" priority="183" operator="equal" id="{7BD06AFC-E921-4660-89A9-E2FA2DA65E39}">
            <xm:f>Metrics!$B$8</xm:f>
            <x14:dxf>
              <font>
                <color rgb="FFFFFFFF"/>
              </font>
              <fill>
                <patternFill>
                  <bgColor rgb="FFFFC000"/>
                </patternFill>
              </fill>
            </x14:dxf>
          </x14:cfRule>
          <x14:cfRule type="cellIs" priority="184" operator="equal" id="{EA3F57A4-D2A4-496E-A561-D044E46168A0}">
            <xm:f>Metrics!$B$9</xm:f>
            <x14:dxf>
              <font>
                <color rgb="FFFFFFFF"/>
              </font>
              <fill>
                <patternFill>
                  <bgColor rgb="FF92D050"/>
                </patternFill>
              </fill>
            </x14:dxf>
          </x14:cfRule>
          <x14:cfRule type="cellIs" priority="185" operator="equal" id="{2FE8889C-9EB1-42B9-AACA-69E3E1516E80}">
            <xm:f>Metrics!$B$10</xm:f>
            <x14:dxf>
              <font>
                <color rgb="FFFFFFFF"/>
              </font>
              <fill>
                <patternFill>
                  <bgColor rgb="FF336600"/>
                </patternFill>
              </fill>
            </x14:dxf>
          </x14:cfRule>
          <xm:sqref>D5</xm:sqref>
        </x14:conditionalFormatting>
        <x14:conditionalFormatting xmlns:xm="http://schemas.microsoft.com/office/excel/2006/main">
          <x14:cfRule type="cellIs" priority="189" operator="equal" id="{ED2DD694-A520-4D67-8760-6D93D8AF2EB7}">
            <xm:f>Metrics!$B$3</xm:f>
            <x14:dxf>
              <font>
                <color rgb="FFFFFFFF"/>
              </font>
              <fill>
                <patternFill>
                  <bgColor theme="2" tint="-0.5"/>
                </patternFill>
              </fill>
            </x14:dxf>
          </x14:cfRule>
          <x14:cfRule type="cellIs" priority="190" operator="equal" id="{77C6A957-B948-43B2-9757-885FEA36989B}">
            <xm:f>Metrics!$B$4</xm:f>
            <x14:dxf>
              <font>
                <color rgb="FFFFFFFF"/>
              </font>
              <fill>
                <patternFill>
                  <bgColor theme="0" tint="-0.35"/>
                </patternFill>
              </fill>
            </x14:dxf>
          </x14:cfRule>
          <x14:cfRule type="cellIs" priority="191" operator="equal" id="{58257878-A55E-4A2F-A9A6-CFB4E52248BF}">
            <xm:f>Metrics!$B$5</xm:f>
            <x14:dxf>
              <font>
                <color rgb="FFFFFFFF"/>
              </font>
              <fill>
                <patternFill>
                  <bgColor rgb="FF336600"/>
                </patternFill>
              </fill>
            </x14:dxf>
          </x14:cfRule>
          <x14:cfRule type="cellIs" priority="192" operator="equal" id="{317BC01C-F4E1-457F-B2BA-50C4B2BE8AD4}">
            <xm:f>Metrics!$B$6</xm:f>
            <x14:dxf>
              <font>
                <color rgb="FFFFFFFF"/>
              </font>
              <fill>
                <patternFill>
                  <bgColor rgb="FF92D050"/>
                </patternFill>
              </fill>
            </x14:dxf>
          </x14:cfRule>
          <x14:cfRule type="cellIs" priority="193" operator="equal" id="{B6479532-2059-47BE-99D7-F1196280A596}">
            <xm:f>Metrics!$B$7</xm:f>
            <x14:dxf>
              <font>
                <color rgb="FFFFFFFF"/>
              </font>
              <fill>
                <patternFill>
                  <bgColor rgb="FFFFC000"/>
                </patternFill>
              </fill>
            </x14:dxf>
          </x14:cfRule>
          <x14:cfRule type="cellIs" priority="194" operator="equal" id="{71201485-D4C0-45F6-85B0-1A5E6F1F6072}">
            <xm:f>Metrics!$B$8</xm:f>
            <x14:dxf>
              <font>
                <color rgb="FFD9D9D9"/>
              </font>
              <fill>
                <patternFill>
                  <bgColor theme="0"/>
                </patternFill>
              </fill>
            </x14:dxf>
          </x14:cfRule>
          <x14:cfRule type="cellIs" priority="195" operator="equal" id="{C970F23B-3050-42A3-9DE3-9A698010B2D7}">
            <xm:f>Metrics!$B$9</xm:f>
            <x14:dxf>
              <font>
                <color rgb="FFFFFFFF"/>
              </font>
              <fill>
                <patternFill>
                  <bgColor rgb="FFC00000"/>
                </patternFill>
              </fill>
            </x14:dxf>
          </x14:cfRule>
          <x14:cfRule type="cellIs" priority="196" operator="equal" id="{6246B2E6-16BF-4527-95A1-408654ABF66C}">
            <xm:f>Metrics!$B$10</xm:f>
            <x14:dxf>
              <font>
                <color rgb="FFFFFFFF"/>
              </font>
              <fill>
                <patternFill>
                  <bgColor rgb="FFFF0000"/>
                </patternFill>
              </fill>
            </x14:dxf>
          </x14:cfRule>
          <xm:sqref>D19</xm:sqref>
        </x14:conditionalFormatting>
        <x14:conditionalFormatting xmlns:xm="http://schemas.microsoft.com/office/excel/2006/main">
          <x14:cfRule type="cellIs" priority="200" operator="equal" id="{C4CE8819-808B-42B2-AEC0-D281DD1868C2}">
            <xm:f>Metrics!$B$10</xm:f>
            <x14:dxf>
              <font>
                <color rgb="FFD9D9D9"/>
              </font>
              <fill>
                <patternFill>
                  <bgColor theme="0"/>
                </patternFill>
              </fill>
            </x14:dxf>
          </x14:cfRule>
          <x14:cfRule type="cellIs" priority="201" operator="equal" id="{ABB070C6-C0DA-4ACE-A220-92F92179BE87}">
            <xm:f>Metrics!$B$9</xm:f>
            <x14:dxf>
              <font>
                <color rgb="FFFFFFFF"/>
              </font>
              <fill>
                <patternFill>
                  <bgColor rgb="FFFF0000"/>
                </patternFill>
              </fill>
            </x14:dxf>
          </x14:cfRule>
          <x14:cfRule type="cellIs" priority="202" operator="equal" id="{F47D51ED-E550-4E50-B3F0-88D039B26FAB}">
            <xm:f>Metrics!$B$8</xm:f>
            <x14:dxf>
              <font>
                <color rgb="FFFFFFFF"/>
              </font>
              <fill>
                <patternFill>
                  <bgColor rgb="FFC00000"/>
                </patternFill>
              </fill>
            </x14:dxf>
          </x14:cfRule>
          <x14:cfRule type="cellIs" priority="203" operator="equal" id="{9667F3E7-98C4-49C0-BD41-EE2938653D80}">
            <xm:f>Metrics!$B$7</xm:f>
            <x14:dxf>
              <font>
                <color rgb="FFFFFFFF"/>
              </font>
              <fill>
                <patternFill>
                  <bgColor theme="2" tint="-0.5"/>
                </patternFill>
              </fill>
            </x14:dxf>
          </x14:cfRule>
          <x14:cfRule type="cellIs" priority="204" operator="equal" id="{60C43231-4FC0-48AE-84A0-A8A75FC088D9}">
            <xm:f>Metrics!$B$6</xm:f>
            <x14:dxf>
              <font>
                <color rgb="FFFFFFFF"/>
              </font>
              <fill>
                <patternFill>
                  <bgColor rgb="FFFFC000"/>
                </patternFill>
              </fill>
            </x14:dxf>
          </x14:cfRule>
          <x14:cfRule type="cellIs" priority="205" operator="equal" id="{15B4ECD1-5D14-4493-8CE8-33F8ABAC3D71}">
            <xm:f>Metrics!$B$5</xm:f>
            <x14:dxf>
              <font>
                <color rgb="FFFFFFFF"/>
              </font>
              <fill>
                <patternFill>
                  <bgColor rgb="FF92D050"/>
                </patternFill>
              </fill>
            </x14:dxf>
          </x14:cfRule>
          <x14:cfRule type="cellIs" priority="206" operator="equal" id="{D483D047-23B0-472C-AED5-C4E45453A97B}">
            <xm:f>Metrics!$B$4</xm:f>
            <x14:dxf>
              <font>
                <color rgb="FFFFFFFF"/>
              </font>
              <fill>
                <patternFill>
                  <bgColor rgb="FF336600"/>
                </patternFill>
              </fill>
            </x14:dxf>
          </x14:cfRule>
          <x14:cfRule type="cellIs" priority="207" operator="equal" id="{2A4F2019-BCCC-4DCE-86A9-10FEDA89EF79}">
            <xm:f>Metrics!$B$3</xm:f>
            <x14:dxf>
              <font>
                <color rgb="FFFFFFFF"/>
              </font>
              <fill>
                <patternFill>
                  <bgColor theme="0" tint="-0.35"/>
                </patternFill>
              </fill>
            </x14:dxf>
          </x14:cfRule>
          <xm:sqref>D17</xm:sqref>
        </x14:conditionalFormatting>
        <x14:conditionalFormatting xmlns:xm="http://schemas.microsoft.com/office/excel/2006/main">
          <x14:cfRule type="cellIs" priority="211" operator="equal" id="{B8E9D99C-4F32-4364-9752-198E16DB1057}">
            <xm:f>Metrics!$B$3</xm:f>
            <x14:dxf>
              <font>
                <color rgb="FFFFFFFF"/>
              </font>
              <fill>
                <patternFill>
                  <bgColor theme="0" tint="-0.35"/>
                </patternFill>
              </fill>
            </x14:dxf>
          </x14:cfRule>
          <x14:cfRule type="cellIs" priority="212" operator="equal" id="{1DF0F7CA-8C84-4F7A-B244-E895FB90BCB0}">
            <xm:f>Metrics!$B$4</xm:f>
            <x14:dxf>
              <font>
                <color rgb="FFFFFFFF"/>
              </font>
              <fill>
                <patternFill>
                  <bgColor rgb="FF336600"/>
                </patternFill>
              </fill>
            </x14:dxf>
          </x14:cfRule>
          <x14:cfRule type="cellIs" priority="213" operator="equal" id="{597B74D7-A140-40AA-86BA-24BDB07358B8}">
            <xm:f>Metrics!$B$5</xm:f>
            <x14:dxf>
              <font>
                <color rgb="FFFFFFFF"/>
              </font>
              <fill>
                <patternFill>
                  <bgColor rgb="FF92D050"/>
                </patternFill>
              </fill>
            </x14:dxf>
          </x14:cfRule>
          <x14:cfRule type="cellIs" priority="214" operator="equal" id="{B34073CF-DCDF-4160-B814-53CA645C50BA}">
            <xm:f>Metrics!$B$6</xm:f>
            <x14:dxf>
              <font>
                <color rgb="FFFFFFFF"/>
              </font>
              <fill>
                <patternFill>
                  <bgColor rgb="FFFFC000"/>
                </patternFill>
              </fill>
            </x14:dxf>
          </x14:cfRule>
          <x14:cfRule type="cellIs" priority="215" operator="equal" id="{717738CC-AE20-41B9-BBFD-346DC9EC4B12}">
            <xm:f>Metrics!$B$7</xm:f>
            <x14:dxf>
              <font>
                <color rgb="FFFFFFFF"/>
              </font>
              <fill>
                <patternFill>
                  <bgColor theme="2" tint="-0.5"/>
                </patternFill>
              </fill>
            </x14:dxf>
          </x14:cfRule>
          <x14:cfRule type="cellIs" priority="216" operator="equal" id="{795D9BD6-3B1A-4D82-A950-A093D374F9A3}">
            <xm:f>Metrics!$B$8</xm:f>
            <x14:dxf>
              <font>
                <color rgb="FFFFFFFF"/>
              </font>
              <fill>
                <patternFill>
                  <bgColor rgb="FFC00000"/>
                </patternFill>
              </fill>
            </x14:dxf>
          </x14:cfRule>
          <x14:cfRule type="cellIs" priority="217" operator="equal" id="{97B99FA6-639B-40CA-B828-7096DF68F952}">
            <xm:f>Metrics!$B$9</xm:f>
            <x14:dxf>
              <font>
                <color rgb="FFFFFFFF"/>
              </font>
              <fill>
                <patternFill>
                  <bgColor rgb="FFFF0000"/>
                </patternFill>
              </fill>
            </x14:dxf>
          </x14:cfRule>
          <x14:cfRule type="cellIs" priority="218" operator="equal" id="{7BF3C7B0-30E4-401A-BEF4-4ACF3E33F9C3}">
            <xm:f>Metrics!$B$10</xm:f>
            <x14:dxf>
              <font>
                <color rgb="FFD9D9D9"/>
              </font>
              <fill>
                <patternFill>
                  <bgColor theme="0"/>
                </patternFill>
              </fill>
            </x14:dxf>
          </x14:cfRule>
          <xm:sqref>D15</xm:sqref>
        </x14:conditionalFormatting>
        <x14:conditionalFormatting xmlns:xm="http://schemas.microsoft.com/office/excel/2006/main">
          <x14:cfRule type="cellIs" priority="222" operator="equal" id="{8C6F907E-9DD0-4E2D-9D64-5024CEF5F259}">
            <xm:f>Metrics!$B$10</xm:f>
            <x14:dxf>
              <font>
                <color rgb="FFFFFFFF"/>
              </font>
              <fill>
                <patternFill>
                  <bgColor theme="0" tint="-0.35"/>
                </patternFill>
              </fill>
            </x14:dxf>
          </x14:cfRule>
          <x14:cfRule type="cellIs" priority="223" operator="equal" id="{F074D555-9955-42E0-A82E-6A5317E0541C}">
            <xm:f>Metrics!$B$9</xm:f>
            <x14:dxf>
              <font>
                <color rgb="FFD9D9D9"/>
              </font>
              <fill>
                <patternFill>
                  <bgColor theme="0"/>
                </patternFill>
              </fill>
            </x14:dxf>
          </x14:cfRule>
          <x14:cfRule type="cellIs" priority="224" operator="equal" id="{66ABD5DD-168B-44F3-9272-4F60A754B0A1}">
            <xm:f>Metrics!$B$8</xm:f>
            <x14:dxf>
              <font>
                <color rgb="FFFFFFFF"/>
              </font>
              <fill>
                <patternFill>
                  <bgColor rgb="FFFF0000"/>
                </patternFill>
              </fill>
            </x14:dxf>
          </x14:cfRule>
          <x14:cfRule type="cellIs" priority="225" operator="equal" id="{504D7D57-1DA3-40A2-B0C4-97174B967E74}">
            <xm:f>Metrics!$B$7</xm:f>
            <x14:dxf>
              <font>
                <color rgb="FFFFFFFF"/>
              </font>
              <fill>
                <patternFill>
                  <bgColor rgb="FFC00000"/>
                </patternFill>
              </fill>
            </x14:dxf>
          </x14:cfRule>
          <x14:cfRule type="cellIs" priority="226" operator="equal" id="{7968D02E-865D-48AF-875B-E061FA87E04B}">
            <xm:f>Metrics!$B$6</xm:f>
            <x14:dxf>
              <font>
                <color rgb="FFFFFFFF"/>
              </font>
              <fill>
                <patternFill>
                  <bgColor theme="2" tint="-0.5"/>
                </patternFill>
              </fill>
            </x14:dxf>
          </x14:cfRule>
          <x14:cfRule type="cellIs" priority="227" operator="equal" id="{DB76463B-57A5-4CD9-B46C-D0B7B5493A80}">
            <xm:f>Metrics!$B$5</xm:f>
            <x14:dxf>
              <font>
                <color rgb="FFFFFFFF"/>
              </font>
              <fill>
                <patternFill>
                  <bgColor rgb="FFFFC000"/>
                </patternFill>
              </fill>
            </x14:dxf>
          </x14:cfRule>
          <x14:cfRule type="cellIs" priority="228" operator="equal" id="{261B40E1-EA42-44B1-96B2-5A8EE24FB71E}">
            <xm:f>Metrics!$B$3</xm:f>
            <x14:dxf>
              <font>
                <color rgb="FFFFFFFF"/>
              </font>
              <fill>
                <patternFill>
                  <bgColor rgb="FF92D050"/>
                </patternFill>
              </fill>
            </x14:dxf>
          </x14:cfRule>
          <x14:cfRule type="cellIs" priority="229" operator="equal" id="{74B9C9D3-C387-4DDC-B2EC-BAD7D18BEA64}">
            <xm:f>Metrics!$B$4</xm:f>
            <x14:dxf>
              <font>
                <color rgb="FFFFFFFF"/>
              </font>
              <fill>
                <patternFill>
                  <bgColor rgb="FF336600"/>
                </patternFill>
              </fill>
            </x14:dxf>
          </x14:cfRule>
          <xm:sqref>D12</xm:sqref>
        </x14:conditionalFormatting>
        <x14:conditionalFormatting xmlns:xm="http://schemas.microsoft.com/office/excel/2006/main">
          <x14:cfRule type="cellIs" priority="233" operator="equal" id="{2E9293EF-FAA9-4BC3-A350-88D41070AADF}">
            <xm:f>Metrics!$B$3</xm:f>
            <x14:dxf>
              <font>
                <color rgb="FFFFFFFF"/>
              </font>
              <fill>
                <patternFill>
                  <bgColor theme="2" tint="-0.5"/>
                </patternFill>
              </fill>
            </x14:dxf>
          </x14:cfRule>
          <x14:cfRule type="cellIs" priority="234" operator="equal" id="{B234AF53-BB1D-46E9-B8E0-922EA0D6E55E}">
            <xm:f>Metrics!$B$4</xm:f>
            <x14:dxf>
              <font>
                <color rgb="FFFFFFFF"/>
              </font>
              <fill>
                <patternFill>
                  <bgColor theme="0" tint="-0.35"/>
                </patternFill>
              </fill>
            </x14:dxf>
          </x14:cfRule>
          <x14:cfRule type="cellIs" priority="235" operator="equal" id="{ABDB90D5-E53E-4796-80C2-3AC17217F01B}">
            <xm:f>Metrics!$B$5</xm:f>
            <x14:dxf>
              <font>
                <color rgb="FFFFFFFF"/>
              </font>
              <fill>
                <patternFill>
                  <bgColor rgb="FF336600"/>
                </patternFill>
              </fill>
            </x14:dxf>
          </x14:cfRule>
          <x14:cfRule type="cellIs" priority="236" operator="equal" id="{20608E88-7390-4EAD-93F0-9BE2A1CEABA2}">
            <xm:f>Metrics!$B$6</xm:f>
            <x14:dxf>
              <font>
                <color rgb="FFFFFFFF"/>
              </font>
              <fill>
                <patternFill>
                  <bgColor rgb="FF92D050"/>
                </patternFill>
              </fill>
            </x14:dxf>
          </x14:cfRule>
          <x14:cfRule type="cellIs" priority="237" operator="equal" id="{433514EA-DB9B-4A8A-8647-D33AE1FF92A9}">
            <xm:f>Metrics!$B$7</xm:f>
            <x14:dxf>
              <font>
                <color rgb="FFFFFFFF"/>
              </font>
              <fill>
                <patternFill>
                  <bgColor rgb="FFFFC000"/>
                </patternFill>
              </fill>
            </x14:dxf>
          </x14:cfRule>
          <x14:cfRule type="cellIs" priority="238" operator="equal" id="{FEBAB4B0-E4B0-4061-9A14-C8AABE3C60BD}">
            <xm:f>Metrics!$B$8</xm:f>
            <x14:dxf>
              <font>
                <color rgb="FFD9D9D9"/>
              </font>
              <fill>
                <patternFill>
                  <bgColor theme="0"/>
                </patternFill>
              </fill>
            </x14:dxf>
          </x14:cfRule>
          <x14:cfRule type="cellIs" priority="239" operator="equal" id="{2DECD14E-F8A2-4543-946E-90BE61BFF4C3}">
            <xm:f>Metrics!$B$9</xm:f>
            <x14:dxf>
              <font>
                <color rgb="FFFFFFFF"/>
              </font>
              <fill>
                <patternFill>
                  <bgColor rgb="FFC00000"/>
                </patternFill>
              </fill>
            </x14:dxf>
          </x14:cfRule>
          <x14:cfRule type="cellIs" priority="240" operator="equal" id="{BF7C386E-D7C6-4210-8416-424061F02055}">
            <xm:f>Metrics!$B$10</xm:f>
            <x14:dxf>
              <font>
                <color rgb="FFFFFFFF"/>
              </font>
              <fill>
                <patternFill>
                  <bgColor rgb="FFFF0000"/>
                </patternFill>
              </fill>
            </x14:dxf>
          </x14:cfRule>
          <xm:sqref>D10</xm:sqref>
        </x14:conditionalFormatting>
        <x14:conditionalFormatting xmlns:xm="http://schemas.microsoft.com/office/excel/2006/main">
          <x14:cfRule type="cellIs" priority="244" operator="equal" id="{761393C6-1095-4E92-903E-3162BB80A442}">
            <xm:f>Metrics!$B$8</xm:f>
            <x14:dxf>
              <font>
                <color rgb="FFD9D9D9"/>
              </font>
              <fill>
                <patternFill>
                  <bgColor theme="0"/>
                </patternFill>
              </fill>
            </x14:dxf>
          </x14:cfRule>
          <x14:cfRule type="cellIs" priority="245" operator="equal" id="{E46CD722-3540-40C5-875B-2AABA69821BF}">
            <xm:f>Metrics!$B$3</xm:f>
            <x14:dxf>
              <font>
                <color rgb="FFFFFFFF"/>
              </font>
              <fill>
                <patternFill>
                  <bgColor rgb="FFFF0000"/>
                </patternFill>
              </fill>
            </x14:dxf>
          </x14:cfRule>
          <x14:cfRule type="cellIs" priority="246" operator="equal" id="{A459DF91-D021-4044-BA5F-8D375C806D5E}">
            <xm:f>Metrics!$B$4</xm:f>
            <x14:dxf>
              <font>
                <color rgb="FFFFFFFF"/>
              </font>
              <fill>
                <patternFill>
                  <bgColor rgb="FFC00000"/>
                </patternFill>
              </fill>
            </x14:dxf>
          </x14:cfRule>
          <x14:cfRule type="cellIs" priority="247" operator="equal" id="{103BB2C0-874A-4490-94A0-B0291D409BF7}">
            <xm:f>Metrics!$B$5</xm:f>
            <x14:dxf>
              <font>
                <color rgb="FFFFFFFF"/>
              </font>
              <fill>
                <patternFill>
                  <bgColor theme="2" tint="-0.5"/>
                </patternFill>
              </fill>
            </x14:dxf>
          </x14:cfRule>
          <x14:cfRule type="cellIs" priority="248" operator="equal" id="{BC8DBF29-786C-4E6D-B73C-FA2B58EC5885}">
            <xm:f>Metrics!$B$6</xm:f>
            <x14:dxf>
              <font>
                <color rgb="FFFFFFFF"/>
              </font>
              <fill>
                <patternFill>
                  <bgColor rgb="FFFFC000"/>
                </patternFill>
              </fill>
            </x14:dxf>
          </x14:cfRule>
          <x14:cfRule type="cellIs" priority="249" operator="equal" id="{AFE87781-2D57-462D-9765-27C16989EE27}">
            <xm:f>Metrics!$B$7</xm:f>
            <x14:dxf>
              <font>
                <color rgb="FFFFFFFF"/>
              </font>
              <fill>
                <patternFill>
                  <bgColor rgb="FF92D050"/>
                </patternFill>
              </fill>
            </x14:dxf>
          </x14:cfRule>
          <x14:cfRule type="cellIs" priority="250" operator="equal" id="{AB622091-24CF-4E63-9BD4-64C01DAFC126}">
            <xm:f>Metrics!$B$9</xm:f>
            <x14:dxf>
              <font>
                <color rgb="FFFFFFFF"/>
              </font>
              <fill>
                <patternFill>
                  <bgColor rgb="FF336600"/>
                </patternFill>
              </fill>
            </x14:dxf>
          </x14:cfRule>
          <x14:cfRule type="cellIs" priority="251" operator="equal" id="{6654FFB9-598A-4111-A240-1054BFD3A72D}">
            <xm:f>Metrics!$B$10</xm:f>
            <x14:dxf>
              <font>
                <color rgb="FFFFFFFF"/>
              </font>
              <fill>
                <patternFill>
                  <bgColor theme="0" tint="-0.35"/>
                </patternFill>
              </fill>
            </x14:dxf>
          </x14:cfRule>
          <xm:sqref>D7:D8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0"/>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1" ySplit="2" topLeftCell="B18" activePane="bottomRight" state="frozen"/>
      <selection pane="topLeft" activeCell="A1" activeCellId="0" sqref="A1"/>
      <selection pane="topRight" activeCell="B1" activeCellId="0" sqref="B1"/>
      <selection pane="bottomLeft" activeCell="A18" activeCellId="0" sqref="A18"/>
      <selection pane="bottomRight" activeCell="C28" activeCellId="0" sqref="C28"/>
    </sheetView>
  </sheetViews>
  <sheetFormatPr defaultColWidth="11.578125" defaultRowHeight="14.25" zeroHeight="false" outlineLevelRow="0" outlineLevelCol="0"/>
  <cols>
    <col collapsed="false" customWidth="true" hidden="false" outlineLevel="0" max="1" min="1" style="54" width="1.62"/>
    <col collapsed="false" customWidth="true" hidden="false" outlineLevel="0" max="2" min="2" style="54" width="8.63"/>
    <col collapsed="false" customWidth="true" hidden="false" outlineLevel="0" max="3" min="3" style="55" width="75.72"/>
    <col collapsed="false" customWidth="true" hidden="false" outlineLevel="0" max="4" min="4" style="56" width="14.69"/>
    <col collapsed="false" customWidth="true" hidden="false" outlineLevel="0" max="5" min="5" style="54" width="75.24"/>
    <col collapsed="false" customWidth="true" hidden="false" outlineLevel="0" max="252" min="6" style="57" width="30.34"/>
    <col collapsed="false" customWidth="false" hidden="false" outlineLevel="0" max="16384" min="253" style="58" width="11.58"/>
  </cols>
  <sheetData>
    <row r="1" s="61" customFormat="true" ht="32.25" hidden="false" customHeight="true" outlineLevel="0" collapsed="false">
      <c r="A1" s="59"/>
      <c r="B1" s="60" t="s">
        <v>95</v>
      </c>
      <c r="C1" s="60"/>
      <c r="D1" s="60"/>
      <c r="E1" s="60"/>
    </row>
    <row r="2" s="14" customFormat="true" ht="21.75" hidden="false" customHeight="true" outlineLevel="0" collapsed="false">
      <c r="B2" s="62" t="s">
        <v>20</v>
      </c>
      <c r="C2" s="63" t="s">
        <v>96</v>
      </c>
      <c r="D2" s="64" t="s">
        <v>22</v>
      </c>
      <c r="E2" s="65" t="s">
        <v>97</v>
      </c>
    </row>
    <row r="3" s="66" customFormat="true" ht="32.1" hidden="false" customHeight="true" outlineLevel="0" collapsed="false">
      <c r="B3" s="67" t="s">
        <v>98</v>
      </c>
      <c r="C3" s="68" t="s">
        <v>99</v>
      </c>
      <c r="D3" s="68"/>
      <c r="E3" s="68"/>
    </row>
    <row r="4" s="29" customFormat="true" ht="22.5" hidden="false" customHeight="true" outlineLevel="0" collapsed="false">
      <c r="B4" s="69" t="s">
        <v>100</v>
      </c>
      <c r="C4" s="70" t="s">
        <v>101</v>
      </c>
      <c r="D4" s="32" t="s">
        <v>65</v>
      </c>
      <c r="E4" s="71"/>
    </row>
    <row r="5" s="29" customFormat="true" ht="22.5" hidden="false" customHeight="true" outlineLevel="0" collapsed="false">
      <c r="B5" s="69" t="s">
        <v>102</v>
      </c>
      <c r="C5" s="70" t="s">
        <v>103</v>
      </c>
      <c r="D5" s="32" t="s">
        <v>65</v>
      </c>
      <c r="E5" s="71"/>
    </row>
    <row r="6" s="29" customFormat="true" ht="22.5" hidden="false" customHeight="true" outlineLevel="0" collapsed="false">
      <c r="B6" s="69" t="s">
        <v>104</v>
      </c>
      <c r="C6" s="70" t="s">
        <v>105</v>
      </c>
      <c r="D6" s="32" t="s">
        <v>65</v>
      </c>
      <c r="E6" s="71"/>
    </row>
    <row r="7" s="29" customFormat="true" ht="22.5" hidden="false" customHeight="true" outlineLevel="0" collapsed="false">
      <c r="B7" s="69" t="s">
        <v>106</v>
      </c>
      <c r="C7" s="70" t="s">
        <v>107</v>
      </c>
      <c r="D7" s="32" t="s">
        <v>65</v>
      </c>
      <c r="E7" s="71"/>
    </row>
    <row r="8" s="29" customFormat="true" ht="22.5" hidden="false" customHeight="true" outlineLevel="0" collapsed="false">
      <c r="B8" s="69" t="s">
        <v>108</v>
      </c>
      <c r="C8" s="70" t="s">
        <v>109</v>
      </c>
      <c r="D8" s="32" t="s">
        <v>65</v>
      </c>
      <c r="E8" s="71"/>
    </row>
    <row r="9" s="29" customFormat="true" ht="22.5" hidden="false" customHeight="true" outlineLevel="0" collapsed="false">
      <c r="B9" s="69" t="s">
        <v>110</v>
      </c>
      <c r="C9" s="70" t="s">
        <v>111</v>
      </c>
      <c r="D9" s="32" t="s">
        <v>65</v>
      </c>
      <c r="E9" s="71"/>
    </row>
    <row r="10" s="29" customFormat="true" ht="22.5" hidden="false" customHeight="true" outlineLevel="0" collapsed="false">
      <c r="B10" s="69" t="s">
        <v>112</v>
      </c>
      <c r="C10" s="70" t="s">
        <v>113</v>
      </c>
      <c r="D10" s="32" t="s">
        <v>65</v>
      </c>
      <c r="E10" s="71"/>
    </row>
    <row r="11" s="29" customFormat="true" ht="22.5" hidden="false" customHeight="true" outlineLevel="0" collapsed="false">
      <c r="B11" s="69" t="s">
        <v>114</v>
      </c>
      <c r="C11" s="70" t="s">
        <v>115</v>
      </c>
      <c r="D11" s="32" t="s">
        <v>37</v>
      </c>
      <c r="E11" s="71"/>
    </row>
    <row r="12" s="29" customFormat="true" ht="22.5" hidden="false" customHeight="true" outlineLevel="0" collapsed="false">
      <c r="B12" s="69" t="s">
        <v>116</v>
      </c>
      <c r="C12" s="70" t="s">
        <v>117</v>
      </c>
      <c r="D12" s="32" t="s">
        <v>37</v>
      </c>
      <c r="E12" s="71"/>
    </row>
    <row r="13" s="29" customFormat="true" ht="22.5" hidden="false" customHeight="true" outlineLevel="0" collapsed="false">
      <c r="B13" s="69" t="s">
        <v>118</v>
      </c>
      <c r="C13" s="70" t="s">
        <v>119</v>
      </c>
      <c r="D13" s="32" t="s">
        <v>37</v>
      </c>
      <c r="E13" s="71"/>
    </row>
    <row r="14" s="29" customFormat="true" ht="22.5" hidden="false" customHeight="true" outlineLevel="0" collapsed="false">
      <c r="B14" s="69" t="s">
        <v>120</v>
      </c>
      <c r="C14" s="70" t="s">
        <v>121</v>
      </c>
      <c r="D14" s="32" t="s">
        <v>37</v>
      </c>
      <c r="E14" s="71"/>
    </row>
    <row r="15" s="29" customFormat="true" ht="22.5" hidden="false" customHeight="true" outlineLevel="0" collapsed="false">
      <c r="B15" s="69" t="s">
        <v>122</v>
      </c>
      <c r="C15" s="70" t="s">
        <v>123</v>
      </c>
      <c r="D15" s="32" t="s">
        <v>37</v>
      </c>
      <c r="E15" s="71"/>
    </row>
    <row r="16" s="29" customFormat="true" ht="22.5" hidden="false" customHeight="true" outlineLevel="0" collapsed="false">
      <c r="B16" s="69" t="s">
        <v>124</v>
      </c>
      <c r="C16" s="70" t="s">
        <v>125</v>
      </c>
      <c r="D16" s="32" t="s">
        <v>37</v>
      </c>
      <c r="E16" s="71"/>
    </row>
    <row r="17" s="29" customFormat="true" ht="22.5" hidden="false" customHeight="true" outlineLevel="0" collapsed="false">
      <c r="B17" s="69" t="s">
        <v>126</v>
      </c>
      <c r="C17" s="70" t="s">
        <v>127</v>
      </c>
      <c r="D17" s="32" t="s">
        <v>37</v>
      </c>
      <c r="E17" s="71"/>
    </row>
    <row r="18" s="29" customFormat="true" ht="22.5" hidden="false" customHeight="true" outlineLevel="0" collapsed="false">
      <c r="B18" s="69" t="s">
        <v>128</v>
      </c>
      <c r="C18" s="70" t="s">
        <v>129</v>
      </c>
      <c r="D18" s="32" t="s">
        <v>37</v>
      </c>
      <c r="E18" s="71"/>
    </row>
    <row r="19" s="29" customFormat="true" ht="22.5" hidden="false" customHeight="true" outlineLevel="0" collapsed="false">
      <c r="B19" s="69" t="s">
        <v>130</v>
      </c>
      <c r="C19" s="70" t="s">
        <v>131</v>
      </c>
      <c r="D19" s="32" t="s">
        <v>37</v>
      </c>
      <c r="E19" s="71"/>
    </row>
    <row r="20" s="29" customFormat="true" ht="22.5" hidden="false" customHeight="true" outlineLevel="0" collapsed="false">
      <c r="B20" s="69" t="s">
        <v>132</v>
      </c>
      <c r="C20" s="70" t="s">
        <v>133</v>
      </c>
      <c r="D20" s="32" t="s">
        <v>37</v>
      </c>
      <c r="E20" s="71"/>
    </row>
    <row r="21" s="29" customFormat="true" ht="22.5" hidden="false" customHeight="true" outlineLevel="0" collapsed="false">
      <c r="B21" s="69" t="s">
        <v>134</v>
      </c>
      <c r="C21" s="70" t="s">
        <v>135</v>
      </c>
      <c r="D21" s="32" t="s">
        <v>37</v>
      </c>
      <c r="E21" s="71"/>
    </row>
    <row r="22" s="29" customFormat="true" ht="22.5" hidden="false" customHeight="true" outlineLevel="0" collapsed="false">
      <c r="B22" s="69" t="s">
        <v>136</v>
      </c>
      <c r="C22" s="70" t="s">
        <v>137</v>
      </c>
      <c r="D22" s="32" t="s">
        <v>37</v>
      </c>
      <c r="E22" s="71"/>
    </row>
    <row r="23" s="29" customFormat="true" ht="22.5" hidden="false" customHeight="true" outlineLevel="0" collapsed="false">
      <c r="B23" s="69" t="s">
        <v>138</v>
      </c>
      <c r="C23" s="70" t="s">
        <v>139</v>
      </c>
      <c r="D23" s="32" t="s">
        <v>27</v>
      </c>
      <c r="E23" s="71"/>
    </row>
    <row r="24" s="29" customFormat="true" ht="34.3" hidden="false" customHeight="false" outlineLevel="0" collapsed="false">
      <c r="B24" s="69" t="s">
        <v>140</v>
      </c>
      <c r="C24" s="72" t="s">
        <v>141</v>
      </c>
      <c r="D24" s="32" t="s">
        <v>27</v>
      </c>
      <c r="E24" s="71"/>
    </row>
    <row r="25" s="29" customFormat="true" ht="22.5" hidden="false" customHeight="true" outlineLevel="0" collapsed="false">
      <c r="B25" s="69" t="s">
        <v>142</v>
      </c>
      <c r="C25" s="70" t="s">
        <v>143</v>
      </c>
      <c r="D25" s="32" t="s">
        <v>37</v>
      </c>
      <c r="E25" s="71"/>
    </row>
    <row r="26" s="29" customFormat="true" ht="22.5" hidden="false" customHeight="true" outlineLevel="0" collapsed="false">
      <c r="B26" s="69" t="s">
        <v>144</v>
      </c>
      <c r="C26" s="70" t="s">
        <v>145</v>
      </c>
      <c r="D26" s="32" t="s">
        <v>146</v>
      </c>
      <c r="E26" s="71"/>
    </row>
    <row r="27" s="29" customFormat="true" ht="22.5" hidden="false" customHeight="true" outlineLevel="0" collapsed="false">
      <c r="B27" s="69" t="s">
        <v>147</v>
      </c>
      <c r="C27" s="70" t="s">
        <v>148</v>
      </c>
      <c r="D27" s="32" t="s">
        <v>37</v>
      </c>
      <c r="E27" s="71"/>
    </row>
    <row r="28" s="29" customFormat="true" ht="22.5" hidden="false" customHeight="true" outlineLevel="0" collapsed="false">
      <c r="B28" s="69" t="s">
        <v>149</v>
      </c>
      <c r="C28" s="70" t="s">
        <v>150</v>
      </c>
      <c r="D28" s="32" t="s">
        <v>37</v>
      </c>
      <c r="E28" s="71"/>
    </row>
    <row r="29" s="29" customFormat="true" ht="22.5" hidden="false" customHeight="true" outlineLevel="0" collapsed="false">
      <c r="B29" s="69" t="s">
        <v>151</v>
      </c>
      <c r="C29" s="70" t="s">
        <v>152</v>
      </c>
      <c r="D29" s="32" t="s">
        <v>37</v>
      </c>
      <c r="E29" s="71"/>
    </row>
    <row r="30" s="29" customFormat="true" ht="22.5" hidden="false" customHeight="true" outlineLevel="0" collapsed="false">
      <c r="B30" s="69" t="s">
        <v>153</v>
      </c>
      <c r="C30" s="70" t="s">
        <v>154</v>
      </c>
      <c r="D30" s="32" t="s">
        <v>37</v>
      </c>
      <c r="E30" s="71"/>
    </row>
    <row r="31" s="29" customFormat="true" ht="22.5" hidden="false" customHeight="true" outlineLevel="0" collapsed="false">
      <c r="B31" s="69" t="s">
        <v>155</v>
      </c>
      <c r="C31" s="70" t="s">
        <v>156</v>
      </c>
      <c r="D31" s="32" t="s">
        <v>37</v>
      </c>
      <c r="E31" s="71"/>
    </row>
    <row r="32" s="29" customFormat="true" ht="22.5" hidden="false" customHeight="true" outlineLevel="0" collapsed="false">
      <c r="B32" s="69" t="s">
        <v>157</v>
      </c>
      <c r="C32" s="70" t="s">
        <v>158</v>
      </c>
      <c r="D32" s="32" t="s">
        <v>37</v>
      </c>
      <c r="E32" s="71"/>
    </row>
    <row r="33" s="29" customFormat="true" ht="22.5" hidden="false" customHeight="true" outlineLevel="0" collapsed="false">
      <c r="B33" s="69" t="s">
        <v>159</v>
      </c>
      <c r="C33" s="70" t="s">
        <v>160</v>
      </c>
      <c r="D33" s="32" t="s">
        <v>37</v>
      </c>
      <c r="E33" s="71"/>
    </row>
    <row r="34" s="29" customFormat="true" ht="22.5" hidden="false" customHeight="true" outlineLevel="0" collapsed="false">
      <c r="B34" s="69" t="s">
        <v>161</v>
      </c>
      <c r="C34" s="70" t="s">
        <v>162</v>
      </c>
      <c r="D34" s="32" t="s">
        <v>27</v>
      </c>
      <c r="E34" s="71"/>
    </row>
    <row r="35" s="29" customFormat="true" ht="22.5" hidden="false" customHeight="true" outlineLevel="0" collapsed="false">
      <c r="B35" s="69" t="s">
        <v>163</v>
      </c>
      <c r="C35" s="70" t="s">
        <v>164</v>
      </c>
      <c r="D35" s="32" t="s">
        <v>37</v>
      </c>
      <c r="E35" s="71"/>
    </row>
    <row r="36" s="29" customFormat="true" ht="22.5" hidden="false" customHeight="true" outlineLevel="0" collapsed="false">
      <c r="B36" s="69" t="s">
        <v>165</v>
      </c>
      <c r="C36" s="70" t="s">
        <v>166</v>
      </c>
      <c r="D36" s="32" t="s">
        <v>37</v>
      </c>
      <c r="E36" s="71"/>
    </row>
    <row r="37" s="29" customFormat="true" ht="22.5" hidden="false" customHeight="true" outlineLevel="0" collapsed="false">
      <c r="B37" s="69" t="s">
        <v>167</v>
      </c>
      <c r="C37" s="70" t="s">
        <v>168</v>
      </c>
      <c r="D37" s="32" t="s">
        <v>37</v>
      </c>
      <c r="E37" s="71"/>
    </row>
    <row r="38" s="29" customFormat="true" ht="22.5" hidden="false" customHeight="true" outlineLevel="0" collapsed="false">
      <c r="B38" s="69" t="s">
        <v>169</v>
      </c>
      <c r="C38" s="70" t="s">
        <v>170</v>
      </c>
      <c r="D38" s="32" t="s">
        <v>37</v>
      </c>
      <c r="E38" s="71"/>
    </row>
    <row r="39" s="29" customFormat="true" ht="22.5" hidden="false" customHeight="true" outlineLevel="0" collapsed="false">
      <c r="B39" s="69" t="s">
        <v>171</v>
      </c>
      <c r="C39" s="70" t="s">
        <v>172</v>
      </c>
      <c r="D39" s="32" t="s">
        <v>37</v>
      </c>
      <c r="E39" s="71"/>
    </row>
    <row r="40" s="29" customFormat="true" ht="22.5" hidden="false" customHeight="true" outlineLevel="0" collapsed="false">
      <c r="B40" s="69" t="s">
        <v>173</v>
      </c>
      <c r="C40" s="70" t="s">
        <v>174</v>
      </c>
      <c r="D40" s="32" t="s">
        <v>37</v>
      </c>
      <c r="E40" s="71"/>
    </row>
    <row r="41" s="66" customFormat="true" ht="39.6" hidden="false" customHeight="true" outlineLevel="0" collapsed="false">
      <c r="B41" s="67" t="s">
        <v>175</v>
      </c>
      <c r="C41" s="68" t="s">
        <v>176</v>
      </c>
      <c r="D41" s="68"/>
      <c r="E41" s="68"/>
    </row>
    <row r="42" s="23" customFormat="true" ht="22.5" hidden="false" customHeight="true" outlineLevel="0" collapsed="false">
      <c r="B42" s="69" t="s">
        <v>177</v>
      </c>
      <c r="C42" s="70" t="s">
        <v>178</v>
      </c>
      <c r="D42" s="32" t="s">
        <v>37</v>
      </c>
      <c r="E42" s="71"/>
    </row>
    <row r="43" s="23" customFormat="true" ht="22.5" hidden="false" customHeight="true" outlineLevel="0" collapsed="false">
      <c r="B43" s="69" t="s">
        <v>179</v>
      </c>
      <c r="C43" s="70" t="s">
        <v>180</v>
      </c>
      <c r="D43" s="32" t="s">
        <v>37</v>
      </c>
      <c r="E43" s="71"/>
    </row>
    <row r="44" s="23" customFormat="true" ht="22.5" hidden="false" customHeight="true" outlineLevel="0" collapsed="false">
      <c r="B44" s="69" t="s">
        <v>181</v>
      </c>
      <c r="C44" s="70" t="s">
        <v>182</v>
      </c>
      <c r="D44" s="32" t="s">
        <v>27</v>
      </c>
      <c r="E44" s="71"/>
    </row>
    <row r="45" s="23" customFormat="true" ht="22.5" hidden="false" customHeight="true" outlineLevel="0" collapsed="false">
      <c r="B45" s="69" t="s">
        <v>183</v>
      </c>
      <c r="C45" s="70" t="s">
        <v>184</v>
      </c>
      <c r="D45" s="32" t="s">
        <v>37</v>
      </c>
      <c r="E45" s="71"/>
    </row>
    <row r="46" s="23" customFormat="true" ht="22.5" hidden="false" customHeight="true" outlineLevel="0" collapsed="false">
      <c r="B46" s="69" t="s">
        <v>185</v>
      </c>
      <c r="C46" s="70" t="s">
        <v>186</v>
      </c>
      <c r="D46" s="32" t="s">
        <v>37</v>
      </c>
      <c r="E46" s="71"/>
    </row>
    <row r="47" s="23" customFormat="true" ht="22.5" hidden="false" customHeight="true" outlineLevel="0" collapsed="false">
      <c r="B47" s="69" t="s">
        <v>187</v>
      </c>
      <c r="C47" s="70" t="s">
        <v>188</v>
      </c>
      <c r="D47" s="32" t="s">
        <v>37</v>
      </c>
      <c r="E47" s="71"/>
    </row>
    <row r="48" s="23" customFormat="true" ht="22.5" hidden="false" customHeight="true" outlineLevel="0" collapsed="false">
      <c r="B48" s="69" t="s">
        <v>189</v>
      </c>
      <c r="C48" s="70" t="s">
        <v>190</v>
      </c>
      <c r="D48" s="32" t="s">
        <v>37</v>
      </c>
      <c r="E48" s="71"/>
    </row>
    <row r="49" s="23" customFormat="true" ht="22.5" hidden="false" customHeight="true" outlineLevel="0" collapsed="false">
      <c r="B49" s="69" t="s">
        <v>191</v>
      </c>
      <c r="C49" s="70" t="s">
        <v>192</v>
      </c>
      <c r="D49" s="32" t="s">
        <v>37</v>
      </c>
      <c r="E49" s="71"/>
    </row>
    <row r="50" s="66" customFormat="true" ht="39.6" hidden="false" customHeight="true" outlineLevel="0" collapsed="false">
      <c r="B50" s="67" t="s">
        <v>193</v>
      </c>
      <c r="C50" s="68" t="s">
        <v>194</v>
      </c>
      <c r="D50" s="68"/>
      <c r="E50" s="68"/>
    </row>
    <row r="51" s="23" customFormat="true" ht="22.5" hidden="false" customHeight="true" outlineLevel="0" collapsed="false">
      <c r="B51" s="69" t="s">
        <v>195</v>
      </c>
      <c r="C51" s="70" t="s">
        <v>196</v>
      </c>
      <c r="D51" s="32" t="s">
        <v>37</v>
      </c>
      <c r="E51" s="71"/>
    </row>
    <row r="52" s="23" customFormat="true" ht="22.5" hidden="false" customHeight="true" outlineLevel="0" collapsed="false">
      <c r="B52" s="69" t="s">
        <v>197</v>
      </c>
      <c r="C52" s="70" t="s">
        <v>198</v>
      </c>
      <c r="D52" s="32" t="s">
        <v>37</v>
      </c>
      <c r="E52" s="71"/>
    </row>
    <row r="53" s="23" customFormat="true" ht="22.5" hidden="false" customHeight="true" outlineLevel="0" collapsed="false">
      <c r="B53" s="69" t="s">
        <v>199</v>
      </c>
      <c r="C53" s="70" t="s">
        <v>200</v>
      </c>
      <c r="D53" s="32" t="s">
        <v>37</v>
      </c>
      <c r="E53" s="71"/>
    </row>
    <row r="54" s="23" customFormat="true" ht="22.5" hidden="false" customHeight="true" outlineLevel="0" collapsed="false">
      <c r="B54" s="69" t="s">
        <v>201</v>
      </c>
      <c r="C54" s="70" t="s">
        <v>202</v>
      </c>
      <c r="D54" s="32" t="s">
        <v>37</v>
      </c>
      <c r="E54" s="71"/>
    </row>
    <row r="55" s="23" customFormat="true" ht="22.5" hidden="false" customHeight="true" outlineLevel="0" collapsed="false">
      <c r="B55" s="69" t="s">
        <v>203</v>
      </c>
      <c r="C55" s="70" t="s">
        <v>204</v>
      </c>
      <c r="D55" s="32" t="s">
        <v>37</v>
      </c>
      <c r="E55" s="71"/>
    </row>
    <row r="56" s="23" customFormat="true" ht="22.5" hidden="false" customHeight="true" outlineLevel="0" collapsed="false">
      <c r="B56" s="69" t="s">
        <v>205</v>
      </c>
      <c r="C56" s="70" t="s">
        <v>206</v>
      </c>
      <c r="D56" s="32" t="s">
        <v>37</v>
      </c>
      <c r="E56" s="71"/>
    </row>
    <row r="57" s="23" customFormat="true" ht="22.5" hidden="false" customHeight="true" outlineLevel="0" collapsed="false">
      <c r="B57" s="69" t="s">
        <v>207</v>
      </c>
      <c r="C57" s="70" t="s">
        <v>208</v>
      </c>
      <c r="D57" s="32" t="s">
        <v>37</v>
      </c>
      <c r="E57" s="71"/>
    </row>
    <row r="58" s="23" customFormat="true" ht="22.5" hidden="false" customHeight="true" outlineLevel="0" collapsed="false">
      <c r="B58" s="69" t="s">
        <v>209</v>
      </c>
      <c r="C58" s="70" t="s">
        <v>210</v>
      </c>
      <c r="D58" s="32" t="s">
        <v>37</v>
      </c>
      <c r="E58" s="71"/>
    </row>
    <row r="59" s="23" customFormat="true" ht="22.5" hidden="false" customHeight="true" outlineLevel="0" collapsed="false">
      <c r="B59" s="69" t="s">
        <v>211</v>
      </c>
      <c r="C59" s="70" t="s">
        <v>212</v>
      </c>
      <c r="D59" s="32" t="s">
        <v>37</v>
      </c>
      <c r="E59" s="71"/>
    </row>
    <row r="60" s="23" customFormat="true" ht="22.5" hidden="false" customHeight="true" outlineLevel="0" collapsed="false">
      <c r="B60" s="69" t="s">
        <v>213</v>
      </c>
      <c r="C60" s="70" t="s">
        <v>214</v>
      </c>
      <c r="D60" s="32" t="s">
        <v>37</v>
      </c>
      <c r="E60" s="71"/>
    </row>
    <row r="61" s="23" customFormat="true" ht="22.5" hidden="false" customHeight="true" outlineLevel="0" collapsed="false">
      <c r="B61" s="69" t="s">
        <v>215</v>
      </c>
      <c r="C61" s="70" t="s">
        <v>216</v>
      </c>
      <c r="D61" s="32" t="s">
        <v>37</v>
      </c>
      <c r="E61" s="71"/>
    </row>
    <row r="62" s="23" customFormat="true" ht="22.5" hidden="false" customHeight="true" outlineLevel="0" collapsed="false">
      <c r="B62" s="69" t="s">
        <v>217</v>
      </c>
      <c r="C62" s="70" t="s">
        <v>218</v>
      </c>
      <c r="D62" s="32" t="s">
        <v>37</v>
      </c>
      <c r="E62" s="71"/>
    </row>
    <row r="63" s="23" customFormat="true" ht="22.5" hidden="false" customHeight="true" outlineLevel="0" collapsed="false">
      <c r="B63" s="69" t="s">
        <v>219</v>
      </c>
      <c r="C63" s="70" t="s">
        <v>220</v>
      </c>
      <c r="D63" s="32" t="s">
        <v>37</v>
      </c>
      <c r="E63" s="71"/>
    </row>
    <row r="64" s="23" customFormat="true" ht="22.5" hidden="false" customHeight="true" outlineLevel="0" collapsed="false">
      <c r="B64" s="69" t="s">
        <v>221</v>
      </c>
      <c r="C64" s="70" t="s">
        <v>222</v>
      </c>
      <c r="D64" s="32" t="s">
        <v>37</v>
      </c>
      <c r="E64" s="71"/>
    </row>
    <row r="65" s="66" customFormat="true" ht="39.6" hidden="false" customHeight="true" outlineLevel="0" collapsed="false">
      <c r="B65" s="67" t="s">
        <v>223</v>
      </c>
      <c r="C65" s="68" t="s">
        <v>224</v>
      </c>
      <c r="D65" s="68"/>
      <c r="E65" s="68"/>
    </row>
    <row r="66" s="23" customFormat="true" ht="22.5" hidden="false" customHeight="true" outlineLevel="0" collapsed="false">
      <c r="B66" s="69" t="s">
        <v>225</v>
      </c>
      <c r="C66" s="70" t="s">
        <v>226</v>
      </c>
      <c r="D66" s="32" t="s">
        <v>37</v>
      </c>
      <c r="E66" s="71"/>
    </row>
    <row r="67" s="23" customFormat="true" ht="22.5" hidden="false" customHeight="true" outlineLevel="0" collapsed="false">
      <c r="B67" s="69" t="s">
        <v>227</v>
      </c>
      <c r="C67" s="70" t="s">
        <v>228</v>
      </c>
      <c r="D67" s="32" t="s">
        <v>27</v>
      </c>
      <c r="E67" s="71"/>
    </row>
    <row r="68" s="23" customFormat="true" ht="22.5" hidden="false" customHeight="true" outlineLevel="0" collapsed="false">
      <c r="B68" s="69" t="s">
        <v>229</v>
      </c>
      <c r="C68" s="70" t="s">
        <v>230</v>
      </c>
      <c r="D68" s="32" t="s">
        <v>27</v>
      </c>
      <c r="E68" s="71"/>
    </row>
    <row r="69" s="23" customFormat="true" ht="22.5" hidden="false" customHeight="true" outlineLevel="0" collapsed="false">
      <c r="B69" s="69" t="s">
        <v>231</v>
      </c>
      <c r="C69" s="70" t="s">
        <v>232</v>
      </c>
      <c r="D69" s="32" t="s">
        <v>27</v>
      </c>
      <c r="E69" s="71"/>
    </row>
    <row r="70" s="23" customFormat="true" ht="22.5" hidden="false" customHeight="true" outlineLevel="0" collapsed="false">
      <c r="B70" s="69" t="s">
        <v>233</v>
      </c>
      <c r="C70" s="70" t="s">
        <v>234</v>
      </c>
      <c r="D70" s="32" t="s">
        <v>27</v>
      </c>
      <c r="E70" s="71"/>
    </row>
    <row r="71" s="23" customFormat="true" ht="22.5" hidden="false" customHeight="true" outlineLevel="0" collapsed="false">
      <c r="B71" s="69" t="s">
        <v>235</v>
      </c>
      <c r="C71" s="70" t="s">
        <v>236</v>
      </c>
      <c r="D71" s="32" t="s">
        <v>27</v>
      </c>
      <c r="E71" s="71"/>
    </row>
    <row r="72" s="23" customFormat="true" ht="22.5" hidden="false" customHeight="true" outlineLevel="0" collapsed="false">
      <c r="B72" s="69" t="s">
        <v>237</v>
      </c>
      <c r="C72" s="70" t="s">
        <v>238</v>
      </c>
      <c r="D72" s="32" t="s">
        <v>27</v>
      </c>
      <c r="E72" s="71"/>
    </row>
    <row r="73" s="23" customFormat="true" ht="22.5" hidden="false" customHeight="true" outlineLevel="0" collapsed="false">
      <c r="B73" s="69" t="s">
        <v>239</v>
      </c>
      <c r="C73" s="70" t="s">
        <v>240</v>
      </c>
      <c r="D73" s="32" t="s">
        <v>27</v>
      </c>
      <c r="E73" s="71"/>
    </row>
    <row r="74" s="23" customFormat="true" ht="22.5" hidden="false" customHeight="true" outlineLevel="0" collapsed="false">
      <c r="B74" s="69" t="s">
        <v>241</v>
      </c>
      <c r="C74" s="70" t="s">
        <v>242</v>
      </c>
      <c r="D74" s="32" t="s">
        <v>37</v>
      </c>
      <c r="E74" s="71"/>
    </row>
    <row r="75" s="23" customFormat="true" ht="22.5" hidden="false" customHeight="true" outlineLevel="0" collapsed="false">
      <c r="B75" s="69" t="s">
        <v>243</v>
      </c>
      <c r="C75" s="70" t="s">
        <v>244</v>
      </c>
      <c r="D75" s="32" t="s">
        <v>37</v>
      </c>
      <c r="E75" s="71"/>
    </row>
    <row r="76" s="23" customFormat="true" ht="22.5" hidden="false" customHeight="true" outlineLevel="0" collapsed="false">
      <c r="B76" s="69" t="s">
        <v>245</v>
      </c>
      <c r="C76" s="70" t="s">
        <v>246</v>
      </c>
      <c r="D76" s="32" t="s">
        <v>27</v>
      </c>
      <c r="E76" s="71"/>
    </row>
    <row r="77" s="23" customFormat="true" ht="22.5" hidden="false" customHeight="true" outlineLevel="0" collapsed="false">
      <c r="B77" s="69" t="s">
        <v>247</v>
      </c>
      <c r="C77" s="70" t="s">
        <v>248</v>
      </c>
      <c r="D77" s="32" t="s">
        <v>37</v>
      </c>
      <c r="E77" s="71"/>
    </row>
    <row r="78" s="23" customFormat="true" ht="22.5" hidden="false" customHeight="true" outlineLevel="0" collapsed="false">
      <c r="B78" s="69" t="s">
        <v>249</v>
      </c>
      <c r="C78" s="70" t="s">
        <v>250</v>
      </c>
      <c r="D78" s="32" t="s">
        <v>27</v>
      </c>
      <c r="E78" s="71"/>
    </row>
    <row r="79" s="23" customFormat="true" ht="22.5" hidden="false" customHeight="true" outlineLevel="0" collapsed="false">
      <c r="B79" s="69" t="s">
        <v>251</v>
      </c>
      <c r="C79" s="70" t="s">
        <v>252</v>
      </c>
      <c r="D79" s="32" t="s">
        <v>37</v>
      </c>
      <c r="E79" s="71"/>
    </row>
    <row r="80" s="23" customFormat="true" ht="22.5" hidden="false" customHeight="true" outlineLevel="0" collapsed="false">
      <c r="B80" s="69" t="s">
        <v>253</v>
      </c>
      <c r="C80" s="70" t="s">
        <v>254</v>
      </c>
      <c r="D80" s="32" t="s">
        <v>27</v>
      </c>
      <c r="E80" s="71"/>
    </row>
    <row r="81" s="23" customFormat="true" ht="22.5" hidden="false" customHeight="true" outlineLevel="0" collapsed="false">
      <c r="B81" s="69" t="s">
        <v>255</v>
      </c>
      <c r="C81" s="70" t="s">
        <v>256</v>
      </c>
      <c r="D81" s="32" t="s">
        <v>37</v>
      </c>
      <c r="E81" s="71"/>
    </row>
    <row r="82" s="23" customFormat="true" ht="22.5" hidden="false" customHeight="true" outlineLevel="0" collapsed="false">
      <c r="B82" s="69" t="s">
        <v>257</v>
      </c>
      <c r="C82" s="70" t="s">
        <v>258</v>
      </c>
      <c r="D82" s="32" t="s">
        <v>37</v>
      </c>
      <c r="E82" s="71"/>
    </row>
    <row r="83" s="23" customFormat="true" ht="22.5" hidden="false" customHeight="true" outlineLevel="0" collapsed="false">
      <c r="B83" s="69" t="s">
        <v>259</v>
      </c>
      <c r="C83" s="70" t="s">
        <v>260</v>
      </c>
      <c r="D83" s="32" t="s">
        <v>27</v>
      </c>
      <c r="E83" s="71"/>
    </row>
    <row r="84" s="23" customFormat="true" ht="22.5" hidden="false" customHeight="true" outlineLevel="0" collapsed="false">
      <c r="B84" s="69" t="s">
        <v>261</v>
      </c>
      <c r="C84" s="70" t="s">
        <v>262</v>
      </c>
      <c r="D84" s="32" t="s">
        <v>27</v>
      </c>
      <c r="E84" s="71"/>
    </row>
    <row r="85" s="23" customFormat="true" ht="22.5" hidden="false" customHeight="true" outlineLevel="0" collapsed="false">
      <c r="B85" s="69" t="s">
        <v>263</v>
      </c>
      <c r="C85" s="70" t="s">
        <v>264</v>
      </c>
      <c r="D85" s="32" t="s">
        <v>27</v>
      </c>
      <c r="E85" s="71"/>
    </row>
    <row r="86" s="23" customFormat="true" ht="22.5" hidden="false" customHeight="true" outlineLevel="0" collapsed="false">
      <c r="B86" s="69" t="s">
        <v>265</v>
      </c>
      <c r="C86" s="70" t="s">
        <v>266</v>
      </c>
      <c r="D86" s="32" t="s">
        <v>27</v>
      </c>
      <c r="E86" s="71"/>
    </row>
    <row r="87" s="23" customFormat="true" ht="22.5" hidden="false" customHeight="true" outlineLevel="0" collapsed="false">
      <c r="B87" s="69" t="s">
        <v>267</v>
      </c>
      <c r="C87" s="70" t="s">
        <v>268</v>
      </c>
      <c r="D87" s="32" t="s">
        <v>27</v>
      </c>
      <c r="E87" s="71"/>
    </row>
    <row r="88" s="23" customFormat="true" ht="22.5" hidden="false" customHeight="true" outlineLevel="0" collapsed="false">
      <c r="B88" s="69" t="s">
        <v>269</v>
      </c>
      <c r="C88" s="70" t="s">
        <v>270</v>
      </c>
      <c r="D88" s="32" t="s">
        <v>27</v>
      </c>
      <c r="E88" s="71"/>
    </row>
    <row r="89" s="23" customFormat="true" ht="22.5" hidden="false" customHeight="true" outlineLevel="0" collapsed="false">
      <c r="B89" s="69" t="s">
        <v>271</v>
      </c>
      <c r="C89" s="70" t="s">
        <v>272</v>
      </c>
      <c r="D89" s="32" t="s">
        <v>37</v>
      </c>
      <c r="E89" s="71"/>
    </row>
    <row r="90" s="23" customFormat="true" ht="22.5" hidden="false" customHeight="true" outlineLevel="0" collapsed="false">
      <c r="B90" s="69" t="s">
        <v>273</v>
      </c>
      <c r="C90" s="70" t="s">
        <v>274</v>
      </c>
      <c r="D90" s="32" t="s">
        <v>37</v>
      </c>
      <c r="E90" s="71"/>
    </row>
    <row r="91" s="23" customFormat="true" ht="22.5" hidden="false" customHeight="true" outlineLevel="0" collapsed="false">
      <c r="B91" s="69" t="s">
        <v>275</v>
      </c>
      <c r="C91" s="70" t="s">
        <v>276</v>
      </c>
      <c r="D91" s="32" t="s">
        <v>37</v>
      </c>
      <c r="E91" s="71"/>
    </row>
    <row r="92" s="23" customFormat="true" ht="22.5" hidden="false" customHeight="true" outlineLevel="0" collapsed="false">
      <c r="B92" s="69" t="s">
        <v>277</v>
      </c>
      <c r="C92" s="70" t="s">
        <v>278</v>
      </c>
      <c r="D92" s="32" t="s">
        <v>37</v>
      </c>
      <c r="E92" s="71"/>
    </row>
    <row r="93" s="23" customFormat="true" ht="22.5" hidden="false" customHeight="true" outlineLevel="0" collapsed="false">
      <c r="B93" s="69" t="s">
        <v>279</v>
      </c>
      <c r="C93" s="70" t="s">
        <v>280</v>
      </c>
      <c r="D93" s="32" t="s">
        <v>37</v>
      </c>
      <c r="E93" s="71"/>
    </row>
    <row r="94" s="23" customFormat="true" ht="22.5" hidden="false" customHeight="true" outlineLevel="0" collapsed="false">
      <c r="B94" s="69" t="s">
        <v>281</v>
      </c>
      <c r="C94" s="70" t="s">
        <v>282</v>
      </c>
      <c r="D94" s="32" t="s">
        <v>27</v>
      </c>
      <c r="E94" s="71"/>
    </row>
    <row r="95" s="23" customFormat="true" ht="22.5" hidden="false" customHeight="true" outlineLevel="0" collapsed="false">
      <c r="B95" s="69" t="s">
        <v>283</v>
      </c>
      <c r="C95" s="70" t="s">
        <v>284</v>
      </c>
      <c r="D95" s="32" t="s">
        <v>37</v>
      </c>
      <c r="E95" s="71"/>
    </row>
    <row r="96" s="23" customFormat="true" ht="22.5" hidden="false" customHeight="true" outlineLevel="0" collapsed="false">
      <c r="B96" s="69" t="s">
        <v>285</v>
      </c>
      <c r="C96" s="70" t="s">
        <v>286</v>
      </c>
      <c r="D96" s="32" t="s">
        <v>37</v>
      </c>
      <c r="E96" s="71"/>
    </row>
    <row r="97" s="23" customFormat="true" ht="22.5" hidden="false" customHeight="true" outlineLevel="0" collapsed="false">
      <c r="B97" s="69" t="s">
        <v>287</v>
      </c>
      <c r="C97" s="70" t="s">
        <v>288</v>
      </c>
      <c r="D97" s="32" t="s">
        <v>37</v>
      </c>
      <c r="E97" s="71"/>
    </row>
    <row r="98" s="23" customFormat="true" ht="22.5" hidden="false" customHeight="true" outlineLevel="0" collapsed="false">
      <c r="B98" s="69" t="s">
        <v>289</v>
      </c>
      <c r="C98" s="70" t="s">
        <v>290</v>
      </c>
      <c r="D98" s="32" t="s">
        <v>37</v>
      </c>
      <c r="E98" s="71"/>
    </row>
    <row r="99" s="23" customFormat="true" ht="22.5" hidden="false" customHeight="true" outlineLevel="0" collapsed="false">
      <c r="B99" s="69" t="s">
        <v>291</v>
      </c>
      <c r="C99" s="70" t="s">
        <v>292</v>
      </c>
      <c r="D99" s="32" t="s">
        <v>37</v>
      </c>
      <c r="E99" s="71"/>
    </row>
    <row r="100" s="77" customFormat="true" ht="15" hidden="false" customHeight="false" outlineLevel="0" collapsed="false">
      <c r="A100" s="73"/>
      <c r="B100" s="74"/>
      <c r="C100" s="75"/>
      <c r="D100" s="43" t="n">
        <f aca="false">COUNTA(D3:D99)</f>
        <v>93</v>
      </c>
      <c r="E100" s="76" t="s">
        <v>293</v>
      </c>
    </row>
    <row r="101" s="77" customFormat="true" ht="15" hidden="false" customHeight="false" outlineLevel="0" collapsed="false">
      <c r="A101" s="78"/>
      <c r="B101" s="78"/>
      <c r="C101" s="79"/>
      <c r="D101" s="80"/>
      <c r="E101" s="78"/>
    </row>
    <row r="102" s="77" customFormat="true" ht="15" hidden="false" customHeight="false" outlineLevel="0" collapsed="false">
      <c r="A102" s="78"/>
      <c r="B102" s="78"/>
      <c r="C102" s="79"/>
      <c r="D102" s="80"/>
      <c r="E102" s="78"/>
    </row>
    <row r="103" s="77" customFormat="true" ht="15" hidden="false" customHeight="false" outlineLevel="0" collapsed="false">
      <c r="A103" s="78"/>
      <c r="B103" s="78"/>
      <c r="C103" s="79"/>
      <c r="D103" s="80"/>
      <c r="E103" s="78"/>
    </row>
    <row r="104" s="77" customFormat="true" ht="15" hidden="false" customHeight="false" outlineLevel="0" collapsed="false">
      <c r="A104" s="78"/>
      <c r="B104" s="78"/>
      <c r="C104" s="79"/>
      <c r="D104" s="80"/>
      <c r="E104" s="78"/>
    </row>
    <row r="105" s="77" customFormat="true" ht="15" hidden="false" customHeight="false" outlineLevel="0" collapsed="false">
      <c r="A105" s="78"/>
      <c r="B105" s="78"/>
      <c r="C105" s="79"/>
      <c r="D105" s="80"/>
      <c r="E105" s="78"/>
    </row>
    <row r="106" s="77" customFormat="true" ht="15" hidden="false" customHeight="false" outlineLevel="0" collapsed="false">
      <c r="A106" s="78"/>
      <c r="B106" s="78"/>
      <c r="C106" s="79"/>
      <c r="D106" s="80"/>
      <c r="E106" s="78"/>
    </row>
    <row r="107" s="77" customFormat="true" ht="15" hidden="false" customHeight="false" outlineLevel="0" collapsed="false">
      <c r="A107" s="78"/>
      <c r="B107" s="78"/>
      <c r="C107" s="79"/>
      <c r="D107" s="80"/>
      <c r="E107" s="78"/>
    </row>
    <row r="108" s="77" customFormat="true" ht="15" hidden="false" customHeight="false" outlineLevel="0" collapsed="false">
      <c r="A108" s="78"/>
      <c r="B108" s="78"/>
      <c r="C108" s="79"/>
      <c r="D108" s="80"/>
      <c r="E108" s="78"/>
    </row>
    <row r="109" s="77" customFormat="true" ht="15" hidden="false" customHeight="false" outlineLevel="0" collapsed="false">
      <c r="A109" s="78"/>
      <c r="B109" s="78"/>
      <c r="C109" s="79"/>
      <c r="D109" s="80"/>
      <c r="E109" s="78"/>
    </row>
    <row r="110" s="77" customFormat="true" ht="15" hidden="false" customHeight="false" outlineLevel="0" collapsed="false">
      <c r="A110" s="78"/>
      <c r="B110" s="78"/>
      <c r="C110" s="79"/>
      <c r="D110" s="80"/>
      <c r="E110" s="78"/>
    </row>
  </sheetData>
  <mergeCells count="5">
    <mergeCell ref="B1:E1"/>
    <mergeCell ref="C3:E3"/>
    <mergeCell ref="C41:E41"/>
    <mergeCell ref="C50:E50"/>
    <mergeCell ref="C65:E65"/>
  </mergeCells>
  <conditionalFormatting sqref="D66:D99">
    <cfRule type="containsText" priority="10" operator="containsText" aboveAverage="0" equalAverage="0" bottom="0" percent="0" rank="0" text="Initial" dxfId="262">
      <formula>NOT(ISERROR(SEARCH("Initial",D66)))</formula>
    </cfRule>
    <cfRule type="containsText" priority="11" operator="containsText" aboveAverage="0" equalAverage="0" bottom="0" percent="0" rank="0" text="Nonexistent" dxfId="263">
      <formula>NOT(ISERROR(SEARCH("Nonexistent",D66)))</formula>
    </cfRule>
    <cfRule type="expression" priority="12" aboveAverage="0" equalAverage="0" bottom="0" percent="0" rank="0" text="" dxfId="264">
      <formula>_xlfn.ORG.OPENOFFICE.STYLE(VLOOKUP(D66,#ref!,2,0))</formula>
    </cfRule>
  </conditionalFormatting>
  <conditionalFormatting sqref="D51:D64">
    <cfRule type="containsText" priority="21" operator="containsText" aboveAverage="0" equalAverage="0" bottom="0" percent="0" rank="0" text="Initial" dxfId="273">
      <formula>NOT(ISERROR(SEARCH("Initial",D51)))</formula>
    </cfRule>
    <cfRule type="containsText" priority="22" operator="containsText" aboveAverage="0" equalAverage="0" bottom="0" percent="0" rank="0" text="Nonexistent" dxfId="274">
      <formula>NOT(ISERROR(SEARCH("Nonexistent",D51)))</formula>
    </cfRule>
    <cfRule type="expression" priority="23" aboveAverage="0" equalAverage="0" bottom="0" percent="0" rank="0" text="" dxfId="275">
      <formula>_xlfn.ORG.OPENOFFICE.STYLE(VLOOKUP(D51,#ref!,2,0))</formula>
    </cfRule>
  </conditionalFormatting>
  <conditionalFormatting sqref="D4:D40">
    <cfRule type="containsText" priority="32" operator="containsText" aboveAverage="0" equalAverage="0" bottom="0" percent="0" rank="0" text="Initial" dxfId="284">
      <formula>NOT(ISERROR(SEARCH("Initial",D4)))</formula>
    </cfRule>
    <cfRule type="containsText" priority="33" operator="containsText" aboveAverage="0" equalAverage="0" bottom="0" percent="0" rank="0" text="Nonexistent" dxfId="285">
      <formula>NOT(ISERROR(SEARCH("Nonexistent",D4)))</formula>
    </cfRule>
    <cfRule type="expression" priority="34" aboveAverage="0" equalAverage="0" bottom="0" percent="0" rank="0" text="" dxfId="286">
      <formula>_xlfn.ORG.OPENOFFICE.STYLE(VLOOKUP(D4,#ref!,2,0))</formula>
    </cfRule>
  </conditionalFormatting>
  <conditionalFormatting sqref="D42:D49">
    <cfRule type="containsText" priority="43" operator="containsText" aboveAverage="0" equalAverage="0" bottom="0" percent="0" rank="0" text="Initial" dxfId="295">
      <formula>NOT(ISERROR(SEARCH("Initial",D42)))</formula>
    </cfRule>
    <cfRule type="containsText" priority="44" operator="containsText" aboveAverage="0" equalAverage="0" bottom="0" percent="0" rank="0" text="Nonexistent" dxfId="296">
      <formula>NOT(ISERROR(SEARCH("Nonexistent",D42)))</formula>
    </cfRule>
    <cfRule type="expression" priority="45" aboveAverage="0" equalAverage="0" bottom="0" percent="0" rank="0" text="" dxfId="297">
      <formula>_xlfn.ORG.OPENOFFICE.STYLE(VLOOKUP(D42,#ref!,2,0))</formula>
    </cfRule>
  </conditionalFormatting>
  <dataValidations count="1">
    <dataValidation allowBlank="true" errorStyle="stop" operator="equal" promptTitle="Select status" showDropDown="false" showErrorMessage="true" showInputMessage="true" sqref="D4:D40 D42:D49 D51:D64 D66:D99" type="list">
      <formula1>Metrics!$B$3:$B$10</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177083333333333"/>
  <pageSetup paperSize="9" scale="100" fitToWidth="1" fitToHeight="15" pageOrder="downThenOver" orientation="portrait" blackAndWhite="false" draft="false" cellComments="none" horizontalDpi="300" verticalDpi="300" copies="1"/>
  <headerFooter differentFirst="false" differentOddEven="false">
    <oddHeader/>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3F869372-7AB9-454B-8C62-EE22C5BBE038}">
            <xm:f>Metrics!$B$10</xm:f>
            <x14:dxf>
              <font>
                <color rgb="FFFFFFFF"/>
              </font>
              <fill>
                <patternFill>
                  <bgColor theme="0" tint="-0.35"/>
                </patternFill>
              </fill>
            </x14:dxf>
          </x14:cfRule>
          <x14:cfRule type="cellIs" priority="3" operator="equal" id="{613C7CE0-809C-4270-98A6-9E1817E0368D}">
            <xm:f>Metrics!$B$3</xm:f>
            <x14:dxf>
              <font>
                <color rgb="FFD9D9D9"/>
              </font>
              <fill>
                <patternFill>
                  <bgColor theme="0"/>
                </patternFill>
              </fill>
            </x14:dxf>
          </x14:cfRule>
          <x14:cfRule type="cellIs" priority="4" operator="equal" id="{2BBDD335-B1BF-4E4B-8867-3711636A5535}">
            <xm:f>Metrics!$B$4</xm:f>
            <x14:dxf>
              <font>
                <color rgb="FFFFFFFF"/>
              </font>
              <fill>
                <patternFill>
                  <bgColor rgb="FFFF0000"/>
                </patternFill>
              </fill>
            </x14:dxf>
          </x14:cfRule>
          <x14:cfRule type="cellIs" priority="5" operator="equal" id="{7F81C630-1EFD-48CB-B6E5-C0A43EFBA3C6}">
            <xm:f>Metrics!$B$5</xm:f>
            <x14:dxf>
              <font>
                <color rgb="FFFFFFFF"/>
              </font>
              <fill>
                <patternFill>
                  <bgColor rgb="FFC00000"/>
                </patternFill>
              </fill>
            </x14:dxf>
          </x14:cfRule>
          <x14:cfRule type="cellIs" priority="6" operator="equal" id="{7CED4D9A-8A40-4700-B060-F46FD22AFE44}">
            <xm:f>Metrics!$B$6</xm:f>
            <x14:dxf>
              <font>
                <color rgb="FFFFFFFF"/>
              </font>
              <fill>
                <patternFill>
                  <bgColor theme="2" tint="-0.5"/>
                </patternFill>
              </fill>
            </x14:dxf>
          </x14:cfRule>
          <x14:cfRule type="cellIs" priority="7" operator="equal" id="{A22CA735-F9C5-44CF-9B58-48986415EA70}">
            <xm:f>Metrics!$B$7</xm:f>
            <x14:dxf>
              <font>
                <color rgb="FFFFFFFF"/>
              </font>
              <fill>
                <patternFill>
                  <bgColor rgb="FFFFC000"/>
                </patternFill>
              </fill>
            </x14:dxf>
          </x14:cfRule>
          <x14:cfRule type="cellIs" priority="8" operator="equal" id="{D2BD1E63-20EE-48D5-A34B-33651A7ECD7F}">
            <xm:f>Metrics!$B$8</xm:f>
            <x14:dxf>
              <font>
                <color rgb="FFFFFFFF"/>
              </font>
              <fill>
                <patternFill>
                  <bgColor rgb="FF92D050"/>
                </patternFill>
              </fill>
            </x14:dxf>
          </x14:cfRule>
          <x14:cfRule type="cellIs" priority="9" operator="equal" id="{7F1568CE-DDD6-40CE-B9A1-CDC7CFB632A6}">
            <xm:f>Metrics!$B$9</xm:f>
            <x14:dxf>
              <font>
                <color rgb="FFFFFFFF"/>
              </font>
              <fill>
                <patternFill>
                  <bgColor rgb="FF336600"/>
                </patternFill>
              </fill>
            </x14:dxf>
          </x14:cfRule>
          <xm:sqref>D66:D99</xm:sqref>
        </x14:conditionalFormatting>
        <x14:conditionalFormatting xmlns:xm="http://schemas.microsoft.com/office/excel/2006/main">
          <x14:cfRule type="cellIs" priority="13" operator="equal" id="{31733EA0-744C-4E35-A9CC-95545FF28E91}">
            <xm:f>Metrics!$B$6</xm:f>
            <x14:dxf>
              <font>
                <color rgb="FFFFFFFF"/>
              </font>
              <fill>
                <patternFill>
                  <bgColor theme="2" tint="-0.5"/>
                </patternFill>
              </fill>
            </x14:dxf>
          </x14:cfRule>
          <x14:cfRule type="cellIs" priority="14" operator="equal" id="{7614136F-C634-44EA-AD2D-B44E141146E8}">
            <xm:f>Metrics!$B$10</xm:f>
            <x14:dxf>
              <font>
                <color rgb="FFFFFFFF"/>
              </font>
              <fill>
                <patternFill>
                  <bgColor theme="0" tint="-0.35"/>
                </patternFill>
              </fill>
            </x14:dxf>
          </x14:cfRule>
          <x14:cfRule type="cellIs" priority="15" operator="equal" id="{8531EDC8-21CB-4C4E-8315-263BC9AB5DF2}">
            <xm:f>Metrics!$B$9</xm:f>
            <x14:dxf>
              <font>
                <color rgb="FFFFFFFF"/>
              </font>
              <fill>
                <patternFill>
                  <bgColor rgb="FF336600"/>
                </patternFill>
              </fill>
            </x14:dxf>
          </x14:cfRule>
          <x14:cfRule type="cellIs" priority="16" operator="equal" id="{C2F5158B-28E1-49C8-8E70-F0D590A6CEE0}">
            <xm:f>Metrics!$B$8</xm:f>
            <x14:dxf>
              <font>
                <color rgb="FFFFFFFF"/>
              </font>
              <fill>
                <patternFill>
                  <bgColor rgb="FF92D050"/>
                </patternFill>
              </fill>
            </x14:dxf>
          </x14:cfRule>
          <x14:cfRule type="cellIs" priority="17" operator="equal" id="{7A6000ED-60B4-44DB-BBB8-B02D564C42E8}">
            <xm:f>Metrics!$B$7</xm:f>
            <x14:dxf>
              <font>
                <color rgb="FFFFFFFF"/>
              </font>
              <fill>
                <patternFill>
                  <bgColor rgb="FFFFC000"/>
                </patternFill>
              </fill>
            </x14:dxf>
          </x14:cfRule>
          <x14:cfRule type="cellIs" priority="18" operator="equal" id="{84C27FAF-A63A-4C92-9591-B8AC69ED918C}">
            <xm:f>Metrics!$B$3</xm:f>
            <x14:dxf>
              <font>
                <color rgb="FFD9D9D9"/>
              </font>
              <fill>
                <patternFill>
                  <bgColor theme="0"/>
                </patternFill>
              </fill>
            </x14:dxf>
          </x14:cfRule>
          <x14:cfRule type="cellIs" priority="19" operator="equal" id="{2F602E76-7190-4FF0-865D-7061497FE9D4}">
            <xm:f>Metrics!$B$5</xm:f>
            <x14:dxf>
              <font>
                <color rgb="FFFFFFFF"/>
              </font>
              <fill>
                <patternFill>
                  <bgColor rgb="FFC00000"/>
                </patternFill>
              </fill>
            </x14:dxf>
          </x14:cfRule>
          <x14:cfRule type="cellIs" priority="20" operator="equal" id="{5E96F7D0-BE26-4E41-B82E-89AF40A4FD5C}">
            <xm:f>Metrics!$B$4</xm:f>
            <x14:dxf>
              <font>
                <color rgb="FFFFFFFF"/>
              </font>
              <fill>
                <patternFill>
                  <bgColor rgb="FFFF0000"/>
                </patternFill>
              </fill>
            </x14:dxf>
          </x14:cfRule>
          <xm:sqref>D51:D64</xm:sqref>
        </x14:conditionalFormatting>
        <x14:conditionalFormatting xmlns:xm="http://schemas.microsoft.com/office/excel/2006/main">
          <x14:cfRule type="cellIs" priority="24" operator="equal" id="{4722831B-2420-4297-981E-4CE486AEA6B2}">
            <xm:f>Metrics!$B$3</xm:f>
            <x14:dxf>
              <font>
                <color rgb="FFD9D9D9"/>
              </font>
              <fill>
                <patternFill>
                  <bgColor theme="0"/>
                </patternFill>
              </fill>
            </x14:dxf>
          </x14:cfRule>
          <x14:cfRule type="cellIs" priority="25" operator="equal" id="{A71946F3-81E2-428C-BAB0-D8EFE36E11B0}">
            <xm:f>Metrics!$B$4</xm:f>
            <x14:dxf>
              <font>
                <color rgb="FFFFFFFF"/>
              </font>
              <fill>
                <patternFill>
                  <bgColor rgb="FFFF0000"/>
                </patternFill>
              </fill>
            </x14:dxf>
          </x14:cfRule>
          <x14:cfRule type="cellIs" priority="26" operator="equal" id="{4C8C40D2-4F94-49DC-A32A-93E570C3A3CD}">
            <xm:f>Metrics!$B$5</xm:f>
            <x14:dxf>
              <font>
                <color rgb="FFFFFFFF"/>
              </font>
              <fill>
                <patternFill>
                  <bgColor rgb="FFC00000"/>
                </patternFill>
              </fill>
            </x14:dxf>
          </x14:cfRule>
          <x14:cfRule type="cellIs" priority="27" operator="equal" id="{EA8C4915-7095-4D8E-A9CA-9184BD64F17A}">
            <xm:f>Metrics!$B$6</xm:f>
            <x14:dxf>
              <font>
                <color rgb="FFFFFFFF"/>
              </font>
              <fill>
                <patternFill>
                  <bgColor theme="2" tint="-0.5"/>
                </patternFill>
              </fill>
            </x14:dxf>
          </x14:cfRule>
          <x14:cfRule type="cellIs" priority="28" operator="equal" id="{829EEBFC-BA81-4360-A363-59875A334733}">
            <xm:f>Metrics!$B$7</xm:f>
            <x14:dxf>
              <font>
                <color rgb="FFFFFFFF"/>
              </font>
              <fill>
                <patternFill>
                  <bgColor rgb="FFFFC000"/>
                </patternFill>
              </fill>
            </x14:dxf>
          </x14:cfRule>
          <x14:cfRule type="cellIs" priority="29" operator="equal" id="{5E1A8921-C0AE-44DF-A4FB-EEFDCC634CE8}">
            <xm:f>Metrics!$B$8</xm:f>
            <x14:dxf>
              <font>
                <color rgb="FFFFFFFF"/>
              </font>
              <fill>
                <patternFill>
                  <bgColor rgb="FF92D050"/>
                </patternFill>
              </fill>
            </x14:dxf>
          </x14:cfRule>
          <x14:cfRule type="cellIs" priority="30" operator="equal" id="{BADD1240-7952-4495-95E0-1B215EF09C6A}">
            <xm:f>Metrics!$B$9</xm:f>
            <x14:dxf>
              <font>
                <color rgb="FFFFFFFF"/>
              </font>
              <fill>
                <patternFill>
                  <bgColor rgb="FF336600"/>
                </patternFill>
              </fill>
            </x14:dxf>
          </x14:cfRule>
          <x14:cfRule type="cellIs" priority="31" operator="equal" id="{75D2D5DE-77E8-4E98-8986-3C31C934DBA3}">
            <xm:f>Metrics!$B$10</xm:f>
            <x14:dxf>
              <font>
                <color rgb="FFFFFFFF"/>
              </font>
              <fill>
                <patternFill>
                  <bgColor theme="0" tint="-0.35"/>
                </patternFill>
              </fill>
            </x14:dxf>
          </x14:cfRule>
          <xm:sqref>D4:D40</xm:sqref>
        </x14:conditionalFormatting>
        <x14:conditionalFormatting xmlns:xm="http://schemas.microsoft.com/office/excel/2006/main">
          <x14:cfRule type="cellIs" priority="35" operator="equal" id="{55E179BA-1C47-49DB-8C69-90CE1E46B5A3}">
            <xm:f>Metrics!$B$10</xm:f>
            <x14:dxf>
              <font>
                <color rgb="FFFFFFFF"/>
              </font>
              <fill>
                <patternFill>
                  <bgColor theme="0" tint="-0.35"/>
                </patternFill>
              </fill>
            </x14:dxf>
          </x14:cfRule>
          <x14:cfRule type="cellIs" priority="36" operator="equal" id="{E2DFD8D0-60AE-4856-90BD-9D60DA788639}">
            <xm:f>Metrics!$B$9</xm:f>
            <x14:dxf>
              <font>
                <color rgb="FFFFFFFF"/>
              </font>
              <fill>
                <patternFill>
                  <bgColor rgb="FF336600"/>
                </patternFill>
              </fill>
            </x14:dxf>
          </x14:cfRule>
          <x14:cfRule type="cellIs" priority="37" operator="equal" id="{19B2A62A-FB65-4F4D-82E3-42579DDFCC85}">
            <xm:f>Metrics!$B$8</xm:f>
            <x14:dxf>
              <font>
                <color rgb="FFFFFFFF"/>
              </font>
              <fill>
                <patternFill>
                  <bgColor rgb="FF92D050"/>
                </patternFill>
              </fill>
            </x14:dxf>
          </x14:cfRule>
          <x14:cfRule type="cellIs" priority="38" operator="equal" id="{E3D784BC-ED36-45F0-8344-F3B4D9D24E23}">
            <xm:f>Metrics!$B$7</xm:f>
            <x14:dxf>
              <font>
                <color rgb="FFFFFFFF"/>
              </font>
              <fill>
                <patternFill>
                  <bgColor rgb="FFFFC000"/>
                </patternFill>
              </fill>
            </x14:dxf>
          </x14:cfRule>
          <x14:cfRule type="cellIs" priority="39" operator="equal" id="{E2FF30EB-DAB3-4927-AECB-9D7F1C89A440}">
            <xm:f>Metrics!$B$6</xm:f>
            <x14:dxf>
              <font>
                <color rgb="FFFFFFFF"/>
              </font>
              <fill>
                <patternFill>
                  <bgColor theme="2" tint="-0.5"/>
                </patternFill>
              </fill>
            </x14:dxf>
          </x14:cfRule>
          <x14:cfRule type="cellIs" priority="40" operator="equal" id="{1D37ABCA-8124-4972-9D7E-78341CADB354}">
            <xm:f>Metrics!$B$5</xm:f>
            <x14:dxf>
              <font>
                <color rgb="FFFFFFFF"/>
              </font>
              <fill>
                <patternFill>
                  <bgColor rgb="FFC00000"/>
                </patternFill>
              </fill>
            </x14:dxf>
          </x14:cfRule>
          <x14:cfRule type="cellIs" priority="41" operator="equal" id="{EC3BEFA2-5660-4870-B334-E9596E9A5821}">
            <xm:f>Metrics!$B$4</xm:f>
            <x14:dxf>
              <font>
                <color rgb="FFFFFFFF"/>
              </font>
              <fill>
                <patternFill>
                  <bgColor rgb="FFFF0000"/>
                </patternFill>
              </fill>
            </x14:dxf>
          </x14:cfRule>
          <x14:cfRule type="cellIs" priority="42" operator="equal" id="{EBC52B5C-87FC-40B2-9E4D-A439A1906B9B}">
            <xm:f>Metrics!$B$3</xm:f>
            <x14:dxf>
              <font>
                <color rgb="FFD9D9D9"/>
              </font>
              <fill>
                <patternFill>
                  <bgColor theme="0"/>
                </patternFill>
              </fill>
            </x14:dxf>
          </x14:cfRule>
          <xm:sqref>D42:D49</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R11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1" ySplit="2" topLeftCell="B12" activePane="bottomRight" state="frozen"/>
      <selection pane="topLeft" activeCell="A1" activeCellId="0" sqref="A1"/>
      <selection pane="topRight" activeCell="B1" activeCellId="0" sqref="B1"/>
      <selection pane="bottomLeft" activeCell="A12" activeCellId="0" sqref="A12"/>
      <selection pane="bottomRight" activeCell="C27" activeCellId="0" sqref="C27"/>
    </sheetView>
  </sheetViews>
  <sheetFormatPr defaultColWidth="11.578125" defaultRowHeight="14.25" zeroHeight="false" outlineLevelRow="0" outlineLevelCol="0"/>
  <cols>
    <col collapsed="false" customWidth="true" hidden="false" outlineLevel="0" max="1" min="1" style="54" width="1.62"/>
    <col collapsed="false" customWidth="true" hidden="false" outlineLevel="0" max="2" min="2" style="54" width="8.63"/>
    <col collapsed="false" customWidth="true" hidden="false" outlineLevel="0" max="3" min="3" style="55" width="75.72"/>
    <col collapsed="false" customWidth="true" hidden="false" outlineLevel="0" max="4" min="4" style="56" width="14.69"/>
    <col collapsed="false" customWidth="true" hidden="false" outlineLevel="0" max="5" min="5" style="54" width="75.24"/>
    <col collapsed="false" customWidth="true" hidden="false" outlineLevel="0" max="252" min="6" style="57" width="30.34"/>
  </cols>
  <sheetData>
    <row r="1" customFormat="false" ht="32.25" hidden="false" customHeight="true" outlineLevel="0" collapsed="false">
      <c r="A1" s="59"/>
      <c r="B1" s="60" t="s">
        <v>95</v>
      </c>
      <c r="C1" s="60"/>
      <c r="D1" s="60"/>
      <c r="E1" s="60"/>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1"/>
      <c r="DO1" s="61"/>
      <c r="DP1" s="61"/>
      <c r="DQ1" s="61"/>
      <c r="DR1" s="61"/>
      <c r="DS1" s="61"/>
      <c r="DT1" s="61"/>
      <c r="DU1" s="61"/>
      <c r="DV1" s="61"/>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c r="GN1" s="61"/>
      <c r="GO1" s="61"/>
      <c r="GP1" s="61"/>
      <c r="GQ1" s="61"/>
      <c r="GR1" s="61"/>
      <c r="GS1" s="61"/>
      <c r="GT1" s="61"/>
      <c r="GU1" s="61"/>
      <c r="GV1" s="61"/>
      <c r="GW1" s="61"/>
      <c r="GX1" s="61"/>
      <c r="GY1" s="61"/>
      <c r="GZ1" s="61"/>
      <c r="HA1" s="61"/>
      <c r="HB1" s="61"/>
      <c r="HC1" s="61"/>
      <c r="HD1" s="61"/>
      <c r="HE1" s="61"/>
      <c r="HF1" s="61"/>
      <c r="HG1" s="61"/>
      <c r="HH1" s="61"/>
      <c r="HI1" s="61"/>
      <c r="HJ1" s="61"/>
      <c r="HK1" s="61"/>
      <c r="HL1" s="61"/>
      <c r="HM1" s="61"/>
      <c r="HN1" s="61"/>
      <c r="HO1" s="61"/>
      <c r="HP1" s="61"/>
      <c r="HQ1" s="61"/>
      <c r="HR1" s="61"/>
      <c r="HS1" s="61"/>
      <c r="HT1" s="61"/>
      <c r="HU1" s="61"/>
      <c r="HV1" s="61"/>
      <c r="HW1" s="61"/>
      <c r="HX1" s="61"/>
      <c r="HY1" s="61"/>
      <c r="HZ1" s="61"/>
      <c r="IA1" s="61"/>
      <c r="IB1" s="61"/>
      <c r="IC1" s="61"/>
      <c r="ID1" s="61"/>
      <c r="IE1" s="61"/>
      <c r="IF1" s="61"/>
      <c r="IG1" s="61"/>
      <c r="IH1" s="61"/>
      <c r="II1" s="61"/>
      <c r="IJ1" s="61"/>
      <c r="IK1" s="61"/>
      <c r="IL1" s="61"/>
      <c r="IM1" s="61"/>
      <c r="IN1" s="61"/>
      <c r="IO1" s="61"/>
      <c r="IP1" s="61"/>
      <c r="IQ1" s="61"/>
      <c r="IR1" s="61"/>
    </row>
    <row r="2" customFormat="false" ht="21.75" hidden="false" customHeight="true" outlineLevel="0" collapsed="false">
      <c r="A2" s="14"/>
      <c r="B2" s="62" t="s">
        <v>20</v>
      </c>
      <c r="C2" s="63" t="s">
        <v>96</v>
      </c>
      <c r="D2" s="64" t="s">
        <v>22</v>
      </c>
      <c r="E2" s="65" t="s">
        <v>97</v>
      </c>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row>
    <row r="3" customFormat="false" ht="32.1" hidden="false" customHeight="true" outlineLevel="0" collapsed="false">
      <c r="A3" s="66"/>
      <c r="B3" s="67" t="s">
        <v>98</v>
      </c>
      <c r="C3" s="68" t="s">
        <v>99</v>
      </c>
      <c r="D3" s="68"/>
      <c r="E3" s="68"/>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row>
    <row r="4" customFormat="false" ht="22.5" hidden="false" customHeight="true" outlineLevel="0" collapsed="false">
      <c r="A4" s="29"/>
      <c r="B4" s="69" t="s">
        <v>100</v>
      </c>
      <c r="C4" s="70" t="s">
        <v>101</v>
      </c>
      <c r="D4" s="32" t="s">
        <v>65</v>
      </c>
      <c r="E4" s="71"/>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row>
    <row r="5" customFormat="false" ht="22.5" hidden="false" customHeight="true" outlineLevel="0" collapsed="false">
      <c r="A5" s="29"/>
      <c r="B5" s="69" t="s">
        <v>102</v>
      </c>
      <c r="C5" s="70" t="s">
        <v>103</v>
      </c>
      <c r="D5" s="32" t="s">
        <v>65</v>
      </c>
      <c r="E5" s="71"/>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row>
    <row r="6" customFormat="false" ht="22.5" hidden="false" customHeight="true" outlineLevel="0" collapsed="false">
      <c r="A6" s="29"/>
      <c r="B6" s="69" t="s">
        <v>104</v>
      </c>
      <c r="C6" s="70" t="s">
        <v>105</v>
      </c>
      <c r="D6" s="32" t="s">
        <v>65</v>
      </c>
      <c r="E6" s="71"/>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row>
    <row r="7" customFormat="false" ht="22.5" hidden="false" customHeight="true" outlineLevel="0" collapsed="false">
      <c r="A7" s="29"/>
      <c r="B7" s="69" t="s">
        <v>106</v>
      </c>
      <c r="C7" s="70" t="s">
        <v>107</v>
      </c>
      <c r="D7" s="32" t="s">
        <v>65</v>
      </c>
      <c r="E7" s="71"/>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row>
    <row r="8" customFormat="false" ht="22.5" hidden="false" customHeight="true" outlineLevel="0" collapsed="false">
      <c r="A8" s="29"/>
      <c r="B8" s="69" t="s">
        <v>108</v>
      </c>
      <c r="C8" s="70" t="s">
        <v>109</v>
      </c>
      <c r="D8" s="32" t="s">
        <v>65</v>
      </c>
      <c r="E8" s="71"/>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row>
    <row r="9" customFormat="false" ht="22.5" hidden="false" customHeight="true" outlineLevel="0" collapsed="false">
      <c r="A9" s="29"/>
      <c r="B9" s="69" t="s">
        <v>110</v>
      </c>
      <c r="C9" s="70" t="s">
        <v>111</v>
      </c>
      <c r="D9" s="32" t="s">
        <v>65</v>
      </c>
      <c r="E9" s="71"/>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row>
    <row r="10" customFormat="false" ht="22.5" hidden="false" customHeight="true" outlineLevel="0" collapsed="false">
      <c r="A10" s="29"/>
      <c r="B10" s="69" t="s">
        <v>112</v>
      </c>
      <c r="C10" s="70" t="s">
        <v>113</v>
      </c>
      <c r="D10" s="32" t="s">
        <v>65</v>
      </c>
      <c r="E10" s="71"/>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row>
    <row r="11" customFormat="false" ht="22.5" hidden="false" customHeight="true" outlineLevel="0" collapsed="false">
      <c r="A11" s="29"/>
      <c r="B11" s="69" t="s">
        <v>114</v>
      </c>
      <c r="C11" s="70" t="s">
        <v>115</v>
      </c>
      <c r="D11" s="32" t="s">
        <v>37</v>
      </c>
      <c r="E11" s="71"/>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row>
    <row r="12" customFormat="false" ht="22.5" hidden="false" customHeight="true" outlineLevel="0" collapsed="false">
      <c r="A12" s="29"/>
      <c r="B12" s="69" t="s">
        <v>116</v>
      </c>
      <c r="C12" s="70" t="s">
        <v>117</v>
      </c>
      <c r="D12" s="32" t="s">
        <v>37</v>
      </c>
      <c r="E12" s="71"/>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row>
    <row r="13" customFormat="false" ht="22.5" hidden="false" customHeight="true" outlineLevel="0" collapsed="false">
      <c r="A13" s="29"/>
      <c r="B13" s="69" t="s">
        <v>118</v>
      </c>
      <c r="C13" s="70" t="s">
        <v>119</v>
      </c>
      <c r="D13" s="32" t="s">
        <v>37</v>
      </c>
      <c r="E13" s="71"/>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row>
    <row r="14" customFormat="false" ht="22.5" hidden="false" customHeight="true" outlineLevel="0" collapsed="false">
      <c r="A14" s="29"/>
      <c r="B14" s="69" t="s">
        <v>120</v>
      </c>
      <c r="C14" s="70" t="s">
        <v>121</v>
      </c>
      <c r="D14" s="32" t="s">
        <v>37</v>
      </c>
      <c r="E14" s="71"/>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row>
    <row r="15" customFormat="false" ht="22.5" hidden="false" customHeight="true" outlineLevel="0" collapsed="false">
      <c r="A15" s="29"/>
      <c r="B15" s="69" t="s">
        <v>122</v>
      </c>
      <c r="C15" s="70" t="s">
        <v>123</v>
      </c>
      <c r="D15" s="32" t="s">
        <v>37</v>
      </c>
      <c r="E15" s="71"/>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row>
    <row r="16" customFormat="false" ht="22.5" hidden="false" customHeight="true" outlineLevel="0" collapsed="false">
      <c r="A16" s="29"/>
      <c r="B16" s="69" t="s">
        <v>124</v>
      </c>
      <c r="C16" s="70" t="s">
        <v>125</v>
      </c>
      <c r="D16" s="32" t="s">
        <v>37</v>
      </c>
      <c r="E16" s="71"/>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row>
    <row r="17" customFormat="false" ht="22.5" hidden="false" customHeight="true" outlineLevel="0" collapsed="false">
      <c r="A17" s="29"/>
      <c r="B17" s="69" t="s">
        <v>126</v>
      </c>
      <c r="C17" s="70" t="s">
        <v>127</v>
      </c>
      <c r="D17" s="32" t="s">
        <v>37</v>
      </c>
      <c r="E17" s="71"/>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row>
    <row r="18" customFormat="false" ht="22.5" hidden="false" customHeight="true" outlineLevel="0" collapsed="false">
      <c r="A18" s="29"/>
      <c r="B18" s="69" t="s">
        <v>128</v>
      </c>
      <c r="C18" s="70" t="s">
        <v>129</v>
      </c>
      <c r="D18" s="32" t="s">
        <v>37</v>
      </c>
      <c r="E18" s="71"/>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row>
    <row r="19" customFormat="false" ht="22.5" hidden="false" customHeight="true" outlineLevel="0" collapsed="false">
      <c r="A19" s="29"/>
      <c r="B19" s="69" t="s">
        <v>130</v>
      </c>
      <c r="C19" s="70" t="s">
        <v>131</v>
      </c>
      <c r="D19" s="32" t="s">
        <v>37</v>
      </c>
      <c r="E19" s="71"/>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row>
    <row r="20" customFormat="false" ht="22.5" hidden="false" customHeight="true" outlineLevel="0" collapsed="false">
      <c r="A20" s="29"/>
      <c r="B20" s="69" t="s">
        <v>132</v>
      </c>
      <c r="C20" s="70" t="s">
        <v>133</v>
      </c>
      <c r="D20" s="32" t="s">
        <v>37</v>
      </c>
      <c r="E20" s="71"/>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row>
    <row r="21" customFormat="false" ht="22.5" hidden="false" customHeight="true" outlineLevel="0" collapsed="false">
      <c r="A21" s="29"/>
      <c r="B21" s="69" t="s">
        <v>134</v>
      </c>
      <c r="C21" s="70" t="s">
        <v>135</v>
      </c>
      <c r="D21" s="32" t="s">
        <v>37</v>
      </c>
      <c r="E21" s="71"/>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row>
    <row r="22" customFormat="false" ht="22.5" hidden="false" customHeight="true" outlineLevel="0" collapsed="false">
      <c r="A22" s="29"/>
      <c r="B22" s="69" t="s">
        <v>136</v>
      </c>
      <c r="C22" s="70" t="s">
        <v>137</v>
      </c>
      <c r="D22" s="32" t="s">
        <v>37</v>
      </c>
      <c r="E22" s="71"/>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row>
    <row r="23" customFormat="false" ht="22.5" hidden="false" customHeight="true" outlineLevel="0" collapsed="false">
      <c r="A23" s="29"/>
      <c r="B23" s="69" t="s">
        <v>138</v>
      </c>
      <c r="C23" s="70" t="s">
        <v>139</v>
      </c>
      <c r="D23" s="32" t="s">
        <v>27</v>
      </c>
      <c r="E23" s="71"/>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row>
    <row r="24" customFormat="false" ht="34.3" hidden="false" customHeight="false" outlineLevel="0" collapsed="false">
      <c r="A24" s="29"/>
      <c r="B24" s="69" t="s">
        <v>140</v>
      </c>
      <c r="C24" s="72" t="s">
        <v>141</v>
      </c>
      <c r="D24" s="32" t="s">
        <v>27</v>
      </c>
      <c r="E24" s="71"/>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row>
    <row r="25" customFormat="false" ht="22.5" hidden="false" customHeight="true" outlineLevel="0" collapsed="false">
      <c r="A25" s="29"/>
      <c r="B25" s="69" t="s">
        <v>142</v>
      </c>
      <c r="C25" s="70" t="s">
        <v>143</v>
      </c>
      <c r="D25" s="32" t="s">
        <v>37</v>
      </c>
      <c r="E25" s="71"/>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row>
    <row r="26" customFormat="false" ht="22.5" hidden="false" customHeight="true" outlineLevel="0" collapsed="false">
      <c r="A26" s="29"/>
      <c r="B26" s="69" t="s">
        <v>144</v>
      </c>
      <c r="C26" s="70" t="s">
        <v>145</v>
      </c>
      <c r="D26" s="32" t="s">
        <v>37</v>
      </c>
      <c r="E26" s="71"/>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row>
    <row r="27" customFormat="false" ht="22.5" hidden="false" customHeight="true" outlineLevel="0" collapsed="false">
      <c r="A27" s="29"/>
      <c r="B27" s="69" t="s">
        <v>147</v>
      </c>
      <c r="C27" s="70" t="s">
        <v>148</v>
      </c>
      <c r="D27" s="32" t="s">
        <v>37</v>
      </c>
      <c r="E27" s="71"/>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row>
    <row r="28" customFormat="false" ht="22.5" hidden="false" customHeight="true" outlineLevel="0" collapsed="false">
      <c r="A28" s="29"/>
      <c r="B28" s="69" t="s">
        <v>149</v>
      </c>
      <c r="C28" s="70" t="s">
        <v>150</v>
      </c>
      <c r="D28" s="32" t="s">
        <v>37</v>
      </c>
      <c r="E28" s="71"/>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row>
    <row r="29" customFormat="false" ht="22.5" hidden="false" customHeight="true" outlineLevel="0" collapsed="false">
      <c r="A29" s="29"/>
      <c r="B29" s="69" t="s">
        <v>151</v>
      </c>
      <c r="C29" s="70" t="s">
        <v>152</v>
      </c>
      <c r="D29" s="32" t="s">
        <v>37</v>
      </c>
      <c r="E29" s="71"/>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row>
    <row r="30" customFormat="false" ht="22.5" hidden="false" customHeight="true" outlineLevel="0" collapsed="false">
      <c r="A30" s="29"/>
      <c r="B30" s="69" t="s">
        <v>153</v>
      </c>
      <c r="C30" s="70" t="s">
        <v>154</v>
      </c>
      <c r="D30" s="32" t="s">
        <v>37</v>
      </c>
      <c r="E30" s="71"/>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row>
    <row r="31" customFormat="false" ht="22.5" hidden="false" customHeight="true" outlineLevel="0" collapsed="false">
      <c r="A31" s="29"/>
      <c r="B31" s="69" t="s">
        <v>155</v>
      </c>
      <c r="C31" s="70" t="s">
        <v>156</v>
      </c>
      <c r="D31" s="32" t="s">
        <v>37</v>
      </c>
      <c r="E31" s="71"/>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row>
    <row r="32" customFormat="false" ht="22.5" hidden="false" customHeight="true" outlineLevel="0" collapsed="false">
      <c r="A32" s="29"/>
      <c r="B32" s="69" t="s">
        <v>157</v>
      </c>
      <c r="C32" s="70" t="s">
        <v>158</v>
      </c>
      <c r="D32" s="32" t="s">
        <v>37</v>
      </c>
      <c r="E32" s="71"/>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row>
    <row r="33" customFormat="false" ht="22.5" hidden="false" customHeight="true" outlineLevel="0" collapsed="false">
      <c r="A33" s="29"/>
      <c r="B33" s="69" t="s">
        <v>159</v>
      </c>
      <c r="C33" s="70" t="s">
        <v>160</v>
      </c>
      <c r="D33" s="32" t="s">
        <v>37</v>
      </c>
      <c r="E33" s="71"/>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row>
    <row r="34" customFormat="false" ht="22.5" hidden="false" customHeight="true" outlineLevel="0" collapsed="false">
      <c r="A34" s="29"/>
      <c r="B34" s="69" t="s">
        <v>161</v>
      </c>
      <c r="C34" s="70" t="s">
        <v>162</v>
      </c>
      <c r="D34" s="32" t="s">
        <v>27</v>
      </c>
      <c r="E34" s="71"/>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row>
    <row r="35" customFormat="false" ht="22.5" hidden="false" customHeight="true" outlineLevel="0" collapsed="false">
      <c r="A35" s="29"/>
      <c r="B35" s="69" t="s">
        <v>163</v>
      </c>
      <c r="C35" s="70" t="s">
        <v>164</v>
      </c>
      <c r="D35" s="32" t="s">
        <v>37</v>
      </c>
      <c r="E35" s="71"/>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c r="DV35" s="29"/>
      <c r="DW35" s="29"/>
      <c r="DX35" s="29"/>
      <c r="DY35" s="29"/>
      <c r="DZ35" s="29"/>
      <c r="EA35" s="29"/>
      <c r="EB35" s="29"/>
      <c r="EC35" s="29"/>
      <c r="ED35" s="29"/>
      <c r="EE35" s="29"/>
      <c r="EF35" s="29"/>
      <c r="EG35" s="29"/>
      <c r="EH35" s="29"/>
      <c r="EI35" s="29"/>
      <c r="EJ35" s="29"/>
      <c r="EK35" s="29"/>
      <c r="EL35" s="29"/>
      <c r="EM35" s="29"/>
      <c r="EN35" s="29"/>
      <c r="EO35" s="29"/>
      <c r="EP35" s="29"/>
      <c r="EQ35" s="29"/>
      <c r="ER35" s="29"/>
      <c r="ES35" s="29"/>
      <c r="ET35" s="29"/>
      <c r="EU35" s="29"/>
      <c r="EV35" s="29"/>
      <c r="EW35" s="29"/>
      <c r="EX35" s="29"/>
      <c r="EY35" s="29"/>
      <c r="EZ35" s="29"/>
      <c r="FA35" s="29"/>
      <c r="FB35" s="29"/>
      <c r="FC35" s="29"/>
      <c r="FD35" s="29"/>
      <c r="FE35" s="29"/>
      <c r="FF35" s="29"/>
      <c r="FG35" s="29"/>
      <c r="FH35" s="29"/>
      <c r="FI35" s="29"/>
      <c r="FJ35" s="29"/>
      <c r="FK35" s="29"/>
      <c r="FL35" s="29"/>
      <c r="FM35" s="29"/>
      <c r="FN35" s="29"/>
      <c r="FO35" s="29"/>
      <c r="FP35" s="29"/>
      <c r="FQ35" s="29"/>
      <c r="FR35" s="29"/>
      <c r="FS35" s="29"/>
      <c r="FT35" s="29"/>
      <c r="FU35" s="29"/>
      <c r="FV35" s="29"/>
      <c r="FW35" s="29"/>
      <c r="FX35" s="29"/>
      <c r="FY35" s="29"/>
      <c r="FZ35" s="29"/>
      <c r="GA35" s="29"/>
      <c r="GB35" s="29"/>
      <c r="GC35" s="29"/>
      <c r="GD35" s="29"/>
      <c r="GE35" s="29"/>
      <c r="GF35" s="29"/>
      <c r="GG35" s="29"/>
      <c r="GH35" s="29"/>
      <c r="GI35" s="29"/>
      <c r="GJ35" s="29"/>
      <c r="GK35" s="29"/>
      <c r="GL35" s="29"/>
      <c r="GM35" s="29"/>
      <c r="GN35" s="29"/>
      <c r="GO35" s="29"/>
      <c r="GP35" s="29"/>
      <c r="GQ35" s="29"/>
      <c r="GR35" s="29"/>
      <c r="GS35" s="29"/>
      <c r="GT35" s="29"/>
      <c r="GU35" s="29"/>
      <c r="GV35" s="29"/>
      <c r="GW35" s="29"/>
      <c r="GX35" s="29"/>
      <c r="GY35" s="29"/>
      <c r="GZ35" s="29"/>
      <c r="HA35" s="29"/>
      <c r="HB35" s="29"/>
      <c r="HC35" s="29"/>
      <c r="HD35" s="29"/>
      <c r="HE35" s="29"/>
      <c r="HF35" s="29"/>
      <c r="HG35" s="29"/>
      <c r="HH35" s="29"/>
      <c r="HI35" s="29"/>
      <c r="HJ35" s="29"/>
      <c r="HK35" s="29"/>
      <c r="HL35" s="29"/>
      <c r="HM35" s="29"/>
      <c r="HN35" s="29"/>
      <c r="HO35" s="29"/>
      <c r="HP35" s="29"/>
      <c r="HQ35" s="29"/>
      <c r="HR35" s="29"/>
      <c r="HS35" s="29"/>
      <c r="HT35" s="29"/>
      <c r="HU35" s="29"/>
      <c r="HV35" s="29"/>
      <c r="HW35" s="29"/>
      <c r="HX35" s="29"/>
      <c r="HY35" s="29"/>
      <c r="HZ35" s="29"/>
      <c r="IA35" s="29"/>
      <c r="IB35" s="29"/>
      <c r="IC35" s="29"/>
      <c r="ID35" s="29"/>
      <c r="IE35" s="29"/>
      <c r="IF35" s="29"/>
      <c r="IG35" s="29"/>
      <c r="IH35" s="29"/>
      <c r="II35" s="29"/>
      <c r="IJ35" s="29"/>
      <c r="IK35" s="29"/>
      <c r="IL35" s="29"/>
      <c r="IM35" s="29"/>
      <c r="IN35" s="29"/>
      <c r="IO35" s="29"/>
      <c r="IP35" s="29"/>
      <c r="IQ35" s="29"/>
      <c r="IR35" s="29"/>
    </row>
    <row r="36" customFormat="false" ht="22.5" hidden="false" customHeight="true" outlineLevel="0" collapsed="false">
      <c r="A36" s="29"/>
      <c r="B36" s="69" t="s">
        <v>165</v>
      </c>
      <c r="C36" s="70" t="s">
        <v>166</v>
      </c>
      <c r="D36" s="32" t="s">
        <v>37</v>
      </c>
      <c r="E36" s="71"/>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29"/>
      <c r="DW36" s="29"/>
      <c r="DX36" s="29"/>
      <c r="DY36" s="29"/>
      <c r="DZ36" s="29"/>
      <c r="EA36" s="29"/>
      <c r="EB36" s="29"/>
      <c r="EC36" s="29"/>
      <c r="ED36" s="29"/>
      <c r="EE36" s="29"/>
      <c r="EF36" s="29"/>
      <c r="EG36" s="29"/>
      <c r="EH36" s="29"/>
      <c r="EI36" s="29"/>
      <c r="EJ36" s="29"/>
      <c r="EK36" s="29"/>
      <c r="EL36" s="29"/>
      <c r="EM36" s="29"/>
      <c r="EN36" s="29"/>
      <c r="EO36" s="29"/>
      <c r="EP36" s="29"/>
      <c r="EQ36" s="29"/>
      <c r="ER36" s="29"/>
      <c r="ES36" s="29"/>
      <c r="ET36" s="29"/>
      <c r="EU36" s="29"/>
      <c r="EV36" s="29"/>
      <c r="EW36" s="29"/>
      <c r="EX36" s="29"/>
      <c r="EY36" s="29"/>
      <c r="EZ36" s="29"/>
      <c r="FA36" s="29"/>
      <c r="FB36" s="29"/>
      <c r="FC36" s="29"/>
      <c r="FD36" s="29"/>
      <c r="FE36" s="29"/>
      <c r="FF36" s="29"/>
      <c r="FG36" s="29"/>
      <c r="FH36" s="29"/>
      <c r="FI36" s="29"/>
      <c r="FJ36" s="29"/>
      <c r="FK36" s="29"/>
      <c r="FL36" s="29"/>
      <c r="FM36" s="29"/>
      <c r="FN36" s="29"/>
      <c r="FO36" s="29"/>
      <c r="FP36" s="29"/>
      <c r="FQ36" s="29"/>
      <c r="FR36" s="29"/>
      <c r="FS36" s="29"/>
      <c r="FT36" s="29"/>
      <c r="FU36" s="29"/>
      <c r="FV36" s="29"/>
      <c r="FW36" s="29"/>
      <c r="FX36" s="29"/>
      <c r="FY36" s="29"/>
      <c r="FZ36" s="29"/>
      <c r="GA36" s="29"/>
      <c r="GB36" s="29"/>
      <c r="GC36" s="29"/>
      <c r="GD36" s="29"/>
      <c r="GE36" s="29"/>
      <c r="GF36" s="29"/>
      <c r="GG36" s="29"/>
      <c r="GH36" s="29"/>
      <c r="GI36" s="29"/>
      <c r="GJ36" s="29"/>
      <c r="GK36" s="29"/>
      <c r="GL36" s="29"/>
      <c r="GM36" s="29"/>
      <c r="GN36" s="29"/>
      <c r="GO36" s="29"/>
      <c r="GP36" s="29"/>
      <c r="GQ36" s="29"/>
      <c r="GR36" s="29"/>
      <c r="GS36" s="29"/>
      <c r="GT36" s="29"/>
      <c r="GU36" s="29"/>
      <c r="GV36" s="29"/>
      <c r="GW36" s="29"/>
      <c r="GX36" s="29"/>
      <c r="GY36" s="29"/>
      <c r="GZ36" s="29"/>
      <c r="HA36" s="29"/>
      <c r="HB36" s="29"/>
      <c r="HC36" s="29"/>
      <c r="HD36" s="29"/>
      <c r="HE36" s="29"/>
      <c r="HF36" s="29"/>
      <c r="HG36" s="29"/>
      <c r="HH36" s="29"/>
      <c r="HI36" s="29"/>
      <c r="HJ36" s="29"/>
      <c r="HK36" s="29"/>
      <c r="HL36" s="29"/>
      <c r="HM36" s="29"/>
      <c r="HN36" s="29"/>
      <c r="HO36" s="29"/>
      <c r="HP36" s="29"/>
      <c r="HQ36" s="29"/>
      <c r="HR36" s="29"/>
      <c r="HS36" s="29"/>
      <c r="HT36" s="29"/>
      <c r="HU36" s="29"/>
      <c r="HV36" s="29"/>
      <c r="HW36" s="29"/>
      <c r="HX36" s="29"/>
      <c r="HY36" s="29"/>
      <c r="HZ36" s="29"/>
      <c r="IA36" s="29"/>
      <c r="IB36" s="29"/>
      <c r="IC36" s="29"/>
      <c r="ID36" s="29"/>
      <c r="IE36" s="29"/>
      <c r="IF36" s="29"/>
      <c r="IG36" s="29"/>
      <c r="IH36" s="29"/>
      <c r="II36" s="29"/>
      <c r="IJ36" s="29"/>
      <c r="IK36" s="29"/>
      <c r="IL36" s="29"/>
      <c r="IM36" s="29"/>
      <c r="IN36" s="29"/>
      <c r="IO36" s="29"/>
      <c r="IP36" s="29"/>
      <c r="IQ36" s="29"/>
      <c r="IR36" s="29"/>
    </row>
    <row r="37" customFormat="false" ht="22.5" hidden="false" customHeight="true" outlineLevel="0" collapsed="false">
      <c r="A37" s="29"/>
      <c r="B37" s="69" t="s">
        <v>167</v>
      </c>
      <c r="C37" s="70" t="s">
        <v>168</v>
      </c>
      <c r="D37" s="32" t="s">
        <v>37</v>
      </c>
      <c r="E37" s="71"/>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c r="FL37" s="29"/>
      <c r="FM37" s="29"/>
      <c r="FN37" s="29"/>
      <c r="FO37" s="29"/>
      <c r="FP37" s="29"/>
      <c r="FQ37" s="29"/>
      <c r="FR37" s="29"/>
      <c r="FS37" s="29"/>
      <c r="FT37" s="29"/>
      <c r="FU37" s="29"/>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29"/>
      <c r="HL37" s="29"/>
      <c r="HM37" s="29"/>
      <c r="HN37" s="29"/>
      <c r="HO37" s="29"/>
      <c r="HP37" s="29"/>
      <c r="HQ37" s="29"/>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row>
    <row r="38" customFormat="false" ht="22.5" hidden="false" customHeight="true" outlineLevel="0" collapsed="false">
      <c r="A38" s="29"/>
      <c r="B38" s="69" t="s">
        <v>169</v>
      </c>
      <c r="C38" s="70" t="s">
        <v>170</v>
      </c>
      <c r="D38" s="32" t="s">
        <v>37</v>
      </c>
      <c r="E38" s="71"/>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row>
    <row r="39" customFormat="false" ht="22.5" hidden="false" customHeight="true" outlineLevel="0" collapsed="false">
      <c r="A39" s="29"/>
      <c r="B39" s="69" t="s">
        <v>171</v>
      </c>
      <c r="C39" s="70" t="s">
        <v>172</v>
      </c>
      <c r="D39" s="32" t="s">
        <v>37</v>
      </c>
      <c r="E39" s="71"/>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c r="FL39" s="29"/>
      <c r="FM39" s="29"/>
      <c r="FN39" s="29"/>
      <c r="FO39" s="29"/>
      <c r="FP39" s="29"/>
      <c r="FQ39" s="29"/>
      <c r="FR39" s="29"/>
      <c r="FS39" s="29"/>
      <c r="FT39" s="29"/>
      <c r="FU39" s="29"/>
      <c r="FV39" s="29"/>
      <c r="FW39" s="29"/>
      <c r="FX39" s="29"/>
      <c r="FY39" s="29"/>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29"/>
      <c r="HL39" s="29"/>
      <c r="HM39" s="29"/>
      <c r="HN39" s="29"/>
      <c r="HO39" s="29"/>
      <c r="HP39" s="29"/>
      <c r="HQ39" s="29"/>
      <c r="HR39" s="29"/>
      <c r="HS39" s="29"/>
      <c r="HT39" s="29"/>
      <c r="HU39" s="29"/>
      <c r="HV39" s="29"/>
      <c r="HW39" s="29"/>
      <c r="HX39" s="29"/>
      <c r="HY39" s="29"/>
      <c r="HZ39" s="29"/>
      <c r="IA39" s="29"/>
      <c r="IB39" s="29"/>
      <c r="IC39" s="29"/>
      <c r="ID39" s="29"/>
      <c r="IE39" s="29"/>
      <c r="IF39" s="29"/>
      <c r="IG39" s="29"/>
      <c r="IH39" s="29"/>
      <c r="II39" s="29"/>
      <c r="IJ39" s="29"/>
      <c r="IK39" s="29"/>
      <c r="IL39" s="29"/>
      <c r="IM39" s="29"/>
      <c r="IN39" s="29"/>
      <c r="IO39" s="29"/>
      <c r="IP39" s="29"/>
      <c r="IQ39" s="29"/>
      <c r="IR39" s="29"/>
    </row>
    <row r="40" customFormat="false" ht="22.5" hidden="false" customHeight="true" outlineLevel="0" collapsed="false">
      <c r="A40" s="29"/>
      <c r="B40" s="69" t="s">
        <v>173</v>
      </c>
      <c r="C40" s="70" t="s">
        <v>174</v>
      </c>
      <c r="D40" s="32" t="s">
        <v>37</v>
      </c>
      <c r="E40" s="71"/>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29"/>
      <c r="DW40" s="29"/>
      <c r="DX40" s="29"/>
      <c r="DY40" s="29"/>
      <c r="DZ40" s="29"/>
      <c r="EA40" s="29"/>
      <c r="EB40" s="29"/>
      <c r="EC40" s="29"/>
      <c r="ED40" s="29"/>
      <c r="EE40" s="29"/>
      <c r="EF40" s="29"/>
      <c r="EG40" s="29"/>
      <c r="EH40" s="29"/>
      <c r="EI40" s="29"/>
      <c r="EJ40" s="29"/>
      <c r="EK40" s="29"/>
      <c r="EL40" s="29"/>
      <c r="EM40" s="29"/>
      <c r="EN40" s="29"/>
      <c r="EO40" s="29"/>
      <c r="EP40" s="29"/>
      <c r="EQ40" s="29"/>
      <c r="ER40" s="29"/>
      <c r="ES40" s="29"/>
      <c r="ET40" s="29"/>
      <c r="EU40" s="29"/>
      <c r="EV40" s="29"/>
      <c r="EW40" s="29"/>
      <c r="EX40" s="29"/>
      <c r="EY40" s="29"/>
      <c r="EZ40" s="29"/>
      <c r="FA40" s="29"/>
      <c r="FB40" s="29"/>
      <c r="FC40" s="29"/>
      <c r="FD40" s="29"/>
      <c r="FE40" s="29"/>
      <c r="FF40" s="29"/>
      <c r="FG40" s="29"/>
      <c r="FH40" s="29"/>
      <c r="FI40" s="29"/>
      <c r="FJ40" s="29"/>
      <c r="FK40" s="29"/>
      <c r="FL40" s="29"/>
      <c r="FM40" s="29"/>
      <c r="FN40" s="29"/>
      <c r="FO40" s="29"/>
      <c r="FP40" s="29"/>
      <c r="FQ40" s="29"/>
      <c r="FR40" s="29"/>
      <c r="FS40" s="29"/>
      <c r="FT40" s="29"/>
      <c r="FU40" s="29"/>
      <c r="FV40" s="29"/>
      <c r="FW40" s="29"/>
      <c r="FX40" s="29"/>
      <c r="FY40" s="29"/>
      <c r="FZ40" s="29"/>
      <c r="GA40" s="29"/>
      <c r="GB40" s="29"/>
      <c r="GC40" s="29"/>
      <c r="GD40" s="29"/>
      <c r="GE40" s="29"/>
      <c r="GF40" s="29"/>
      <c r="GG40" s="29"/>
      <c r="GH40" s="29"/>
      <c r="GI40" s="29"/>
      <c r="GJ40" s="29"/>
      <c r="GK40" s="29"/>
      <c r="GL40" s="29"/>
      <c r="GM40" s="29"/>
      <c r="GN40" s="29"/>
      <c r="GO40" s="29"/>
      <c r="GP40" s="29"/>
      <c r="GQ40" s="29"/>
      <c r="GR40" s="29"/>
      <c r="GS40" s="29"/>
      <c r="GT40" s="29"/>
      <c r="GU40" s="29"/>
      <c r="GV40" s="29"/>
      <c r="GW40" s="29"/>
      <c r="GX40" s="29"/>
      <c r="GY40" s="29"/>
      <c r="GZ40" s="29"/>
      <c r="HA40" s="29"/>
      <c r="HB40" s="29"/>
      <c r="HC40" s="29"/>
      <c r="HD40" s="29"/>
      <c r="HE40" s="29"/>
      <c r="HF40" s="29"/>
      <c r="HG40" s="29"/>
      <c r="HH40" s="29"/>
      <c r="HI40" s="29"/>
      <c r="HJ40" s="29"/>
      <c r="HK40" s="29"/>
      <c r="HL40" s="29"/>
      <c r="HM40" s="29"/>
      <c r="HN40" s="29"/>
      <c r="HO40" s="29"/>
      <c r="HP40" s="29"/>
      <c r="HQ40" s="29"/>
      <c r="HR40" s="29"/>
      <c r="HS40" s="29"/>
      <c r="HT40" s="29"/>
      <c r="HU40" s="29"/>
      <c r="HV40" s="29"/>
      <c r="HW40" s="29"/>
      <c r="HX40" s="29"/>
      <c r="HY40" s="29"/>
      <c r="HZ40" s="29"/>
      <c r="IA40" s="29"/>
      <c r="IB40" s="29"/>
      <c r="IC40" s="29"/>
      <c r="ID40" s="29"/>
      <c r="IE40" s="29"/>
      <c r="IF40" s="29"/>
      <c r="IG40" s="29"/>
      <c r="IH40" s="29"/>
      <c r="II40" s="29"/>
      <c r="IJ40" s="29"/>
      <c r="IK40" s="29"/>
      <c r="IL40" s="29"/>
      <c r="IM40" s="29"/>
      <c r="IN40" s="29"/>
      <c r="IO40" s="29"/>
      <c r="IP40" s="29"/>
      <c r="IQ40" s="29"/>
      <c r="IR40" s="29"/>
    </row>
    <row r="41" customFormat="false" ht="39.6" hidden="false" customHeight="true" outlineLevel="0" collapsed="false">
      <c r="A41" s="66"/>
      <c r="B41" s="67" t="s">
        <v>175</v>
      </c>
      <c r="C41" s="68" t="s">
        <v>176</v>
      </c>
      <c r="D41" s="68"/>
      <c r="E41" s="68"/>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c r="GW41" s="66"/>
      <c r="GX41" s="66"/>
      <c r="GY41" s="66"/>
      <c r="GZ41" s="66"/>
      <c r="HA41" s="66"/>
      <c r="HB41" s="66"/>
      <c r="HC41" s="66"/>
      <c r="HD41" s="66"/>
      <c r="HE41" s="66"/>
      <c r="HF41" s="66"/>
      <c r="HG41" s="66"/>
      <c r="HH41" s="66"/>
      <c r="HI41" s="66"/>
      <c r="HJ41" s="66"/>
      <c r="HK41" s="66"/>
      <c r="HL41" s="66"/>
      <c r="HM41" s="66"/>
      <c r="HN41" s="66"/>
      <c r="HO41" s="66"/>
      <c r="HP41" s="66"/>
      <c r="HQ41" s="66"/>
      <c r="HR41" s="66"/>
      <c r="HS41" s="66"/>
      <c r="HT41" s="66"/>
      <c r="HU41" s="66"/>
      <c r="HV41" s="66"/>
      <c r="HW41" s="66"/>
      <c r="HX41" s="66"/>
      <c r="HY41" s="66"/>
      <c r="HZ41" s="66"/>
      <c r="IA41" s="66"/>
      <c r="IB41" s="66"/>
      <c r="IC41" s="66"/>
      <c r="ID41" s="66"/>
      <c r="IE41" s="66"/>
      <c r="IF41" s="66"/>
      <c r="IG41" s="66"/>
      <c r="IH41" s="66"/>
      <c r="II41" s="66"/>
      <c r="IJ41" s="66"/>
      <c r="IK41" s="66"/>
      <c r="IL41" s="66"/>
      <c r="IM41" s="66"/>
      <c r="IN41" s="66"/>
      <c r="IO41" s="66"/>
      <c r="IP41" s="66"/>
      <c r="IQ41" s="66"/>
      <c r="IR41" s="66"/>
    </row>
    <row r="42" customFormat="false" ht="22.5" hidden="false" customHeight="true" outlineLevel="0" collapsed="false">
      <c r="A42" s="23"/>
      <c r="B42" s="69" t="s">
        <v>177</v>
      </c>
      <c r="C42" s="70" t="s">
        <v>178</v>
      </c>
      <c r="D42" s="32" t="s">
        <v>37</v>
      </c>
      <c r="E42" s="71"/>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row>
    <row r="43" customFormat="false" ht="22.5" hidden="false" customHeight="true" outlineLevel="0" collapsed="false">
      <c r="A43" s="23"/>
      <c r="B43" s="69" t="s">
        <v>179</v>
      </c>
      <c r="C43" s="70" t="s">
        <v>180</v>
      </c>
      <c r="D43" s="32" t="s">
        <v>37</v>
      </c>
      <c r="E43" s="71"/>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row>
    <row r="44" customFormat="false" ht="22.5" hidden="false" customHeight="true" outlineLevel="0" collapsed="false">
      <c r="A44" s="23"/>
      <c r="B44" s="69" t="s">
        <v>181</v>
      </c>
      <c r="C44" s="70" t="s">
        <v>182</v>
      </c>
      <c r="D44" s="32" t="s">
        <v>27</v>
      </c>
      <c r="E44" s="71"/>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row>
    <row r="45" customFormat="false" ht="22.5" hidden="false" customHeight="true" outlineLevel="0" collapsed="false">
      <c r="A45" s="23"/>
      <c r="B45" s="69" t="s">
        <v>183</v>
      </c>
      <c r="C45" s="70" t="s">
        <v>184</v>
      </c>
      <c r="D45" s="32" t="s">
        <v>37</v>
      </c>
      <c r="E45" s="71"/>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row>
    <row r="46" customFormat="false" ht="22.5" hidden="false" customHeight="true" outlineLevel="0" collapsed="false">
      <c r="A46" s="23"/>
      <c r="B46" s="69" t="s">
        <v>185</v>
      </c>
      <c r="C46" s="70" t="s">
        <v>186</v>
      </c>
      <c r="D46" s="32" t="s">
        <v>37</v>
      </c>
      <c r="E46" s="71"/>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row>
    <row r="47" customFormat="false" ht="22.5" hidden="false" customHeight="true" outlineLevel="0" collapsed="false">
      <c r="A47" s="23"/>
      <c r="B47" s="69" t="s">
        <v>187</v>
      </c>
      <c r="C47" s="70" t="s">
        <v>188</v>
      </c>
      <c r="D47" s="32" t="s">
        <v>37</v>
      </c>
      <c r="E47" s="71"/>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row>
    <row r="48" customFormat="false" ht="22.5" hidden="false" customHeight="true" outlineLevel="0" collapsed="false">
      <c r="A48" s="23"/>
      <c r="B48" s="69" t="s">
        <v>189</v>
      </c>
      <c r="C48" s="70" t="s">
        <v>190</v>
      </c>
      <c r="D48" s="32" t="s">
        <v>37</v>
      </c>
      <c r="E48" s="71"/>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row>
    <row r="49" customFormat="false" ht="22.5" hidden="false" customHeight="true" outlineLevel="0" collapsed="false">
      <c r="A49" s="23"/>
      <c r="B49" s="69" t="s">
        <v>191</v>
      </c>
      <c r="C49" s="70" t="s">
        <v>192</v>
      </c>
      <c r="D49" s="32" t="s">
        <v>37</v>
      </c>
      <c r="E49" s="71"/>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row>
    <row r="50" customFormat="false" ht="39.6" hidden="false" customHeight="true" outlineLevel="0" collapsed="false">
      <c r="A50" s="66"/>
      <c r="B50" s="67" t="s">
        <v>193</v>
      </c>
      <c r="C50" s="68" t="s">
        <v>194</v>
      </c>
      <c r="D50" s="68"/>
      <c r="E50" s="68"/>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c r="HT50" s="66"/>
      <c r="HU50" s="66"/>
      <c r="HV50" s="66"/>
      <c r="HW50" s="66"/>
      <c r="HX50" s="66"/>
      <c r="HY50" s="66"/>
      <c r="HZ50" s="66"/>
      <c r="IA50" s="66"/>
      <c r="IB50" s="66"/>
      <c r="IC50" s="66"/>
      <c r="ID50" s="66"/>
      <c r="IE50" s="66"/>
      <c r="IF50" s="66"/>
      <c r="IG50" s="66"/>
      <c r="IH50" s="66"/>
      <c r="II50" s="66"/>
      <c r="IJ50" s="66"/>
      <c r="IK50" s="66"/>
      <c r="IL50" s="66"/>
      <c r="IM50" s="66"/>
      <c r="IN50" s="66"/>
      <c r="IO50" s="66"/>
      <c r="IP50" s="66"/>
      <c r="IQ50" s="66"/>
      <c r="IR50" s="66"/>
    </row>
    <row r="51" customFormat="false" ht="22.5" hidden="false" customHeight="true" outlineLevel="0" collapsed="false">
      <c r="A51" s="23"/>
      <c r="B51" s="69" t="s">
        <v>195</v>
      </c>
      <c r="C51" s="70" t="s">
        <v>196</v>
      </c>
      <c r="D51" s="32" t="s">
        <v>37</v>
      </c>
      <c r="E51" s="71"/>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row>
    <row r="52" customFormat="false" ht="22.5" hidden="false" customHeight="true" outlineLevel="0" collapsed="false">
      <c r="A52" s="23"/>
      <c r="B52" s="69" t="s">
        <v>197</v>
      </c>
      <c r="C52" s="70" t="s">
        <v>198</v>
      </c>
      <c r="D52" s="32" t="s">
        <v>37</v>
      </c>
      <c r="E52" s="71"/>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row>
    <row r="53" customFormat="false" ht="22.5" hidden="false" customHeight="true" outlineLevel="0" collapsed="false">
      <c r="A53" s="23"/>
      <c r="B53" s="69" t="s">
        <v>199</v>
      </c>
      <c r="C53" s="70" t="s">
        <v>200</v>
      </c>
      <c r="D53" s="32" t="s">
        <v>37</v>
      </c>
      <c r="E53" s="71"/>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row>
    <row r="54" customFormat="false" ht="22.5" hidden="false" customHeight="true" outlineLevel="0" collapsed="false">
      <c r="A54" s="23"/>
      <c r="B54" s="69" t="s">
        <v>201</v>
      </c>
      <c r="C54" s="70" t="s">
        <v>202</v>
      </c>
      <c r="D54" s="32" t="s">
        <v>37</v>
      </c>
      <c r="E54" s="71"/>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row>
    <row r="55" customFormat="false" ht="22.5" hidden="false" customHeight="true" outlineLevel="0" collapsed="false">
      <c r="A55" s="23"/>
      <c r="B55" s="69" t="s">
        <v>203</v>
      </c>
      <c r="C55" s="70" t="s">
        <v>204</v>
      </c>
      <c r="D55" s="32" t="s">
        <v>37</v>
      </c>
      <c r="E55" s="71"/>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row>
    <row r="56" customFormat="false" ht="22.5" hidden="false" customHeight="true" outlineLevel="0" collapsed="false">
      <c r="A56" s="23"/>
      <c r="B56" s="69" t="s">
        <v>205</v>
      </c>
      <c r="C56" s="70" t="s">
        <v>206</v>
      </c>
      <c r="D56" s="32" t="s">
        <v>37</v>
      </c>
      <c r="E56" s="71"/>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row>
    <row r="57" customFormat="false" ht="22.5" hidden="false" customHeight="true" outlineLevel="0" collapsed="false">
      <c r="A57" s="23"/>
      <c r="B57" s="69" t="s">
        <v>207</v>
      </c>
      <c r="C57" s="70" t="s">
        <v>208</v>
      </c>
      <c r="D57" s="32" t="s">
        <v>37</v>
      </c>
      <c r="E57" s="71"/>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row>
    <row r="58" customFormat="false" ht="22.5" hidden="false" customHeight="true" outlineLevel="0" collapsed="false">
      <c r="A58" s="23"/>
      <c r="B58" s="69" t="s">
        <v>209</v>
      </c>
      <c r="C58" s="70" t="s">
        <v>210</v>
      </c>
      <c r="D58" s="32" t="s">
        <v>37</v>
      </c>
      <c r="E58" s="71"/>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row>
    <row r="59" customFormat="false" ht="22.5" hidden="false" customHeight="true" outlineLevel="0" collapsed="false">
      <c r="A59" s="23"/>
      <c r="B59" s="69" t="s">
        <v>211</v>
      </c>
      <c r="C59" s="70" t="s">
        <v>212</v>
      </c>
      <c r="D59" s="32" t="s">
        <v>37</v>
      </c>
      <c r="E59" s="71"/>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row>
    <row r="60" customFormat="false" ht="22.5" hidden="false" customHeight="true" outlineLevel="0" collapsed="false">
      <c r="A60" s="23"/>
      <c r="B60" s="69" t="s">
        <v>213</v>
      </c>
      <c r="C60" s="70" t="s">
        <v>214</v>
      </c>
      <c r="D60" s="32" t="s">
        <v>37</v>
      </c>
      <c r="E60" s="71"/>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row>
    <row r="61" customFormat="false" ht="22.5" hidden="false" customHeight="true" outlineLevel="0" collapsed="false">
      <c r="A61" s="23"/>
      <c r="B61" s="69" t="s">
        <v>215</v>
      </c>
      <c r="C61" s="70" t="s">
        <v>216</v>
      </c>
      <c r="D61" s="32" t="s">
        <v>37</v>
      </c>
      <c r="E61" s="71"/>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row>
    <row r="62" customFormat="false" ht="22.5" hidden="false" customHeight="true" outlineLevel="0" collapsed="false">
      <c r="A62" s="23"/>
      <c r="B62" s="69" t="s">
        <v>217</v>
      </c>
      <c r="C62" s="70" t="s">
        <v>218</v>
      </c>
      <c r="D62" s="32" t="s">
        <v>37</v>
      </c>
      <c r="E62" s="71"/>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row>
    <row r="63" customFormat="false" ht="22.5" hidden="false" customHeight="true" outlineLevel="0" collapsed="false">
      <c r="A63" s="23"/>
      <c r="B63" s="69" t="s">
        <v>219</v>
      </c>
      <c r="C63" s="70" t="s">
        <v>220</v>
      </c>
      <c r="D63" s="32" t="s">
        <v>37</v>
      </c>
      <c r="E63" s="71"/>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row>
    <row r="64" customFormat="false" ht="22.5" hidden="false" customHeight="true" outlineLevel="0" collapsed="false">
      <c r="A64" s="23"/>
      <c r="B64" s="69" t="s">
        <v>221</v>
      </c>
      <c r="C64" s="70" t="s">
        <v>222</v>
      </c>
      <c r="D64" s="32" t="s">
        <v>37</v>
      </c>
      <c r="E64" s="71"/>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3"/>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row>
    <row r="65" customFormat="false" ht="39.6" hidden="false" customHeight="true" outlineLevel="0" collapsed="false">
      <c r="A65" s="66"/>
      <c r="B65" s="67" t="s">
        <v>223</v>
      </c>
      <c r="C65" s="68" t="s">
        <v>224</v>
      </c>
      <c r="D65" s="68"/>
      <c r="E65" s="68"/>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s="66"/>
      <c r="DR65" s="66"/>
      <c r="DS65" s="66"/>
      <c r="DT65" s="66"/>
      <c r="DU65" s="66"/>
      <c r="DV65" s="66"/>
      <c r="DW65" s="66"/>
      <c r="DX65" s="66"/>
      <c r="DY65" s="66"/>
      <c r="DZ65" s="66"/>
      <c r="EA65" s="66"/>
      <c r="EB65" s="66"/>
      <c r="EC65" s="66"/>
      <c r="ED65" s="66"/>
      <c r="EE65" s="66"/>
      <c r="EF65" s="66"/>
      <c r="EG65" s="66"/>
      <c r="EH65" s="66"/>
      <c r="EI65" s="66"/>
      <c r="EJ65" s="66"/>
      <c r="EK65" s="66"/>
      <c r="EL65" s="66"/>
      <c r="EM65" s="66"/>
      <c r="EN65" s="66"/>
      <c r="EO65" s="66"/>
      <c r="EP65" s="66"/>
      <c r="EQ65" s="66"/>
      <c r="ER65" s="66"/>
      <c r="ES65" s="66"/>
      <c r="ET65" s="66"/>
      <c r="EU65" s="66"/>
      <c r="EV65" s="66"/>
      <c r="EW65" s="66"/>
      <c r="EX65" s="66"/>
      <c r="EY65" s="66"/>
      <c r="EZ65" s="66"/>
      <c r="FA65" s="66"/>
      <c r="FB65" s="66"/>
      <c r="FC65" s="66"/>
      <c r="FD65" s="66"/>
      <c r="FE65" s="66"/>
      <c r="FF65" s="66"/>
      <c r="FG65" s="66"/>
      <c r="FH65" s="66"/>
      <c r="FI65" s="66"/>
      <c r="FJ65" s="66"/>
      <c r="FK65" s="66"/>
      <c r="FL65" s="66"/>
      <c r="FM65" s="66"/>
      <c r="FN65" s="66"/>
      <c r="FO65" s="66"/>
      <c r="FP65" s="66"/>
      <c r="FQ65" s="66"/>
      <c r="FR65" s="66"/>
      <c r="FS65" s="66"/>
      <c r="FT65" s="66"/>
      <c r="FU65" s="66"/>
      <c r="FV65" s="66"/>
      <c r="FW65" s="66"/>
      <c r="FX65" s="66"/>
      <c r="FY65" s="66"/>
      <c r="FZ65" s="66"/>
      <c r="GA65" s="66"/>
      <c r="GB65" s="66"/>
      <c r="GC65" s="66"/>
      <c r="GD65" s="66"/>
      <c r="GE65" s="66"/>
      <c r="GF65" s="66"/>
      <c r="GG65" s="66"/>
      <c r="GH65" s="66"/>
      <c r="GI65" s="66"/>
      <c r="GJ65" s="66"/>
      <c r="GK65" s="66"/>
      <c r="GL65" s="66"/>
      <c r="GM65" s="66"/>
      <c r="GN65" s="66"/>
      <c r="GO65" s="66"/>
      <c r="GP65" s="66"/>
      <c r="GQ65" s="66"/>
      <c r="GR65" s="66"/>
      <c r="GS65" s="66"/>
      <c r="GT65" s="66"/>
      <c r="GU65" s="66"/>
      <c r="GV65" s="66"/>
      <c r="GW65" s="66"/>
      <c r="GX65" s="66"/>
      <c r="GY65" s="66"/>
      <c r="GZ65" s="66"/>
      <c r="HA65" s="66"/>
      <c r="HB65" s="66"/>
      <c r="HC65" s="66"/>
      <c r="HD65" s="66"/>
      <c r="HE65" s="66"/>
      <c r="HF65" s="66"/>
      <c r="HG65" s="66"/>
      <c r="HH65" s="66"/>
      <c r="HI65" s="66"/>
      <c r="HJ65" s="66"/>
      <c r="HK65" s="66"/>
      <c r="HL65" s="66"/>
      <c r="HM65" s="66"/>
      <c r="HN65" s="66"/>
      <c r="HO65" s="66"/>
      <c r="HP65" s="66"/>
      <c r="HQ65" s="66"/>
      <c r="HR65" s="66"/>
      <c r="HS65" s="66"/>
      <c r="HT65" s="66"/>
      <c r="HU65" s="66"/>
      <c r="HV65" s="66"/>
      <c r="HW65" s="66"/>
      <c r="HX65" s="66"/>
      <c r="HY65" s="66"/>
      <c r="HZ65" s="66"/>
      <c r="IA65" s="66"/>
      <c r="IB65" s="66"/>
      <c r="IC65" s="66"/>
      <c r="ID65" s="66"/>
      <c r="IE65" s="66"/>
      <c r="IF65" s="66"/>
      <c r="IG65" s="66"/>
      <c r="IH65" s="66"/>
      <c r="II65" s="66"/>
      <c r="IJ65" s="66"/>
      <c r="IK65" s="66"/>
      <c r="IL65" s="66"/>
      <c r="IM65" s="66"/>
      <c r="IN65" s="66"/>
      <c r="IO65" s="66"/>
      <c r="IP65" s="66"/>
      <c r="IQ65" s="66"/>
      <c r="IR65" s="66"/>
    </row>
    <row r="66" customFormat="false" ht="22.5" hidden="false" customHeight="true" outlineLevel="0" collapsed="false">
      <c r="A66" s="23"/>
      <c r="B66" s="69" t="s">
        <v>225</v>
      </c>
      <c r="C66" s="70" t="s">
        <v>226</v>
      </c>
      <c r="D66" s="32" t="s">
        <v>37</v>
      </c>
      <c r="E66" s="71"/>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row>
    <row r="67" customFormat="false" ht="22.5" hidden="false" customHeight="true" outlineLevel="0" collapsed="false">
      <c r="A67" s="23"/>
      <c r="B67" s="69" t="s">
        <v>227</v>
      </c>
      <c r="C67" s="70" t="s">
        <v>228</v>
      </c>
      <c r="D67" s="32" t="s">
        <v>27</v>
      </c>
      <c r="E67" s="71"/>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23"/>
      <c r="FG67" s="23"/>
      <c r="FH67" s="23"/>
      <c r="FI67" s="23"/>
      <c r="FJ67" s="23"/>
      <c r="FK67" s="23"/>
      <c r="FL67" s="23"/>
      <c r="FM67" s="23"/>
      <c r="FN67" s="23"/>
      <c r="FO67" s="23"/>
      <c r="FP67" s="23"/>
      <c r="FQ67" s="23"/>
      <c r="FR67" s="23"/>
      <c r="FS67" s="23"/>
      <c r="FT67" s="23"/>
      <c r="FU67" s="23"/>
      <c r="FV67" s="23"/>
      <c r="FW67" s="23"/>
      <c r="FX67" s="23"/>
      <c r="FY67" s="23"/>
      <c r="FZ67" s="23"/>
      <c r="GA67" s="23"/>
      <c r="GB67" s="23"/>
      <c r="GC67" s="23"/>
      <c r="GD67" s="23"/>
      <c r="GE67" s="23"/>
      <c r="GF67" s="23"/>
      <c r="GG67" s="23"/>
      <c r="GH67" s="23"/>
      <c r="GI67" s="23"/>
      <c r="GJ67" s="23"/>
      <c r="GK67" s="23"/>
      <c r="GL67" s="23"/>
      <c r="GM67" s="23"/>
      <c r="GN67" s="23"/>
      <c r="GO67" s="23"/>
      <c r="GP67" s="23"/>
      <c r="GQ67" s="23"/>
      <c r="GR67" s="23"/>
      <c r="GS67" s="23"/>
      <c r="GT67" s="23"/>
      <c r="GU67" s="23"/>
      <c r="GV67" s="23"/>
      <c r="GW67" s="23"/>
      <c r="GX67" s="23"/>
      <c r="GY67" s="23"/>
      <c r="GZ67" s="23"/>
      <c r="HA67" s="23"/>
      <c r="HB67" s="23"/>
      <c r="HC67" s="23"/>
      <c r="HD67" s="23"/>
      <c r="HE67" s="23"/>
      <c r="HF67" s="23"/>
      <c r="HG67" s="23"/>
      <c r="HH67" s="23"/>
      <c r="HI67" s="23"/>
      <c r="HJ67" s="23"/>
      <c r="HK67" s="23"/>
      <c r="HL67" s="23"/>
      <c r="HM67" s="23"/>
      <c r="HN67" s="23"/>
      <c r="HO67" s="23"/>
      <c r="HP67" s="23"/>
      <c r="HQ67" s="23"/>
      <c r="HR67" s="23"/>
      <c r="HS67" s="23"/>
      <c r="HT67" s="23"/>
      <c r="HU67" s="23"/>
      <c r="HV67" s="23"/>
      <c r="HW67" s="23"/>
      <c r="HX67" s="23"/>
      <c r="HY67" s="23"/>
      <c r="HZ67" s="23"/>
      <c r="IA67" s="23"/>
      <c r="IB67" s="23"/>
      <c r="IC67" s="23"/>
      <c r="ID67" s="23"/>
      <c r="IE67" s="23"/>
      <c r="IF67" s="23"/>
      <c r="IG67" s="23"/>
      <c r="IH67" s="23"/>
      <c r="II67" s="23"/>
      <c r="IJ67" s="23"/>
      <c r="IK67" s="23"/>
      <c r="IL67" s="23"/>
      <c r="IM67" s="23"/>
      <c r="IN67" s="23"/>
      <c r="IO67" s="23"/>
      <c r="IP67" s="23"/>
      <c r="IQ67" s="23"/>
      <c r="IR67" s="23"/>
    </row>
    <row r="68" customFormat="false" ht="22.5" hidden="false" customHeight="true" outlineLevel="0" collapsed="false">
      <c r="A68" s="23"/>
      <c r="B68" s="69" t="s">
        <v>229</v>
      </c>
      <c r="C68" s="70" t="s">
        <v>230</v>
      </c>
      <c r="D68" s="32" t="s">
        <v>27</v>
      </c>
      <c r="E68" s="71"/>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c r="FY68" s="23"/>
      <c r="FZ68" s="23"/>
      <c r="GA68" s="23"/>
      <c r="GB68" s="23"/>
      <c r="GC68" s="23"/>
      <c r="GD68" s="23"/>
      <c r="GE68" s="23"/>
      <c r="GF68" s="23"/>
      <c r="GG68" s="23"/>
      <c r="GH68" s="23"/>
      <c r="GI68" s="23"/>
      <c r="GJ68" s="23"/>
      <c r="GK68" s="23"/>
      <c r="GL68" s="23"/>
      <c r="GM68" s="23"/>
      <c r="GN68" s="23"/>
      <c r="GO68" s="23"/>
      <c r="GP68" s="23"/>
      <c r="GQ68" s="23"/>
      <c r="GR68" s="23"/>
      <c r="GS68" s="23"/>
      <c r="GT68" s="23"/>
      <c r="GU68" s="23"/>
      <c r="GV68" s="23"/>
      <c r="GW68" s="23"/>
      <c r="GX68" s="23"/>
      <c r="GY68" s="23"/>
      <c r="GZ68" s="23"/>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c r="HY68" s="23"/>
      <c r="HZ68" s="23"/>
      <c r="IA68" s="23"/>
      <c r="IB68" s="23"/>
      <c r="IC68" s="23"/>
      <c r="ID68" s="23"/>
      <c r="IE68" s="23"/>
      <c r="IF68" s="23"/>
      <c r="IG68" s="23"/>
      <c r="IH68" s="23"/>
      <c r="II68" s="23"/>
      <c r="IJ68" s="23"/>
      <c r="IK68" s="23"/>
      <c r="IL68" s="23"/>
      <c r="IM68" s="23"/>
      <c r="IN68" s="23"/>
      <c r="IO68" s="23"/>
      <c r="IP68" s="23"/>
      <c r="IQ68" s="23"/>
      <c r="IR68" s="23"/>
    </row>
    <row r="69" customFormat="false" ht="22.5" hidden="false" customHeight="true" outlineLevel="0" collapsed="false">
      <c r="A69" s="23"/>
      <c r="B69" s="69" t="s">
        <v>231</v>
      </c>
      <c r="C69" s="70" t="s">
        <v>232</v>
      </c>
      <c r="D69" s="32" t="s">
        <v>27</v>
      </c>
      <c r="E69" s="71"/>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row>
    <row r="70" customFormat="false" ht="22.5" hidden="false" customHeight="true" outlineLevel="0" collapsed="false">
      <c r="A70" s="23"/>
      <c r="B70" s="69" t="s">
        <v>233</v>
      </c>
      <c r="C70" s="70" t="s">
        <v>234</v>
      </c>
      <c r="D70" s="32" t="s">
        <v>27</v>
      </c>
      <c r="E70" s="71"/>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c r="FY70" s="23"/>
      <c r="FZ70" s="23"/>
      <c r="GA70" s="23"/>
      <c r="GB70" s="23"/>
      <c r="GC70" s="23"/>
      <c r="GD70" s="23"/>
      <c r="GE70" s="23"/>
      <c r="GF70" s="23"/>
      <c r="GG70" s="23"/>
      <c r="GH70" s="23"/>
      <c r="GI70" s="23"/>
      <c r="GJ70" s="23"/>
      <c r="GK70" s="23"/>
      <c r="GL70" s="23"/>
      <c r="GM70" s="23"/>
      <c r="GN70" s="23"/>
      <c r="GO70" s="23"/>
      <c r="GP70" s="23"/>
      <c r="GQ70" s="23"/>
      <c r="GR70" s="23"/>
      <c r="GS70" s="23"/>
      <c r="GT70" s="23"/>
      <c r="GU70" s="23"/>
      <c r="GV70" s="23"/>
      <c r="GW70" s="23"/>
      <c r="GX70" s="23"/>
      <c r="GY70" s="23"/>
      <c r="GZ70" s="23"/>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c r="HY70" s="23"/>
      <c r="HZ70" s="23"/>
      <c r="IA70" s="23"/>
      <c r="IB70" s="23"/>
      <c r="IC70" s="23"/>
      <c r="ID70" s="23"/>
      <c r="IE70" s="23"/>
      <c r="IF70" s="23"/>
      <c r="IG70" s="23"/>
      <c r="IH70" s="23"/>
      <c r="II70" s="23"/>
      <c r="IJ70" s="23"/>
      <c r="IK70" s="23"/>
      <c r="IL70" s="23"/>
      <c r="IM70" s="23"/>
      <c r="IN70" s="23"/>
      <c r="IO70" s="23"/>
      <c r="IP70" s="23"/>
      <c r="IQ70" s="23"/>
      <c r="IR70" s="23"/>
    </row>
    <row r="71" customFormat="false" ht="22.5" hidden="false" customHeight="true" outlineLevel="0" collapsed="false">
      <c r="A71" s="23"/>
      <c r="B71" s="69" t="s">
        <v>235</v>
      </c>
      <c r="C71" s="70" t="s">
        <v>236</v>
      </c>
      <c r="D71" s="32" t="s">
        <v>27</v>
      </c>
      <c r="E71" s="71"/>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23"/>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row>
    <row r="72" customFormat="false" ht="22.5" hidden="false" customHeight="true" outlineLevel="0" collapsed="false">
      <c r="A72" s="23"/>
      <c r="B72" s="69" t="s">
        <v>237</v>
      </c>
      <c r="C72" s="70" t="s">
        <v>238</v>
      </c>
      <c r="D72" s="32" t="s">
        <v>27</v>
      </c>
      <c r="E72" s="71"/>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row>
    <row r="73" customFormat="false" ht="22.5" hidden="false" customHeight="true" outlineLevel="0" collapsed="false">
      <c r="A73" s="23"/>
      <c r="B73" s="69" t="s">
        <v>239</v>
      </c>
      <c r="C73" s="70" t="s">
        <v>240</v>
      </c>
      <c r="D73" s="32" t="s">
        <v>27</v>
      </c>
      <c r="E73" s="71"/>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23"/>
      <c r="FG73" s="23"/>
      <c r="FH73" s="23"/>
      <c r="FI73" s="23"/>
      <c r="FJ73" s="23"/>
      <c r="FK73" s="23"/>
      <c r="FL73" s="23"/>
      <c r="FM73" s="23"/>
      <c r="FN73" s="23"/>
      <c r="FO73" s="23"/>
      <c r="FP73" s="23"/>
      <c r="FQ73" s="23"/>
      <c r="FR73" s="23"/>
      <c r="FS73" s="23"/>
      <c r="FT73" s="23"/>
      <c r="FU73" s="23"/>
      <c r="FV73" s="23"/>
      <c r="FW73" s="23"/>
      <c r="FX73" s="23"/>
      <c r="FY73" s="23"/>
      <c r="FZ73" s="23"/>
      <c r="GA73" s="23"/>
      <c r="GB73" s="23"/>
      <c r="GC73" s="23"/>
      <c r="GD73" s="23"/>
      <c r="GE73" s="23"/>
      <c r="GF73" s="23"/>
      <c r="GG73" s="23"/>
      <c r="GH73" s="23"/>
      <c r="GI73" s="23"/>
      <c r="GJ73" s="23"/>
      <c r="GK73" s="23"/>
      <c r="GL73" s="23"/>
      <c r="GM73" s="23"/>
      <c r="GN73" s="23"/>
      <c r="GO73" s="23"/>
      <c r="GP73" s="23"/>
      <c r="GQ73" s="23"/>
      <c r="GR73" s="23"/>
      <c r="GS73" s="23"/>
      <c r="GT73" s="23"/>
      <c r="GU73" s="23"/>
      <c r="GV73" s="23"/>
      <c r="GW73" s="23"/>
      <c r="GX73" s="23"/>
      <c r="GY73" s="23"/>
      <c r="GZ73" s="23"/>
      <c r="HA73" s="23"/>
      <c r="HB73" s="23"/>
      <c r="HC73" s="23"/>
      <c r="HD73" s="23"/>
      <c r="HE73" s="23"/>
      <c r="HF73" s="23"/>
      <c r="HG73" s="23"/>
      <c r="HH73" s="23"/>
      <c r="HI73" s="23"/>
      <c r="HJ73" s="23"/>
      <c r="HK73" s="23"/>
      <c r="HL73" s="23"/>
      <c r="HM73" s="23"/>
      <c r="HN73" s="23"/>
      <c r="HO73" s="23"/>
      <c r="HP73" s="23"/>
      <c r="HQ73" s="23"/>
      <c r="HR73" s="23"/>
      <c r="HS73" s="23"/>
      <c r="HT73" s="23"/>
      <c r="HU73" s="23"/>
      <c r="HV73" s="23"/>
      <c r="HW73" s="23"/>
      <c r="HX73" s="23"/>
      <c r="HY73" s="23"/>
      <c r="HZ73" s="23"/>
      <c r="IA73" s="23"/>
      <c r="IB73" s="23"/>
      <c r="IC73" s="23"/>
      <c r="ID73" s="23"/>
      <c r="IE73" s="23"/>
      <c r="IF73" s="23"/>
      <c r="IG73" s="23"/>
      <c r="IH73" s="23"/>
      <c r="II73" s="23"/>
      <c r="IJ73" s="23"/>
      <c r="IK73" s="23"/>
      <c r="IL73" s="23"/>
      <c r="IM73" s="23"/>
      <c r="IN73" s="23"/>
      <c r="IO73" s="23"/>
      <c r="IP73" s="23"/>
      <c r="IQ73" s="23"/>
      <c r="IR73" s="23"/>
    </row>
    <row r="74" customFormat="false" ht="22.5" hidden="false" customHeight="true" outlineLevel="0" collapsed="false">
      <c r="A74" s="23"/>
      <c r="B74" s="69" t="s">
        <v>241</v>
      </c>
      <c r="C74" s="70" t="s">
        <v>242</v>
      </c>
      <c r="D74" s="32" t="s">
        <v>37</v>
      </c>
      <c r="E74" s="71"/>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c r="FY74" s="23"/>
      <c r="FZ74" s="23"/>
      <c r="GA74" s="23"/>
      <c r="GB74" s="23"/>
      <c r="GC74" s="23"/>
      <c r="GD74" s="23"/>
      <c r="GE74" s="23"/>
      <c r="GF74" s="23"/>
      <c r="GG74" s="23"/>
      <c r="GH74" s="23"/>
      <c r="GI74" s="23"/>
      <c r="GJ74" s="23"/>
      <c r="GK74" s="23"/>
      <c r="GL74" s="23"/>
      <c r="GM74" s="23"/>
      <c r="GN74" s="23"/>
      <c r="GO74" s="23"/>
      <c r="GP74" s="23"/>
      <c r="GQ74" s="23"/>
      <c r="GR74" s="23"/>
      <c r="GS74" s="23"/>
      <c r="GT74" s="23"/>
      <c r="GU74" s="23"/>
      <c r="GV74" s="23"/>
      <c r="GW74" s="23"/>
      <c r="GX74" s="23"/>
      <c r="GY74" s="23"/>
      <c r="GZ74" s="23"/>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c r="HY74" s="23"/>
      <c r="HZ74" s="23"/>
      <c r="IA74" s="23"/>
      <c r="IB74" s="23"/>
      <c r="IC74" s="23"/>
      <c r="ID74" s="23"/>
      <c r="IE74" s="23"/>
      <c r="IF74" s="23"/>
      <c r="IG74" s="23"/>
      <c r="IH74" s="23"/>
      <c r="II74" s="23"/>
      <c r="IJ74" s="23"/>
      <c r="IK74" s="23"/>
      <c r="IL74" s="23"/>
      <c r="IM74" s="23"/>
      <c r="IN74" s="23"/>
      <c r="IO74" s="23"/>
      <c r="IP74" s="23"/>
      <c r="IQ74" s="23"/>
      <c r="IR74" s="23"/>
    </row>
    <row r="75" customFormat="false" ht="22.5" hidden="false" customHeight="true" outlineLevel="0" collapsed="false">
      <c r="A75" s="23"/>
      <c r="B75" s="69" t="s">
        <v>243</v>
      </c>
      <c r="C75" s="70" t="s">
        <v>244</v>
      </c>
      <c r="D75" s="32" t="s">
        <v>37</v>
      </c>
      <c r="E75" s="71"/>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23"/>
      <c r="FG75" s="23"/>
      <c r="FH75" s="23"/>
      <c r="FI75" s="23"/>
      <c r="FJ75" s="23"/>
      <c r="FK75" s="23"/>
      <c r="FL75" s="23"/>
      <c r="FM75" s="23"/>
      <c r="FN75" s="23"/>
      <c r="FO75" s="23"/>
      <c r="FP75" s="23"/>
      <c r="FQ75" s="23"/>
      <c r="FR75" s="23"/>
      <c r="FS75" s="23"/>
      <c r="FT75" s="23"/>
      <c r="FU75" s="23"/>
      <c r="FV75" s="23"/>
      <c r="FW75" s="23"/>
      <c r="FX75" s="23"/>
      <c r="FY75" s="23"/>
      <c r="FZ75" s="23"/>
      <c r="GA75" s="23"/>
      <c r="GB75" s="23"/>
      <c r="GC75" s="23"/>
      <c r="GD75" s="23"/>
      <c r="GE75" s="23"/>
      <c r="GF75" s="23"/>
      <c r="GG75" s="23"/>
      <c r="GH75" s="23"/>
      <c r="GI75" s="23"/>
      <c r="GJ75" s="23"/>
      <c r="GK75" s="23"/>
      <c r="GL75" s="23"/>
      <c r="GM75" s="23"/>
      <c r="GN75" s="23"/>
      <c r="GO75" s="23"/>
      <c r="GP75" s="23"/>
      <c r="GQ75" s="23"/>
      <c r="GR75" s="23"/>
      <c r="GS75" s="23"/>
      <c r="GT75" s="23"/>
      <c r="GU75" s="23"/>
      <c r="GV75" s="23"/>
      <c r="GW75" s="23"/>
      <c r="GX75" s="23"/>
      <c r="GY75" s="23"/>
      <c r="GZ75" s="23"/>
      <c r="HA75" s="23"/>
      <c r="HB75" s="23"/>
      <c r="HC75" s="23"/>
      <c r="HD75" s="23"/>
      <c r="HE75" s="23"/>
      <c r="HF75" s="23"/>
      <c r="HG75" s="23"/>
      <c r="HH75" s="23"/>
      <c r="HI75" s="23"/>
      <c r="HJ75" s="23"/>
      <c r="HK75" s="23"/>
      <c r="HL75" s="23"/>
      <c r="HM75" s="23"/>
      <c r="HN75" s="23"/>
      <c r="HO75" s="23"/>
      <c r="HP75" s="23"/>
      <c r="HQ75" s="23"/>
      <c r="HR75" s="23"/>
      <c r="HS75" s="23"/>
      <c r="HT75" s="23"/>
      <c r="HU75" s="23"/>
      <c r="HV75" s="23"/>
      <c r="HW75" s="23"/>
      <c r="HX75" s="23"/>
      <c r="HY75" s="23"/>
      <c r="HZ75" s="23"/>
      <c r="IA75" s="23"/>
      <c r="IB75" s="23"/>
      <c r="IC75" s="23"/>
      <c r="ID75" s="23"/>
      <c r="IE75" s="23"/>
      <c r="IF75" s="23"/>
      <c r="IG75" s="23"/>
      <c r="IH75" s="23"/>
      <c r="II75" s="23"/>
      <c r="IJ75" s="23"/>
      <c r="IK75" s="23"/>
      <c r="IL75" s="23"/>
      <c r="IM75" s="23"/>
      <c r="IN75" s="23"/>
      <c r="IO75" s="23"/>
      <c r="IP75" s="23"/>
      <c r="IQ75" s="23"/>
      <c r="IR75" s="23"/>
    </row>
    <row r="76" customFormat="false" ht="22.5" hidden="false" customHeight="true" outlineLevel="0" collapsed="false">
      <c r="A76" s="23"/>
      <c r="B76" s="69" t="s">
        <v>245</v>
      </c>
      <c r="C76" s="70" t="s">
        <v>246</v>
      </c>
      <c r="D76" s="32" t="s">
        <v>27</v>
      </c>
      <c r="E76" s="71"/>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c r="FY76" s="23"/>
      <c r="FZ76" s="23"/>
      <c r="GA76" s="23"/>
      <c r="GB76" s="23"/>
      <c r="GC76" s="23"/>
      <c r="GD76" s="23"/>
      <c r="GE76" s="23"/>
      <c r="GF76" s="23"/>
      <c r="GG76" s="23"/>
      <c r="GH76" s="23"/>
      <c r="GI76" s="23"/>
      <c r="GJ76" s="23"/>
      <c r="GK76" s="23"/>
      <c r="GL76" s="23"/>
      <c r="GM76" s="23"/>
      <c r="GN76" s="23"/>
      <c r="GO76" s="23"/>
      <c r="GP76" s="23"/>
      <c r="GQ76" s="23"/>
      <c r="GR76" s="23"/>
      <c r="GS76" s="23"/>
      <c r="GT76" s="23"/>
      <c r="GU76" s="23"/>
      <c r="GV76" s="23"/>
      <c r="GW76" s="23"/>
      <c r="GX76" s="23"/>
      <c r="GY76" s="23"/>
      <c r="GZ76" s="23"/>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c r="HY76" s="23"/>
      <c r="HZ76" s="23"/>
      <c r="IA76" s="23"/>
      <c r="IB76" s="23"/>
      <c r="IC76" s="23"/>
      <c r="ID76" s="23"/>
      <c r="IE76" s="23"/>
      <c r="IF76" s="23"/>
      <c r="IG76" s="23"/>
      <c r="IH76" s="23"/>
      <c r="II76" s="23"/>
      <c r="IJ76" s="23"/>
      <c r="IK76" s="23"/>
      <c r="IL76" s="23"/>
      <c r="IM76" s="23"/>
      <c r="IN76" s="23"/>
      <c r="IO76" s="23"/>
      <c r="IP76" s="23"/>
      <c r="IQ76" s="23"/>
      <c r="IR76" s="23"/>
    </row>
    <row r="77" customFormat="false" ht="22.5" hidden="false" customHeight="true" outlineLevel="0" collapsed="false">
      <c r="A77" s="23"/>
      <c r="B77" s="69" t="s">
        <v>247</v>
      </c>
      <c r="C77" s="70" t="s">
        <v>248</v>
      </c>
      <c r="D77" s="32" t="s">
        <v>37</v>
      </c>
      <c r="E77" s="71"/>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c r="FT77" s="23"/>
      <c r="FU77" s="23"/>
      <c r="FV77" s="23"/>
      <c r="FW77" s="23"/>
      <c r="FX77" s="23"/>
      <c r="FY77" s="23"/>
      <c r="FZ77" s="23"/>
      <c r="GA77" s="23"/>
      <c r="GB77" s="23"/>
      <c r="GC77" s="23"/>
      <c r="GD77" s="23"/>
      <c r="GE77" s="23"/>
      <c r="GF77" s="23"/>
      <c r="GG77" s="23"/>
      <c r="GH77" s="23"/>
      <c r="GI77" s="23"/>
      <c r="GJ77" s="23"/>
      <c r="GK77" s="23"/>
      <c r="GL77" s="23"/>
      <c r="GM77" s="23"/>
      <c r="GN77" s="23"/>
      <c r="GO77" s="23"/>
      <c r="GP77" s="23"/>
      <c r="GQ77" s="23"/>
      <c r="GR77" s="23"/>
      <c r="GS77" s="23"/>
      <c r="GT77" s="23"/>
      <c r="GU77" s="23"/>
      <c r="GV77" s="23"/>
      <c r="GW77" s="23"/>
      <c r="GX77" s="23"/>
      <c r="GY77" s="23"/>
      <c r="GZ77" s="23"/>
      <c r="HA77" s="23"/>
      <c r="HB77" s="23"/>
      <c r="HC77" s="23"/>
      <c r="HD77" s="23"/>
      <c r="HE77" s="23"/>
      <c r="HF77" s="23"/>
      <c r="HG77" s="23"/>
      <c r="HH77" s="23"/>
      <c r="HI77" s="23"/>
      <c r="HJ77" s="23"/>
      <c r="HK77" s="23"/>
      <c r="HL77" s="23"/>
      <c r="HM77" s="23"/>
      <c r="HN77" s="23"/>
      <c r="HO77" s="23"/>
      <c r="HP77" s="23"/>
      <c r="HQ77" s="23"/>
      <c r="HR77" s="23"/>
      <c r="HS77" s="23"/>
      <c r="HT77" s="23"/>
      <c r="HU77" s="23"/>
      <c r="HV77" s="23"/>
      <c r="HW77" s="23"/>
      <c r="HX77" s="23"/>
      <c r="HY77" s="23"/>
      <c r="HZ77" s="23"/>
      <c r="IA77" s="23"/>
      <c r="IB77" s="23"/>
      <c r="IC77" s="23"/>
      <c r="ID77" s="23"/>
      <c r="IE77" s="23"/>
      <c r="IF77" s="23"/>
      <c r="IG77" s="23"/>
      <c r="IH77" s="23"/>
      <c r="II77" s="23"/>
      <c r="IJ77" s="23"/>
      <c r="IK77" s="23"/>
      <c r="IL77" s="23"/>
      <c r="IM77" s="23"/>
      <c r="IN77" s="23"/>
      <c r="IO77" s="23"/>
      <c r="IP77" s="23"/>
      <c r="IQ77" s="23"/>
      <c r="IR77" s="23"/>
    </row>
    <row r="78" customFormat="false" ht="22.5" hidden="false" customHeight="true" outlineLevel="0" collapsed="false">
      <c r="A78" s="23"/>
      <c r="B78" s="69" t="s">
        <v>249</v>
      </c>
      <c r="C78" s="70" t="s">
        <v>250</v>
      </c>
      <c r="D78" s="32" t="s">
        <v>27</v>
      </c>
      <c r="E78" s="71"/>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c r="FY78" s="23"/>
      <c r="FZ78" s="23"/>
      <c r="GA78" s="23"/>
      <c r="GB78" s="23"/>
      <c r="GC78" s="23"/>
      <c r="GD78" s="23"/>
      <c r="GE78" s="23"/>
      <c r="GF78" s="23"/>
      <c r="GG78" s="23"/>
      <c r="GH78" s="23"/>
      <c r="GI78" s="23"/>
      <c r="GJ78" s="23"/>
      <c r="GK78" s="23"/>
      <c r="GL78" s="23"/>
      <c r="GM78" s="23"/>
      <c r="GN78" s="23"/>
      <c r="GO78" s="23"/>
      <c r="GP78" s="23"/>
      <c r="GQ78" s="23"/>
      <c r="GR78" s="23"/>
      <c r="GS78" s="23"/>
      <c r="GT78" s="23"/>
      <c r="GU78" s="23"/>
      <c r="GV78" s="23"/>
      <c r="GW78" s="23"/>
      <c r="GX78" s="23"/>
      <c r="GY78" s="23"/>
      <c r="GZ78" s="23"/>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c r="HY78" s="23"/>
      <c r="HZ78" s="23"/>
      <c r="IA78" s="23"/>
      <c r="IB78" s="23"/>
      <c r="IC78" s="23"/>
      <c r="ID78" s="23"/>
      <c r="IE78" s="23"/>
      <c r="IF78" s="23"/>
      <c r="IG78" s="23"/>
      <c r="IH78" s="23"/>
      <c r="II78" s="23"/>
      <c r="IJ78" s="23"/>
      <c r="IK78" s="23"/>
      <c r="IL78" s="23"/>
      <c r="IM78" s="23"/>
      <c r="IN78" s="23"/>
      <c r="IO78" s="23"/>
      <c r="IP78" s="23"/>
      <c r="IQ78" s="23"/>
      <c r="IR78" s="23"/>
    </row>
    <row r="79" customFormat="false" ht="22.5" hidden="false" customHeight="true" outlineLevel="0" collapsed="false">
      <c r="A79" s="23"/>
      <c r="B79" s="69" t="s">
        <v>251</v>
      </c>
      <c r="C79" s="70" t="s">
        <v>252</v>
      </c>
      <c r="D79" s="32" t="s">
        <v>37</v>
      </c>
      <c r="E79" s="71"/>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23"/>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N79" s="23"/>
      <c r="HO79" s="23"/>
      <c r="HP79" s="23"/>
      <c r="HQ79" s="23"/>
      <c r="HR79" s="23"/>
      <c r="HS79" s="23"/>
      <c r="HT79" s="23"/>
      <c r="HU79" s="23"/>
      <c r="HV79" s="23"/>
      <c r="HW79" s="23"/>
      <c r="HX79" s="23"/>
      <c r="HY79" s="23"/>
      <c r="HZ79" s="23"/>
      <c r="IA79" s="23"/>
      <c r="IB79" s="23"/>
      <c r="IC79" s="23"/>
      <c r="ID79" s="23"/>
      <c r="IE79" s="23"/>
      <c r="IF79" s="23"/>
      <c r="IG79" s="23"/>
      <c r="IH79" s="23"/>
      <c r="II79" s="23"/>
      <c r="IJ79" s="23"/>
      <c r="IK79" s="23"/>
      <c r="IL79" s="23"/>
      <c r="IM79" s="23"/>
      <c r="IN79" s="23"/>
      <c r="IO79" s="23"/>
      <c r="IP79" s="23"/>
      <c r="IQ79" s="23"/>
      <c r="IR79" s="23"/>
    </row>
    <row r="80" customFormat="false" ht="22.5" hidden="false" customHeight="true" outlineLevel="0" collapsed="false">
      <c r="A80" s="23"/>
      <c r="B80" s="69" t="s">
        <v>253</v>
      </c>
      <c r="C80" s="70" t="s">
        <v>254</v>
      </c>
      <c r="D80" s="32" t="s">
        <v>27</v>
      </c>
      <c r="E80" s="71"/>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c r="FY80" s="23"/>
      <c r="FZ80" s="23"/>
      <c r="GA80" s="23"/>
      <c r="GB80" s="23"/>
      <c r="GC80" s="23"/>
      <c r="GD80" s="23"/>
      <c r="GE80" s="23"/>
      <c r="GF80" s="23"/>
      <c r="GG80" s="23"/>
      <c r="GH80" s="23"/>
      <c r="GI80" s="23"/>
      <c r="GJ80" s="23"/>
      <c r="GK80" s="23"/>
      <c r="GL80" s="23"/>
      <c r="GM80" s="23"/>
      <c r="GN80" s="23"/>
      <c r="GO80" s="23"/>
      <c r="GP80" s="23"/>
      <c r="GQ80" s="23"/>
      <c r="GR80" s="23"/>
      <c r="GS80" s="23"/>
      <c r="GT80" s="23"/>
      <c r="GU80" s="23"/>
      <c r="GV80" s="23"/>
      <c r="GW80" s="23"/>
      <c r="GX80" s="23"/>
      <c r="GY80" s="23"/>
      <c r="GZ80" s="23"/>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c r="HY80" s="23"/>
      <c r="HZ80" s="23"/>
      <c r="IA80" s="23"/>
      <c r="IB80" s="23"/>
      <c r="IC80" s="23"/>
      <c r="ID80" s="23"/>
      <c r="IE80" s="23"/>
      <c r="IF80" s="23"/>
      <c r="IG80" s="23"/>
      <c r="IH80" s="23"/>
      <c r="II80" s="23"/>
      <c r="IJ80" s="23"/>
      <c r="IK80" s="23"/>
      <c r="IL80" s="23"/>
      <c r="IM80" s="23"/>
      <c r="IN80" s="23"/>
      <c r="IO80" s="23"/>
      <c r="IP80" s="23"/>
      <c r="IQ80" s="23"/>
      <c r="IR80" s="23"/>
    </row>
    <row r="81" customFormat="false" ht="22.5" hidden="false" customHeight="true" outlineLevel="0" collapsed="false">
      <c r="A81" s="23"/>
      <c r="B81" s="69" t="s">
        <v>255</v>
      </c>
      <c r="C81" s="70" t="s">
        <v>256</v>
      </c>
      <c r="D81" s="32" t="s">
        <v>37</v>
      </c>
      <c r="E81" s="71"/>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23"/>
      <c r="FG81" s="23"/>
      <c r="FH81" s="23"/>
      <c r="FI81" s="23"/>
      <c r="FJ81" s="23"/>
      <c r="FK81" s="23"/>
      <c r="FL81" s="23"/>
      <c r="FM81" s="23"/>
      <c r="FN81" s="23"/>
      <c r="FO81" s="23"/>
      <c r="FP81" s="23"/>
      <c r="FQ81" s="23"/>
      <c r="FR81" s="23"/>
      <c r="FS81" s="23"/>
      <c r="FT81" s="23"/>
      <c r="FU81" s="23"/>
      <c r="FV81" s="23"/>
      <c r="FW81" s="23"/>
      <c r="FX81" s="23"/>
      <c r="FY81" s="23"/>
      <c r="FZ81" s="23"/>
      <c r="GA81" s="23"/>
      <c r="GB81" s="23"/>
      <c r="GC81" s="23"/>
      <c r="GD81" s="23"/>
      <c r="GE81" s="23"/>
      <c r="GF81" s="23"/>
      <c r="GG81" s="23"/>
      <c r="GH81" s="23"/>
      <c r="GI81" s="23"/>
      <c r="GJ81" s="23"/>
      <c r="GK81" s="23"/>
      <c r="GL81" s="23"/>
      <c r="GM81" s="23"/>
      <c r="GN81" s="23"/>
      <c r="GO81" s="23"/>
      <c r="GP81" s="23"/>
      <c r="GQ81" s="23"/>
      <c r="GR81" s="23"/>
      <c r="GS81" s="23"/>
      <c r="GT81" s="23"/>
      <c r="GU81" s="23"/>
      <c r="GV81" s="23"/>
      <c r="GW81" s="23"/>
      <c r="GX81" s="23"/>
      <c r="GY81" s="23"/>
      <c r="GZ81" s="23"/>
      <c r="HA81" s="23"/>
      <c r="HB81" s="23"/>
      <c r="HC81" s="23"/>
      <c r="HD81" s="23"/>
      <c r="HE81" s="23"/>
      <c r="HF81" s="23"/>
      <c r="HG81" s="23"/>
      <c r="HH81" s="23"/>
      <c r="HI81" s="23"/>
      <c r="HJ81" s="23"/>
      <c r="HK81" s="23"/>
      <c r="HL81" s="23"/>
      <c r="HM81" s="23"/>
      <c r="HN81" s="23"/>
      <c r="HO81" s="23"/>
      <c r="HP81" s="23"/>
      <c r="HQ81" s="23"/>
      <c r="HR81" s="23"/>
      <c r="HS81" s="23"/>
      <c r="HT81" s="23"/>
      <c r="HU81" s="23"/>
      <c r="HV81" s="23"/>
      <c r="HW81" s="23"/>
      <c r="HX81" s="23"/>
      <c r="HY81" s="23"/>
      <c r="HZ81" s="23"/>
      <c r="IA81" s="23"/>
      <c r="IB81" s="23"/>
      <c r="IC81" s="23"/>
      <c r="ID81" s="23"/>
      <c r="IE81" s="23"/>
      <c r="IF81" s="23"/>
      <c r="IG81" s="23"/>
      <c r="IH81" s="23"/>
      <c r="II81" s="23"/>
      <c r="IJ81" s="23"/>
      <c r="IK81" s="23"/>
      <c r="IL81" s="23"/>
      <c r="IM81" s="23"/>
      <c r="IN81" s="23"/>
      <c r="IO81" s="23"/>
      <c r="IP81" s="23"/>
      <c r="IQ81" s="23"/>
      <c r="IR81" s="23"/>
    </row>
    <row r="82" customFormat="false" ht="22.5" hidden="false" customHeight="true" outlineLevel="0" collapsed="false">
      <c r="A82" s="23"/>
      <c r="B82" s="69" t="s">
        <v>257</v>
      </c>
      <c r="C82" s="70" t="s">
        <v>258</v>
      </c>
      <c r="D82" s="32" t="s">
        <v>37</v>
      </c>
      <c r="E82" s="71"/>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c r="FY82" s="23"/>
      <c r="FZ82" s="23"/>
      <c r="GA82" s="23"/>
      <c r="GB82" s="23"/>
      <c r="GC82" s="23"/>
      <c r="GD82" s="23"/>
      <c r="GE82" s="23"/>
      <c r="GF82" s="23"/>
      <c r="GG82" s="23"/>
      <c r="GH82" s="23"/>
      <c r="GI82" s="23"/>
      <c r="GJ82" s="23"/>
      <c r="GK82" s="23"/>
      <c r="GL82" s="23"/>
      <c r="GM82" s="23"/>
      <c r="GN82" s="23"/>
      <c r="GO82" s="23"/>
      <c r="GP82" s="23"/>
      <c r="GQ82" s="23"/>
      <c r="GR82" s="23"/>
      <c r="GS82" s="23"/>
      <c r="GT82" s="23"/>
      <c r="GU82" s="23"/>
      <c r="GV82" s="23"/>
      <c r="GW82" s="23"/>
      <c r="GX82" s="23"/>
      <c r="GY82" s="23"/>
      <c r="GZ82" s="23"/>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c r="HY82" s="23"/>
      <c r="HZ82" s="23"/>
      <c r="IA82" s="23"/>
      <c r="IB82" s="23"/>
      <c r="IC82" s="23"/>
      <c r="ID82" s="23"/>
      <c r="IE82" s="23"/>
      <c r="IF82" s="23"/>
      <c r="IG82" s="23"/>
      <c r="IH82" s="23"/>
      <c r="II82" s="23"/>
      <c r="IJ82" s="23"/>
      <c r="IK82" s="23"/>
      <c r="IL82" s="23"/>
      <c r="IM82" s="23"/>
      <c r="IN82" s="23"/>
      <c r="IO82" s="23"/>
      <c r="IP82" s="23"/>
      <c r="IQ82" s="23"/>
      <c r="IR82" s="23"/>
    </row>
    <row r="83" customFormat="false" ht="22.5" hidden="false" customHeight="true" outlineLevel="0" collapsed="false">
      <c r="A83" s="23"/>
      <c r="B83" s="69" t="s">
        <v>259</v>
      </c>
      <c r="C83" s="70" t="s">
        <v>260</v>
      </c>
      <c r="D83" s="32" t="s">
        <v>27</v>
      </c>
      <c r="E83" s="71"/>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23"/>
      <c r="FG83" s="23"/>
      <c r="FH83" s="23"/>
      <c r="FI83" s="23"/>
      <c r="FJ83" s="23"/>
      <c r="FK83" s="23"/>
      <c r="FL83" s="23"/>
      <c r="FM83" s="23"/>
      <c r="FN83" s="23"/>
      <c r="FO83" s="23"/>
      <c r="FP83" s="23"/>
      <c r="FQ83" s="23"/>
      <c r="FR83" s="23"/>
      <c r="FS83" s="23"/>
      <c r="FT83" s="23"/>
      <c r="FU83" s="23"/>
      <c r="FV83" s="23"/>
      <c r="FW83" s="23"/>
      <c r="FX83" s="23"/>
      <c r="FY83" s="23"/>
      <c r="FZ83" s="23"/>
      <c r="GA83" s="23"/>
      <c r="GB83" s="23"/>
      <c r="GC83" s="23"/>
      <c r="GD83" s="23"/>
      <c r="GE83" s="23"/>
      <c r="GF83" s="23"/>
      <c r="GG83" s="23"/>
      <c r="GH83" s="23"/>
      <c r="GI83" s="23"/>
      <c r="GJ83" s="23"/>
      <c r="GK83" s="23"/>
      <c r="GL83" s="23"/>
      <c r="GM83" s="23"/>
      <c r="GN83" s="23"/>
      <c r="GO83" s="23"/>
      <c r="GP83" s="23"/>
      <c r="GQ83" s="23"/>
      <c r="GR83" s="23"/>
      <c r="GS83" s="23"/>
      <c r="GT83" s="23"/>
      <c r="GU83" s="23"/>
      <c r="GV83" s="23"/>
      <c r="GW83" s="23"/>
      <c r="GX83" s="23"/>
      <c r="GY83" s="23"/>
      <c r="GZ83" s="23"/>
      <c r="HA83" s="23"/>
      <c r="HB83" s="23"/>
      <c r="HC83" s="23"/>
      <c r="HD83" s="23"/>
      <c r="HE83" s="23"/>
      <c r="HF83" s="23"/>
      <c r="HG83" s="23"/>
      <c r="HH83" s="23"/>
      <c r="HI83" s="23"/>
      <c r="HJ83" s="23"/>
      <c r="HK83" s="23"/>
      <c r="HL83" s="23"/>
      <c r="HM83" s="23"/>
      <c r="HN83" s="23"/>
      <c r="HO83" s="23"/>
      <c r="HP83" s="23"/>
      <c r="HQ83" s="23"/>
      <c r="HR83" s="23"/>
      <c r="HS83" s="23"/>
      <c r="HT83" s="23"/>
      <c r="HU83" s="23"/>
      <c r="HV83" s="23"/>
      <c r="HW83" s="23"/>
      <c r="HX83" s="23"/>
      <c r="HY83" s="23"/>
      <c r="HZ83" s="23"/>
      <c r="IA83" s="23"/>
      <c r="IB83" s="23"/>
      <c r="IC83" s="23"/>
      <c r="ID83" s="23"/>
      <c r="IE83" s="23"/>
      <c r="IF83" s="23"/>
      <c r="IG83" s="23"/>
      <c r="IH83" s="23"/>
      <c r="II83" s="23"/>
      <c r="IJ83" s="23"/>
      <c r="IK83" s="23"/>
      <c r="IL83" s="23"/>
      <c r="IM83" s="23"/>
      <c r="IN83" s="23"/>
      <c r="IO83" s="23"/>
      <c r="IP83" s="23"/>
      <c r="IQ83" s="23"/>
      <c r="IR83" s="23"/>
    </row>
    <row r="84" customFormat="false" ht="22.5" hidden="false" customHeight="true" outlineLevel="0" collapsed="false">
      <c r="A84" s="23"/>
      <c r="B84" s="69" t="s">
        <v>261</v>
      </c>
      <c r="C84" s="70" t="s">
        <v>262</v>
      </c>
      <c r="D84" s="32" t="s">
        <v>27</v>
      </c>
      <c r="E84" s="71"/>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c r="FY84" s="23"/>
      <c r="FZ84" s="23"/>
      <c r="GA84" s="23"/>
      <c r="GB84" s="23"/>
      <c r="GC84" s="23"/>
      <c r="GD84" s="23"/>
      <c r="GE84" s="23"/>
      <c r="GF84" s="23"/>
      <c r="GG84" s="23"/>
      <c r="GH84" s="23"/>
      <c r="GI84" s="23"/>
      <c r="GJ84" s="23"/>
      <c r="GK84" s="23"/>
      <c r="GL84" s="23"/>
      <c r="GM84" s="23"/>
      <c r="GN84" s="23"/>
      <c r="GO84" s="23"/>
      <c r="GP84" s="23"/>
      <c r="GQ84" s="23"/>
      <c r="GR84" s="23"/>
      <c r="GS84" s="23"/>
      <c r="GT84" s="23"/>
      <c r="GU84" s="23"/>
      <c r="GV84" s="23"/>
      <c r="GW84" s="23"/>
      <c r="GX84" s="23"/>
      <c r="GY84" s="23"/>
      <c r="GZ84" s="23"/>
      <c r="HA84" s="23"/>
      <c r="HB84" s="23"/>
      <c r="HC84" s="23"/>
      <c r="HD84" s="23"/>
      <c r="HE84" s="23"/>
      <c r="HF84" s="23"/>
      <c r="HG84" s="23"/>
      <c r="HH84" s="23"/>
      <c r="HI84" s="23"/>
      <c r="HJ84" s="23"/>
      <c r="HK84" s="23"/>
      <c r="HL84" s="23"/>
      <c r="HM84" s="23"/>
      <c r="HN84" s="23"/>
      <c r="HO84" s="23"/>
      <c r="HP84" s="23"/>
      <c r="HQ84" s="23"/>
      <c r="HR84" s="23"/>
      <c r="HS84" s="23"/>
      <c r="HT84" s="23"/>
      <c r="HU84" s="23"/>
      <c r="HV84" s="23"/>
      <c r="HW84" s="23"/>
      <c r="HX84" s="23"/>
      <c r="HY84" s="23"/>
      <c r="HZ84" s="23"/>
      <c r="IA84" s="23"/>
      <c r="IB84" s="23"/>
      <c r="IC84" s="23"/>
      <c r="ID84" s="23"/>
      <c r="IE84" s="23"/>
      <c r="IF84" s="23"/>
      <c r="IG84" s="23"/>
      <c r="IH84" s="23"/>
      <c r="II84" s="23"/>
      <c r="IJ84" s="23"/>
      <c r="IK84" s="23"/>
      <c r="IL84" s="23"/>
      <c r="IM84" s="23"/>
      <c r="IN84" s="23"/>
      <c r="IO84" s="23"/>
      <c r="IP84" s="23"/>
      <c r="IQ84" s="23"/>
      <c r="IR84" s="23"/>
    </row>
    <row r="85" customFormat="false" ht="22.5" hidden="false" customHeight="true" outlineLevel="0" collapsed="false">
      <c r="A85" s="23"/>
      <c r="B85" s="69" t="s">
        <v>263</v>
      </c>
      <c r="C85" s="70" t="s">
        <v>264</v>
      </c>
      <c r="D85" s="32" t="s">
        <v>27</v>
      </c>
      <c r="E85" s="71"/>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23"/>
      <c r="FG85" s="23"/>
      <c r="FH85" s="23"/>
      <c r="FI85" s="23"/>
      <c r="FJ85" s="23"/>
      <c r="FK85" s="23"/>
      <c r="FL85" s="23"/>
      <c r="FM85" s="23"/>
      <c r="FN85" s="23"/>
      <c r="FO85" s="23"/>
      <c r="FP85" s="23"/>
      <c r="FQ85" s="23"/>
      <c r="FR85" s="23"/>
      <c r="FS85" s="23"/>
      <c r="FT85" s="23"/>
      <c r="FU85" s="23"/>
      <c r="FV85" s="23"/>
      <c r="FW85" s="23"/>
      <c r="FX85" s="23"/>
      <c r="FY85" s="23"/>
      <c r="FZ85" s="23"/>
      <c r="GA85" s="23"/>
      <c r="GB85" s="23"/>
      <c r="GC85" s="23"/>
      <c r="GD85" s="23"/>
      <c r="GE85" s="23"/>
      <c r="GF85" s="23"/>
      <c r="GG85" s="23"/>
      <c r="GH85" s="23"/>
      <c r="GI85" s="23"/>
      <c r="GJ85" s="23"/>
      <c r="GK85" s="23"/>
      <c r="GL85" s="23"/>
      <c r="GM85" s="23"/>
      <c r="GN85" s="23"/>
      <c r="GO85" s="23"/>
      <c r="GP85" s="23"/>
      <c r="GQ85" s="23"/>
      <c r="GR85" s="23"/>
      <c r="GS85" s="23"/>
      <c r="GT85" s="23"/>
      <c r="GU85" s="23"/>
      <c r="GV85" s="23"/>
      <c r="GW85" s="23"/>
      <c r="GX85" s="23"/>
      <c r="GY85" s="23"/>
      <c r="GZ85" s="23"/>
      <c r="HA85" s="23"/>
      <c r="HB85" s="23"/>
      <c r="HC85" s="23"/>
      <c r="HD85" s="23"/>
      <c r="HE85" s="23"/>
      <c r="HF85" s="23"/>
      <c r="HG85" s="23"/>
      <c r="HH85" s="23"/>
      <c r="HI85" s="23"/>
      <c r="HJ85" s="23"/>
      <c r="HK85" s="23"/>
      <c r="HL85" s="23"/>
      <c r="HM85" s="23"/>
      <c r="HN85" s="23"/>
      <c r="HO85" s="23"/>
      <c r="HP85" s="23"/>
      <c r="HQ85" s="23"/>
      <c r="HR85" s="23"/>
      <c r="HS85" s="23"/>
      <c r="HT85" s="23"/>
      <c r="HU85" s="23"/>
      <c r="HV85" s="23"/>
      <c r="HW85" s="23"/>
      <c r="HX85" s="23"/>
      <c r="HY85" s="23"/>
      <c r="HZ85" s="23"/>
      <c r="IA85" s="23"/>
      <c r="IB85" s="23"/>
      <c r="IC85" s="23"/>
      <c r="ID85" s="23"/>
      <c r="IE85" s="23"/>
      <c r="IF85" s="23"/>
      <c r="IG85" s="23"/>
      <c r="IH85" s="23"/>
      <c r="II85" s="23"/>
      <c r="IJ85" s="23"/>
      <c r="IK85" s="23"/>
      <c r="IL85" s="23"/>
      <c r="IM85" s="23"/>
      <c r="IN85" s="23"/>
      <c r="IO85" s="23"/>
      <c r="IP85" s="23"/>
      <c r="IQ85" s="23"/>
      <c r="IR85" s="23"/>
    </row>
    <row r="86" customFormat="false" ht="22.5" hidden="false" customHeight="true" outlineLevel="0" collapsed="false">
      <c r="A86" s="23"/>
      <c r="B86" s="69" t="s">
        <v>265</v>
      </c>
      <c r="C86" s="70" t="s">
        <v>266</v>
      </c>
      <c r="D86" s="32" t="s">
        <v>27</v>
      </c>
      <c r="E86" s="71"/>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c r="FV86" s="23"/>
      <c r="FW86" s="23"/>
      <c r="FX86" s="23"/>
      <c r="FY86" s="23"/>
      <c r="FZ86" s="23"/>
      <c r="GA86" s="23"/>
      <c r="GB86" s="23"/>
      <c r="GC86" s="23"/>
      <c r="GD86" s="23"/>
      <c r="GE86" s="23"/>
      <c r="GF86" s="23"/>
      <c r="GG86" s="23"/>
      <c r="GH86" s="23"/>
      <c r="GI86" s="23"/>
      <c r="GJ86" s="23"/>
      <c r="GK86" s="23"/>
      <c r="GL86" s="23"/>
      <c r="GM86" s="23"/>
      <c r="GN86" s="23"/>
      <c r="GO86" s="23"/>
      <c r="GP86" s="23"/>
      <c r="GQ86" s="23"/>
      <c r="GR86" s="23"/>
      <c r="GS86" s="23"/>
      <c r="GT86" s="23"/>
      <c r="GU86" s="23"/>
      <c r="GV86" s="23"/>
      <c r="GW86" s="23"/>
      <c r="GX86" s="23"/>
      <c r="GY86" s="23"/>
      <c r="GZ86" s="23"/>
      <c r="HA86" s="23"/>
      <c r="HB86" s="23"/>
      <c r="HC86" s="23"/>
      <c r="HD86" s="23"/>
      <c r="HE86" s="23"/>
      <c r="HF86" s="23"/>
      <c r="HG86" s="23"/>
      <c r="HH86" s="23"/>
      <c r="HI86" s="23"/>
      <c r="HJ86" s="23"/>
      <c r="HK86" s="23"/>
      <c r="HL86" s="23"/>
      <c r="HM86" s="23"/>
      <c r="HN86" s="23"/>
      <c r="HO86" s="23"/>
      <c r="HP86" s="23"/>
      <c r="HQ86" s="23"/>
      <c r="HR86" s="23"/>
      <c r="HS86" s="23"/>
      <c r="HT86" s="23"/>
      <c r="HU86" s="23"/>
      <c r="HV86" s="23"/>
      <c r="HW86" s="23"/>
      <c r="HX86" s="23"/>
      <c r="HY86" s="23"/>
      <c r="HZ86" s="23"/>
      <c r="IA86" s="23"/>
      <c r="IB86" s="23"/>
      <c r="IC86" s="23"/>
      <c r="ID86" s="23"/>
      <c r="IE86" s="23"/>
      <c r="IF86" s="23"/>
      <c r="IG86" s="23"/>
      <c r="IH86" s="23"/>
      <c r="II86" s="23"/>
      <c r="IJ86" s="23"/>
      <c r="IK86" s="23"/>
      <c r="IL86" s="23"/>
      <c r="IM86" s="23"/>
      <c r="IN86" s="23"/>
      <c r="IO86" s="23"/>
      <c r="IP86" s="23"/>
      <c r="IQ86" s="23"/>
      <c r="IR86" s="23"/>
    </row>
    <row r="87" customFormat="false" ht="22.5" hidden="false" customHeight="true" outlineLevel="0" collapsed="false">
      <c r="A87" s="23"/>
      <c r="B87" s="69" t="s">
        <v>267</v>
      </c>
      <c r="C87" s="70" t="s">
        <v>268</v>
      </c>
      <c r="D87" s="32" t="s">
        <v>27</v>
      </c>
      <c r="E87" s="71"/>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23"/>
      <c r="FG87" s="23"/>
      <c r="FH87" s="23"/>
      <c r="FI87" s="23"/>
      <c r="FJ87" s="23"/>
      <c r="FK87" s="23"/>
      <c r="FL87" s="23"/>
      <c r="FM87" s="23"/>
      <c r="FN87" s="23"/>
      <c r="FO87" s="23"/>
      <c r="FP87" s="23"/>
      <c r="FQ87" s="23"/>
      <c r="FR87" s="23"/>
      <c r="FS87" s="23"/>
      <c r="FT87" s="23"/>
      <c r="FU87" s="23"/>
      <c r="FV87" s="23"/>
      <c r="FW87" s="23"/>
      <c r="FX87" s="23"/>
      <c r="FY87" s="23"/>
      <c r="FZ87" s="23"/>
      <c r="GA87" s="23"/>
      <c r="GB87" s="23"/>
      <c r="GC87" s="23"/>
      <c r="GD87" s="23"/>
      <c r="GE87" s="23"/>
      <c r="GF87" s="23"/>
      <c r="GG87" s="23"/>
      <c r="GH87" s="23"/>
      <c r="GI87" s="23"/>
      <c r="GJ87" s="23"/>
      <c r="GK87" s="23"/>
      <c r="GL87" s="23"/>
      <c r="GM87" s="23"/>
      <c r="GN87" s="23"/>
      <c r="GO87" s="23"/>
      <c r="GP87" s="23"/>
      <c r="GQ87" s="23"/>
      <c r="GR87" s="23"/>
      <c r="GS87" s="23"/>
      <c r="GT87" s="23"/>
      <c r="GU87" s="23"/>
      <c r="GV87" s="23"/>
      <c r="GW87" s="23"/>
      <c r="GX87" s="23"/>
      <c r="GY87" s="23"/>
      <c r="GZ87" s="23"/>
      <c r="HA87" s="23"/>
      <c r="HB87" s="23"/>
      <c r="HC87" s="23"/>
      <c r="HD87" s="23"/>
      <c r="HE87" s="23"/>
      <c r="HF87" s="23"/>
      <c r="HG87" s="23"/>
      <c r="HH87" s="23"/>
      <c r="HI87" s="23"/>
      <c r="HJ87" s="23"/>
      <c r="HK87" s="23"/>
      <c r="HL87" s="23"/>
      <c r="HM87" s="23"/>
      <c r="HN87" s="23"/>
      <c r="HO87" s="23"/>
      <c r="HP87" s="23"/>
      <c r="HQ87" s="23"/>
      <c r="HR87" s="23"/>
      <c r="HS87" s="23"/>
      <c r="HT87" s="23"/>
      <c r="HU87" s="23"/>
      <c r="HV87" s="23"/>
      <c r="HW87" s="23"/>
      <c r="HX87" s="23"/>
      <c r="HY87" s="23"/>
      <c r="HZ87" s="23"/>
      <c r="IA87" s="23"/>
      <c r="IB87" s="23"/>
      <c r="IC87" s="23"/>
      <c r="ID87" s="23"/>
      <c r="IE87" s="23"/>
      <c r="IF87" s="23"/>
      <c r="IG87" s="23"/>
      <c r="IH87" s="23"/>
      <c r="II87" s="23"/>
      <c r="IJ87" s="23"/>
      <c r="IK87" s="23"/>
      <c r="IL87" s="23"/>
      <c r="IM87" s="23"/>
      <c r="IN87" s="23"/>
      <c r="IO87" s="23"/>
      <c r="IP87" s="23"/>
      <c r="IQ87" s="23"/>
      <c r="IR87" s="23"/>
    </row>
    <row r="88" customFormat="false" ht="22.5" hidden="false" customHeight="true" outlineLevel="0" collapsed="false">
      <c r="A88" s="23"/>
      <c r="B88" s="69" t="s">
        <v>269</v>
      </c>
      <c r="C88" s="70" t="s">
        <v>270</v>
      </c>
      <c r="D88" s="32" t="s">
        <v>27</v>
      </c>
      <c r="E88" s="71"/>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c r="FV88" s="23"/>
      <c r="FW88" s="23"/>
      <c r="FX88" s="23"/>
      <c r="FY88" s="23"/>
      <c r="FZ88" s="23"/>
      <c r="GA88" s="23"/>
      <c r="GB88" s="23"/>
      <c r="GC88" s="23"/>
      <c r="GD88" s="23"/>
      <c r="GE88" s="23"/>
      <c r="GF88" s="23"/>
      <c r="GG88" s="23"/>
      <c r="GH88" s="23"/>
      <c r="GI88" s="23"/>
      <c r="GJ88" s="23"/>
      <c r="GK88" s="23"/>
      <c r="GL88" s="23"/>
      <c r="GM88" s="23"/>
      <c r="GN88" s="23"/>
      <c r="GO88" s="23"/>
      <c r="GP88" s="23"/>
      <c r="GQ88" s="23"/>
      <c r="GR88" s="23"/>
      <c r="GS88" s="23"/>
      <c r="GT88" s="23"/>
      <c r="GU88" s="23"/>
      <c r="GV88" s="23"/>
      <c r="GW88" s="23"/>
      <c r="GX88" s="23"/>
      <c r="GY88" s="23"/>
      <c r="GZ88" s="23"/>
      <c r="HA88" s="23"/>
      <c r="HB88" s="23"/>
      <c r="HC88" s="23"/>
      <c r="HD88" s="23"/>
      <c r="HE88" s="23"/>
      <c r="HF88" s="23"/>
      <c r="HG88" s="23"/>
      <c r="HH88" s="23"/>
      <c r="HI88" s="23"/>
      <c r="HJ88" s="23"/>
      <c r="HK88" s="23"/>
      <c r="HL88" s="23"/>
      <c r="HM88" s="23"/>
      <c r="HN88" s="23"/>
      <c r="HO88" s="23"/>
      <c r="HP88" s="23"/>
      <c r="HQ88" s="23"/>
      <c r="HR88" s="23"/>
      <c r="HS88" s="23"/>
      <c r="HT88" s="23"/>
      <c r="HU88" s="23"/>
      <c r="HV88" s="23"/>
      <c r="HW88" s="23"/>
      <c r="HX88" s="23"/>
      <c r="HY88" s="23"/>
      <c r="HZ88" s="23"/>
      <c r="IA88" s="23"/>
      <c r="IB88" s="23"/>
      <c r="IC88" s="23"/>
      <c r="ID88" s="23"/>
      <c r="IE88" s="23"/>
      <c r="IF88" s="23"/>
      <c r="IG88" s="23"/>
      <c r="IH88" s="23"/>
      <c r="II88" s="23"/>
      <c r="IJ88" s="23"/>
      <c r="IK88" s="23"/>
      <c r="IL88" s="23"/>
      <c r="IM88" s="23"/>
      <c r="IN88" s="23"/>
      <c r="IO88" s="23"/>
      <c r="IP88" s="23"/>
      <c r="IQ88" s="23"/>
      <c r="IR88" s="23"/>
    </row>
    <row r="89" customFormat="false" ht="22.5" hidden="false" customHeight="true" outlineLevel="0" collapsed="false">
      <c r="A89" s="23"/>
      <c r="B89" s="69" t="s">
        <v>271</v>
      </c>
      <c r="C89" s="70" t="s">
        <v>272</v>
      </c>
      <c r="D89" s="32" t="s">
        <v>37</v>
      </c>
      <c r="E89" s="71"/>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23"/>
      <c r="FG89" s="23"/>
      <c r="FH89" s="23"/>
      <c r="FI89" s="23"/>
      <c r="FJ89" s="23"/>
      <c r="FK89" s="23"/>
      <c r="FL89" s="23"/>
      <c r="FM89" s="23"/>
      <c r="FN89" s="23"/>
      <c r="FO89" s="23"/>
      <c r="FP89" s="23"/>
      <c r="FQ89" s="23"/>
      <c r="FR89" s="23"/>
      <c r="FS89" s="23"/>
      <c r="FT89" s="23"/>
      <c r="FU89" s="23"/>
      <c r="FV89" s="23"/>
      <c r="FW89" s="23"/>
      <c r="FX89" s="23"/>
      <c r="FY89" s="23"/>
      <c r="FZ89" s="23"/>
      <c r="GA89" s="23"/>
      <c r="GB89" s="23"/>
      <c r="GC89" s="23"/>
      <c r="GD89" s="23"/>
      <c r="GE89" s="23"/>
      <c r="GF89" s="23"/>
      <c r="GG89" s="23"/>
      <c r="GH89" s="23"/>
      <c r="GI89" s="23"/>
      <c r="GJ89" s="23"/>
      <c r="GK89" s="23"/>
      <c r="GL89" s="23"/>
      <c r="GM89" s="23"/>
      <c r="GN89" s="23"/>
      <c r="GO89" s="23"/>
      <c r="GP89" s="23"/>
      <c r="GQ89" s="23"/>
      <c r="GR89" s="23"/>
      <c r="GS89" s="23"/>
      <c r="GT89" s="23"/>
      <c r="GU89" s="23"/>
      <c r="GV89" s="23"/>
      <c r="GW89" s="23"/>
      <c r="GX89" s="23"/>
      <c r="GY89" s="23"/>
      <c r="GZ89" s="23"/>
      <c r="HA89" s="23"/>
      <c r="HB89" s="23"/>
      <c r="HC89" s="23"/>
      <c r="HD89" s="23"/>
      <c r="HE89" s="23"/>
      <c r="HF89" s="23"/>
      <c r="HG89" s="23"/>
      <c r="HH89" s="23"/>
      <c r="HI89" s="23"/>
      <c r="HJ89" s="23"/>
      <c r="HK89" s="23"/>
      <c r="HL89" s="23"/>
      <c r="HM89" s="23"/>
      <c r="HN89" s="23"/>
      <c r="HO89" s="23"/>
      <c r="HP89" s="23"/>
      <c r="HQ89" s="23"/>
      <c r="HR89" s="23"/>
      <c r="HS89" s="23"/>
      <c r="HT89" s="23"/>
      <c r="HU89" s="23"/>
      <c r="HV89" s="23"/>
      <c r="HW89" s="23"/>
      <c r="HX89" s="23"/>
      <c r="HY89" s="23"/>
      <c r="HZ89" s="23"/>
      <c r="IA89" s="23"/>
      <c r="IB89" s="23"/>
      <c r="IC89" s="23"/>
      <c r="ID89" s="23"/>
      <c r="IE89" s="23"/>
      <c r="IF89" s="23"/>
      <c r="IG89" s="23"/>
      <c r="IH89" s="23"/>
      <c r="II89" s="23"/>
      <c r="IJ89" s="23"/>
      <c r="IK89" s="23"/>
      <c r="IL89" s="23"/>
      <c r="IM89" s="23"/>
      <c r="IN89" s="23"/>
      <c r="IO89" s="23"/>
      <c r="IP89" s="23"/>
      <c r="IQ89" s="23"/>
      <c r="IR89" s="23"/>
    </row>
    <row r="90" customFormat="false" ht="22.5" hidden="false" customHeight="true" outlineLevel="0" collapsed="false">
      <c r="A90" s="23"/>
      <c r="B90" s="69" t="s">
        <v>273</v>
      </c>
      <c r="C90" s="70" t="s">
        <v>274</v>
      </c>
      <c r="D90" s="32" t="s">
        <v>37</v>
      </c>
      <c r="E90" s="71"/>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c r="FY90" s="23"/>
      <c r="FZ90" s="23"/>
      <c r="GA90" s="23"/>
      <c r="GB90" s="23"/>
      <c r="GC90" s="23"/>
      <c r="GD90" s="23"/>
      <c r="GE90" s="23"/>
      <c r="GF90" s="23"/>
      <c r="GG90" s="23"/>
      <c r="GH90" s="23"/>
      <c r="GI90" s="23"/>
      <c r="GJ90" s="23"/>
      <c r="GK90" s="23"/>
      <c r="GL90" s="23"/>
      <c r="GM90" s="23"/>
      <c r="GN90" s="23"/>
      <c r="GO90" s="23"/>
      <c r="GP90" s="23"/>
      <c r="GQ90" s="23"/>
      <c r="GR90" s="23"/>
      <c r="GS90" s="23"/>
      <c r="GT90" s="23"/>
      <c r="GU90" s="23"/>
      <c r="GV90" s="23"/>
      <c r="GW90" s="23"/>
      <c r="GX90" s="23"/>
      <c r="GY90" s="23"/>
      <c r="GZ90" s="23"/>
      <c r="HA90" s="23"/>
      <c r="HB90" s="23"/>
      <c r="HC90" s="23"/>
      <c r="HD90" s="23"/>
      <c r="HE90" s="23"/>
      <c r="HF90" s="23"/>
      <c r="HG90" s="23"/>
      <c r="HH90" s="23"/>
      <c r="HI90" s="23"/>
      <c r="HJ90" s="23"/>
      <c r="HK90" s="23"/>
      <c r="HL90" s="23"/>
      <c r="HM90" s="23"/>
      <c r="HN90" s="23"/>
      <c r="HO90" s="23"/>
      <c r="HP90" s="23"/>
      <c r="HQ90" s="23"/>
      <c r="HR90" s="23"/>
      <c r="HS90" s="23"/>
      <c r="HT90" s="23"/>
      <c r="HU90" s="23"/>
      <c r="HV90" s="23"/>
      <c r="HW90" s="23"/>
      <c r="HX90" s="23"/>
      <c r="HY90" s="23"/>
      <c r="HZ90" s="23"/>
      <c r="IA90" s="23"/>
      <c r="IB90" s="23"/>
      <c r="IC90" s="23"/>
      <c r="ID90" s="23"/>
      <c r="IE90" s="23"/>
      <c r="IF90" s="23"/>
      <c r="IG90" s="23"/>
      <c r="IH90" s="23"/>
      <c r="II90" s="23"/>
      <c r="IJ90" s="23"/>
      <c r="IK90" s="23"/>
      <c r="IL90" s="23"/>
      <c r="IM90" s="23"/>
      <c r="IN90" s="23"/>
      <c r="IO90" s="23"/>
      <c r="IP90" s="23"/>
      <c r="IQ90" s="23"/>
      <c r="IR90" s="23"/>
    </row>
    <row r="91" customFormat="false" ht="22.5" hidden="false" customHeight="true" outlineLevel="0" collapsed="false">
      <c r="A91" s="23"/>
      <c r="B91" s="69" t="s">
        <v>275</v>
      </c>
      <c r="C91" s="70" t="s">
        <v>276</v>
      </c>
      <c r="D91" s="32" t="s">
        <v>37</v>
      </c>
      <c r="E91" s="71"/>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23"/>
      <c r="FG91" s="23"/>
      <c r="FH91" s="23"/>
      <c r="FI91" s="23"/>
      <c r="FJ91" s="23"/>
      <c r="FK91" s="23"/>
      <c r="FL91" s="23"/>
      <c r="FM91" s="23"/>
      <c r="FN91" s="23"/>
      <c r="FO91" s="23"/>
      <c r="FP91" s="23"/>
      <c r="FQ91" s="23"/>
      <c r="FR91" s="23"/>
      <c r="FS91" s="23"/>
      <c r="FT91" s="23"/>
      <c r="FU91" s="23"/>
      <c r="FV91" s="23"/>
      <c r="FW91" s="23"/>
      <c r="FX91" s="23"/>
      <c r="FY91" s="23"/>
      <c r="FZ91" s="23"/>
      <c r="GA91" s="23"/>
      <c r="GB91" s="23"/>
      <c r="GC91" s="23"/>
      <c r="GD91" s="23"/>
      <c r="GE91" s="23"/>
      <c r="GF91" s="23"/>
      <c r="GG91" s="23"/>
      <c r="GH91" s="23"/>
      <c r="GI91" s="23"/>
      <c r="GJ91" s="23"/>
      <c r="GK91" s="23"/>
      <c r="GL91" s="23"/>
      <c r="GM91" s="23"/>
      <c r="GN91" s="23"/>
      <c r="GO91" s="23"/>
      <c r="GP91" s="23"/>
      <c r="GQ91" s="23"/>
      <c r="GR91" s="23"/>
      <c r="GS91" s="23"/>
      <c r="GT91" s="23"/>
      <c r="GU91" s="23"/>
      <c r="GV91" s="23"/>
      <c r="GW91" s="23"/>
      <c r="GX91" s="23"/>
      <c r="GY91" s="23"/>
      <c r="GZ91" s="23"/>
      <c r="HA91" s="23"/>
      <c r="HB91" s="23"/>
      <c r="HC91" s="23"/>
      <c r="HD91" s="23"/>
      <c r="HE91" s="23"/>
      <c r="HF91" s="23"/>
      <c r="HG91" s="23"/>
      <c r="HH91" s="23"/>
      <c r="HI91" s="23"/>
      <c r="HJ91" s="23"/>
      <c r="HK91" s="23"/>
      <c r="HL91" s="23"/>
      <c r="HM91" s="23"/>
      <c r="HN91" s="23"/>
      <c r="HO91" s="23"/>
      <c r="HP91" s="23"/>
      <c r="HQ91" s="23"/>
      <c r="HR91" s="23"/>
      <c r="HS91" s="23"/>
      <c r="HT91" s="23"/>
      <c r="HU91" s="23"/>
      <c r="HV91" s="23"/>
      <c r="HW91" s="23"/>
      <c r="HX91" s="23"/>
      <c r="HY91" s="23"/>
      <c r="HZ91" s="23"/>
      <c r="IA91" s="23"/>
      <c r="IB91" s="23"/>
      <c r="IC91" s="23"/>
      <c r="ID91" s="23"/>
      <c r="IE91" s="23"/>
      <c r="IF91" s="23"/>
      <c r="IG91" s="23"/>
      <c r="IH91" s="23"/>
      <c r="II91" s="23"/>
      <c r="IJ91" s="23"/>
      <c r="IK91" s="23"/>
      <c r="IL91" s="23"/>
      <c r="IM91" s="23"/>
      <c r="IN91" s="23"/>
      <c r="IO91" s="23"/>
      <c r="IP91" s="23"/>
      <c r="IQ91" s="23"/>
      <c r="IR91" s="23"/>
    </row>
    <row r="92" customFormat="false" ht="22.5" hidden="false" customHeight="true" outlineLevel="0" collapsed="false">
      <c r="A92" s="23"/>
      <c r="B92" s="69" t="s">
        <v>277</v>
      </c>
      <c r="C92" s="70" t="s">
        <v>278</v>
      </c>
      <c r="D92" s="32" t="s">
        <v>37</v>
      </c>
      <c r="E92" s="71"/>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c r="FV92" s="23"/>
      <c r="FW92" s="23"/>
      <c r="FX92" s="23"/>
      <c r="FY92" s="23"/>
      <c r="FZ92" s="23"/>
      <c r="GA92" s="23"/>
      <c r="GB92" s="23"/>
      <c r="GC92" s="23"/>
      <c r="GD92" s="23"/>
      <c r="GE92" s="23"/>
      <c r="GF92" s="23"/>
      <c r="GG92" s="23"/>
      <c r="GH92" s="23"/>
      <c r="GI92" s="23"/>
      <c r="GJ92" s="23"/>
      <c r="GK92" s="23"/>
      <c r="GL92" s="23"/>
      <c r="GM92" s="23"/>
      <c r="GN92" s="23"/>
      <c r="GO92" s="23"/>
      <c r="GP92" s="23"/>
      <c r="GQ92" s="23"/>
      <c r="GR92" s="23"/>
      <c r="GS92" s="23"/>
      <c r="GT92" s="23"/>
      <c r="GU92" s="23"/>
      <c r="GV92" s="23"/>
      <c r="GW92" s="23"/>
      <c r="GX92" s="23"/>
      <c r="GY92" s="23"/>
      <c r="GZ92" s="23"/>
      <c r="HA92" s="23"/>
      <c r="HB92" s="23"/>
      <c r="HC92" s="23"/>
      <c r="HD92" s="23"/>
      <c r="HE92" s="23"/>
      <c r="HF92" s="23"/>
      <c r="HG92" s="23"/>
      <c r="HH92" s="23"/>
      <c r="HI92" s="23"/>
      <c r="HJ92" s="23"/>
      <c r="HK92" s="23"/>
      <c r="HL92" s="23"/>
      <c r="HM92" s="23"/>
      <c r="HN92" s="23"/>
      <c r="HO92" s="23"/>
      <c r="HP92" s="23"/>
      <c r="HQ92" s="23"/>
      <c r="HR92" s="23"/>
      <c r="HS92" s="23"/>
      <c r="HT92" s="23"/>
      <c r="HU92" s="23"/>
      <c r="HV92" s="23"/>
      <c r="HW92" s="23"/>
      <c r="HX92" s="23"/>
      <c r="HY92" s="23"/>
      <c r="HZ92" s="23"/>
      <c r="IA92" s="23"/>
      <c r="IB92" s="23"/>
      <c r="IC92" s="23"/>
      <c r="ID92" s="23"/>
      <c r="IE92" s="23"/>
      <c r="IF92" s="23"/>
      <c r="IG92" s="23"/>
      <c r="IH92" s="23"/>
      <c r="II92" s="23"/>
      <c r="IJ92" s="23"/>
      <c r="IK92" s="23"/>
      <c r="IL92" s="23"/>
      <c r="IM92" s="23"/>
      <c r="IN92" s="23"/>
      <c r="IO92" s="23"/>
      <c r="IP92" s="23"/>
      <c r="IQ92" s="23"/>
      <c r="IR92" s="23"/>
    </row>
    <row r="93" customFormat="false" ht="22.5" hidden="false" customHeight="true" outlineLevel="0" collapsed="false">
      <c r="A93" s="23"/>
      <c r="B93" s="69" t="s">
        <v>279</v>
      </c>
      <c r="C93" s="70" t="s">
        <v>280</v>
      </c>
      <c r="D93" s="32" t="s">
        <v>37</v>
      </c>
      <c r="E93" s="71"/>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23"/>
      <c r="FG93" s="23"/>
      <c r="FH93" s="23"/>
      <c r="FI93" s="23"/>
      <c r="FJ93" s="23"/>
      <c r="FK93" s="23"/>
      <c r="FL93" s="23"/>
      <c r="FM93" s="23"/>
      <c r="FN93" s="23"/>
      <c r="FO93" s="23"/>
      <c r="FP93" s="23"/>
      <c r="FQ93" s="23"/>
      <c r="FR93" s="23"/>
      <c r="FS93" s="23"/>
      <c r="FT93" s="23"/>
      <c r="FU93" s="23"/>
      <c r="FV93" s="23"/>
      <c r="FW93" s="23"/>
      <c r="FX93" s="23"/>
      <c r="FY93" s="23"/>
      <c r="FZ93" s="23"/>
      <c r="GA93" s="23"/>
      <c r="GB93" s="23"/>
      <c r="GC93" s="23"/>
      <c r="GD93" s="23"/>
      <c r="GE93" s="23"/>
      <c r="GF93" s="23"/>
      <c r="GG93" s="23"/>
      <c r="GH93" s="23"/>
      <c r="GI93" s="23"/>
      <c r="GJ93" s="23"/>
      <c r="GK93" s="23"/>
      <c r="GL93" s="23"/>
      <c r="GM93" s="23"/>
      <c r="GN93" s="23"/>
      <c r="GO93" s="23"/>
      <c r="GP93" s="23"/>
      <c r="GQ93" s="23"/>
      <c r="GR93" s="23"/>
      <c r="GS93" s="23"/>
      <c r="GT93" s="23"/>
      <c r="GU93" s="23"/>
      <c r="GV93" s="23"/>
      <c r="GW93" s="23"/>
      <c r="GX93" s="23"/>
      <c r="GY93" s="23"/>
      <c r="GZ93" s="23"/>
      <c r="HA93" s="23"/>
      <c r="HB93" s="23"/>
      <c r="HC93" s="23"/>
      <c r="HD93" s="23"/>
      <c r="HE93" s="23"/>
      <c r="HF93" s="23"/>
      <c r="HG93" s="23"/>
      <c r="HH93" s="23"/>
      <c r="HI93" s="23"/>
      <c r="HJ93" s="23"/>
      <c r="HK93" s="23"/>
      <c r="HL93" s="23"/>
      <c r="HM93" s="23"/>
      <c r="HN93" s="23"/>
      <c r="HO93" s="23"/>
      <c r="HP93" s="23"/>
      <c r="HQ93" s="23"/>
      <c r="HR93" s="23"/>
      <c r="HS93" s="23"/>
      <c r="HT93" s="23"/>
      <c r="HU93" s="23"/>
      <c r="HV93" s="23"/>
      <c r="HW93" s="23"/>
      <c r="HX93" s="23"/>
      <c r="HY93" s="23"/>
      <c r="HZ93" s="23"/>
      <c r="IA93" s="23"/>
      <c r="IB93" s="23"/>
      <c r="IC93" s="23"/>
      <c r="ID93" s="23"/>
      <c r="IE93" s="23"/>
      <c r="IF93" s="23"/>
      <c r="IG93" s="23"/>
      <c r="IH93" s="23"/>
      <c r="II93" s="23"/>
      <c r="IJ93" s="23"/>
      <c r="IK93" s="23"/>
      <c r="IL93" s="23"/>
      <c r="IM93" s="23"/>
      <c r="IN93" s="23"/>
      <c r="IO93" s="23"/>
      <c r="IP93" s="23"/>
      <c r="IQ93" s="23"/>
      <c r="IR93" s="23"/>
    </row>
    <row r="94" customFormat="false" ht="22.5" hidden="false" customHeight="true" outlineLevel="0" collapsed="false">
      <c r="A94" s="23"/>
      <c r="B94" s="69" t="s">
        <v>281</v>
      </c>
      <c r="C94" s="70" t="s">
        <v>282</v>
      </c>
      <c r="D94" s="32" t="s">
        <v>27</v>
      </c>
      <c r="E94" s="71"/>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23"/>
      <c r="FG94" s="23"/>
      <c r="FH94" s="23"/>
      <c r="FI94" s="23"/>
      <c r="FJ94" s="23"/>
      <c r="FK94" s="23"/>
      <c r="FL94" s="23"/>
      <c r="FM94" s="23"/>
      <c r="FN94" s="23"/>
      <c r="FO94" s="23"/>
      <c r="FP94" s="23"/>
      <c r="FQ94" s="23"/>
      <c r="FR94" s="23"/>
      <c r="FS94" s="23"/>
      <c r="FT94" s="23"/>
      <c r="FU94" s="23"/>
      <c r="FV94" s="23"/>
      <c r="FW94" s="23"/>
      <c r="FX94" s="23"/>
      <c r="FY94" s="23"/>
      <c r="FZ94" s="23"/>
      <c r="GA94" s="23"/>
      <c r="GB94" s="23"/>
      <c r="GC94" s="23"/>
      <c r="GD94" s="23"/>
      <c r="GE94" s="23"/>
      <c r="GF94" s="23"/>
      <c r="GG94" s="23"/>
      <c r="GH94" s="23"/>
      <c r="GI94" s="23"/>
      <c r="GJ94" s="23"/>
      <c r="GK94" s="23"/>
      <c r="GL94" s="23"/>
      <c r="GM94" s="23"/>
      <c r="GN94" s="23"/>
      <c r="GO94" s="23"/>
      <c r="GP94" s="23"/>
      <c r="GQ94" s="23"/>
      <c r="GR94" s="23"/>
      <c r="GS94" s="23"/>
      <c r="GT94" s="23"/>
      <c r="GU94" s="23"/>
      <c r="GV94" s="23"/>
      <c r="GW94" s="23"/>
      <c r="GX94" s="23"/>
      <c r="GY94" s="23"/>
      <c r="GZ94" s="23"/>
      <c r="HA94" s="23"/>
      <c r="HB94" s="23"/>
      <c r="HC94" s="23"/>
      <c r="HD94" s="23"/>
      <c r="HE94" s="23"/>
      <c r="HF94" s="23"/>
      <c r="HG94" s="23"/>
      <c r="HH94" s="23"/>
      <c r="HI94" s="23"/>
      <c r="HJ94" s="23"/>
      <c r="HK94" s="23"/>
      <c r="HL94" s="23"/>
      <c r="HM94" s="23"/>
      <c r="HN94" s="23"/>
      <c r="HO94" s="23"/>
      <c r="HP94" s="23"/>
      <c r="HQ94" s="23"/>
      <c r="HR94" s="23"/>
      <c r="HS94" s="23"/>
      <c r="HT94" s="23"/>
      <c r="HU94" s="23"/>
      <c r="HV94" s="23"/>
      <c r="HW94" s="23"/>
      <c r="HX94" s="23"/>
      <c r="HY94" s="23"/>
      <c r="HZ94" s="23"/>
      <c r="IA94" s="23"/>
      <c r="IB94" s="23"/>
      <c r="IC94" s="23"/>
      <c r="ID94" s="23"/>
      <c r="IE94" s="23"/>
      <c r="IF94" s="23"/>
      <c r="IG94" s="23"/>
      <c r="IH94" s="23"/>
      <c r="II94" s="23"/>
      <c r="IJ94" s="23"/>
      <c r="IK94" s="23"/>
      <c r="IL94" s="23"/>
      <c r="IM94" s="23"/>
      <c r="IN94" s="23"/>
      <c r="IO94" s="23"/>
      <c r="IP94" s="23"/>
      <c r="IQ94" s="23"/>
      <c r="IR94" s="23"/>
    </row>
    <row r="95" customFormat="false" ht="22.5" hidden="false" customHeight="true" outlineLevel="0" collapsed="false">
      <c r="A95" s="23"/>
      <c r="B95" s="69" t="s">
        <v>283</v>
      </c>
      <c r="C95" s="70" t="s">
        <v>284</v>
      </c>
      <c r="D95" s="32" t="s">
        <v>37</v>
      </c>
      <c r="E95" s="71"/>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23"/>
      <c r="FG95" s="23"/>
      <c r="FH95" s="23"/>
      <c r="FI95" s="23"/>
      <c r="FJ95" s="23"/>
      <c r="FK95" s="23"/>
      <c r="FL95" s="23"/>
      <c r="FM95" s="23"/>
      <c r="FN95" s="23"/>
      <c r="FO95" s="23"/>
      <c r="FP95" s="23"/>
      <c r="FQ95" s="23"/>
      <c r="FR95" s="23"/>
      <c r="FS95" s="23"/>
      <c r="FT95" s="23"/>
      <c r="FU95" s="23"/>
      <c r="FV95" s="23"/>
      <c r="FW95" s="23"/>
      <c r="FX95" s="23"/>
      <c r="FY95" s="23"/>
      <c r="FZ95" s="23"/>
      <c r="GA95" s="23"/>
      <c r="GB95" s="23"/>
      <c r="GC95" s="23"/>
      <c r="GD95" s="23"/>
      <c r="GE95" s="23"/>
      <c r="GF95" s="23"/>
      <c r="GG95" s="23"/>
      <c r="GH95" s="23"/>
      <c r="GI95" s="23"/>
      <c r="GJ95" s="23"/>
      <c r="GK95" s="23"/>
      <c r="GL95" s="23"/>
      <c r="GM95" s="23"/>
      <c r="GN95" s="23"/>
      <c r="GO95" s="23"/>
      <c r="GP95" s="23"/>
      <c r="GQ95" s="23"/>
      <c r="GR95" s="23"/>
      <c r="GS95" s="23"/>
      <c r="GT95" s="23"/>
      <c r="GU95" s="23"/>
      <c r="GV95" s="23"/>
      <c r="GW95" s="23"/>
      <c r="GX95" s="23"/>
      <c r="GY95" s="23"/>
      <c r="GZ95" s="23"/>
      <c r="HA95" s="23"/>
      <c r="HB95" s="23"/>
      <c r="HC95" s="23"/>
      <c r="HD95" s="23"/>
      <c r="HE95" s="23"/>
      <c r="HF95" s="23"/>
      <c r="HG95" s="23"/>
      <c r="HH95" s="23"/>
      <c r="HI95" s="23"/>
      <c r="HJ95" s="23"/>
      <c r="HK95" s="23"/>
      <c r="HL95" s="23"/>
      <c r="HM95" s="23"/>
      <c r="HN95" s="23"/>
      <c r="HO95" s="23"/>
      <c r="HP95" s="23"/>
      <c r="HQ95" s="23"/>
      <c r="HR95" s="23"/>
      <c r="HS95" s="23"/>
      <c r="HT95" s="23"/>
      <c r="HU95" s="23"/>
      <c r="HV95" s="23"/>
      <c r="HW95" s="23"/>
      <c r="HX95" s="23"/>
      <c r="HY95" s="23"/>
      <c r="HZ95" s="23"/>
      <c r="IA95" s="23"/>
      <c r="IB95" s="23"/>
      <c r="IC95" s="23"/>
      <c r="ID95" s="23"/>
      <c r="IE95" s="23"/>
      <c r="IF95" s="23"/>
      <c r="IG95" s="23"/>
      <c r="IH95" s="23"/>
      <c r="II95" s="23"/>
      <c r="IJ95" s="23"/>
      <c r="IK95" s="23"/>
      <c r="IL95" s="23"/>
      <c r="IM95" s="23"/>
      <c r="IN95" s="23"/>
      <c r="IO95" s="23"/>
      <c r="IP95" s="23"/>
      <c r="IQ95" s="23"/>
      <c r="IR95" s="23"/>
    </row>
    <row r="96" customFormat="false" ht="22.5" hidden="false" customHeight="true" outlineLevel="0" collapsed="false">
      <c r="A96" s="23"/>
      <c r="B96" s="69" t="s">
        <v>285</v>
      </c>
      <c r="C96" s="70" t="s">
        <v>286</v>
      </c>
      <c r="D96" s="32" t="s">
        <v>37</v>
      </c>
      <c r="E96" s="71"/>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23"/>
      <c r="FG96" s="23"/>
      <c r="FH96" s="23"/>
      <c r="FI96" s="23"/>
      <c r="FJ96" s="23"/>
      <c r="FK96" s="23"/>
      <c r="FL96" s="23"/>
      <c r="FM96" s="23"/>
      <c r="FN96" s="23"/>
      <c r="FO96" s="23"/>
      <c r="FP96" s="23"/>
      <c r="FQ96" s="23"/>
      <c r="FR96" s="23"/>
      <c r="FS96" s="23"/>
      <c r="FT96" s="23"/>
      <c r="FU96" s="23"/>
      <c r="FV96" s="23"/>
      <c r="FW96" s="23"/>
      <c r="FX96" s="23"/>
      <c r="FY96" s="23"/>
      <c r="FZ96" s="23"/>
      <c r="GA96" s="23"/>
      <c r="GB96" s="23"/>
      <c r="GC96" s="23"/>
      <c r="GD96" s="23"/>
      <c r="GE96" s="23"/>
      <c r="GF96" s="23"/>
      <c r="GG96" s="23"/>
      <c r="GH96" s="23"/>
      <c r="GI96" s="23"/>
      <c r="GJ96" s="23"/>
      <c r="GK96" s="23"/>
      <c r="GL96" s="23"/>
      <c r="GM96" s="23"/>
      <c r="GN96" s="23"/>
      <c r="GO96" s="23"/>
      <c r="GP96" s="23"/>
      <c r="GQ96" s="23"/>
      <c r="GR96" s="23"/>
      <c r="GS96" s="23"/>
      <c r="GT96" s="23"/>
      <c r="GU96" s="23"/>
      <c r="GV96" s="23"/>
      <c r="GW96" s="23"/>
      <c r="GX96" s="23"/>
      <c r="GY96" s="23"/>
      <c r="GZ96" s="23"/>
      <c r="HA96" s="23"/>
      <c r="HB96" s="23"/>
      <c r="HC96" s="23"/>
      <c r="HD96" s="23"/>
      <c r="HE96" s="23"/>
      <c r="HF96" s="23"/>
      <c r="HG96" s="23"/>
      <c r="HH96" s="23"/>
      <c r="HI96" s="23"/>
      <c r="HJ96" s="23"/>
      <c r="HK96" s="23"/>
      <c r="HL96" s="23"/>
      <c r="HM96" s="23"/>
      <c r="HN96" s="23"/>
      <c r="HO96" s="23"/>
      <c r="HP96" s="23"/>
      <c r="HQ96" s="23"/>
      <c r="HR96" s="23"/>
      <c r="HS96" s="23"/>
      <c r="HT96" s="23"/>
      <c r="HU96" s="23"/>
      <c r="HV96" s="23"/>
      <c r="HW96" s="23"/>
      <c r="HX96" s="23"/>
      <c r="HY96" s="23"/>
      <c r="HZ96" s="23"/>
      <c r="IA96" s="23"/>
      <c r="IB96" s="23"/>
      <c r="IC96" s="23"/>
      <c r="ID96" s="23"/>
      <c r="IE96" s="23"/>
      <c r="IF96" s="23"/>
      <c r="IG96" s="23"/>
      <c r="IH96" s="23"/>
      <c r="II96" s="23"/>
      <c r="IJ96" s="23"/>
      <c r="IK96" s="23"/>
      <c r="IL96" s="23"/>
      <c r="IM96" s="23"/>
      <c r="IN96" s="23"/>
      <c r="IO96" s="23"/>
      <c r="IP96" s="23"/>
      <c r="IQ96" s="23"/>
      <c r="IR96" s="23"/>
    </row>
    <row r="97" customFormat="false" ht="22.5" hidden="false" customHeight="true" outlineLevel="0" collapsed="false">
      <c r="A97" s="23"/>
      <c r="B97" s="69" t="s">
        <v>287</v>
      </c>
      <c r="C97" s="70" t="s">
        <v>288</v>
      </c>
      <c r="D97" s="32" t="s">
        <v>37</v>
      </c>
      <c r="E97" s="71"/>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23"/>
      <c r="FG97" s="23"/>
      <c r="FH97" s="23"/>
      <c r="FI97" s="23"/>
      <c r="FJ97" s="23"/>
      <c r="FK97" s="23"/>
      <c r="FL97" s="23"/>
      <c r="FM97" s="23"/>
      <c r="FN97" s="23"/>
      <c r="FO97" s="23"/>
      <c r="FP97" s="23"/>
      <c r="FQ97" s="23"/>
      <c r="FR97" s="23"/>
      <c r="FS97" s="23"/>
      <c r="FT97" s="23"/>
      <c r="FU97" s="23"/>
      <c r="FV97" s="23"/>
      <c r="FW97" s="23"/>
      <c r="FX97" s="23"/>
      <c r="FY97" s="23"/>
      <c r="FZ97" s="23"/>
      <c r="GA97" s="23"/>
      <c r="GB97" s="23"/>
      <c r="GC97" s="23"/>
      <c r="GD97" s="23"/>
      <c r="GE97" s="23"/>
      <c r="GF97" s="23"/>
      <c r="GG97" s="23"/>
      <c r="GH97" s="23"/>
      <c r="GI97" s="23"/>
      <c r="GJ97" s="23"/>
      <c r="GK97" s="23"/>
      <c r="GL97" s="23"/>
      <c r="GM97" s="23"/>
      <c r="GN97" s="23"/>
      <c r="GO97" s="23"/>
      <c r="GP97" s="23"/>
      <c r="GQ97" s="23"/>
      <c r="GR97" s="23"/>
      <c r="GS97" s="23"/>
      <c r="GT97" s="23"/>
      <c r="GU97" s="23"/>
      <c r="GV97" s="23"/>
      <c r="GW97" s="23"/>
      <c r="GX97" s="23"/>
      <c r="GY97" s="23"/>
      <c r="GZ97" s="23"/>
      <c r="HA97" s="23"/>
      <c r="HB97" s="23"/>
      <c r="HC97" s="23"/>
      <c r="HD97" s="23"/>
      <c r="HE97" s="23"/>
      <c r="HF97" s="23"/>
      <c r="HG97" s="23"/>
      <c r="HH97" s="23"/>
      <c r="HI97" s="23"/>
      <c r="HJ97" s="23"/>
      <c r="HK97" s="23"/>
      <c r="HL97" s="23"/>
      <c r="HM97" s="23"/>
      <c r="HN97" s="23"/>
      <c r="HO97" s="23"/>
      <c r="HP97" s="23"/>
      <c r="HQ97" s="23"/>
      <c r="HR97" s="23"/>
      <c r="HS97" s="23"/>
      <c r="HT97" s="23"/>
      <c r="HU97" s="23"/>
      <c r="HV97" s="23"/>
      <c r="HW97" s="23"/>
      <c r="HX97" s="23"/>
      <c r="HY97" s="23"/>
      <c r="HZ97" s="23"/>
      <c r="IA97" s="23"/>
      <c r="IB97" s="23"/>
      <c r="IC97" s="23"/>
      <c r="ID97" s="23"/>
      <c r="IE97" s="23"/>
      <c r="IF97" s="23"/>
      <c r="IG97" s="23"/>
      <c r="IH97" s="23"/>
      <c r="II97" s="23"/>
      <c r="IJ97" s="23"/>
      <c r="IK97" s="23"/>
      <c r="IL97" s="23"/>
      <c r="IM97" s="23"/>
      <c r="IN97" s="23"/>
      <c r="IO97" s="23"/>
      <c r="IP97" s="23"/>
      <c r="IQ97" s="23"/>
      <c r="IR97" s="23"/>
    </row>
    <row r="98" customFormat="false" ht="22.5" hidden="false" customHeight="true" outlineLevel="0" collapsed="false">
      <c r="A98" s="23"/>
      <c r="B98" s="69" t="s">
        <v>289</v>
      </c>
      <c r="C98" s="70" t="s">
        <v>290</v>
      </c>
      <c r="D98" s="32" t="s">
        <v>37</v>
      </c>
      <c r="E98" s="71"/>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23"/>
      <c r="FG98" s="23"/>
      <c r="FH98" s="23"/>
      <c r="FI98" s="23"/>
      <c r="FJ98" s="23"/>
      <c r="FK98" s="23"/>
      <c r="FL98" s="23"/>
      <c r="FM98" s="23"/>
      <c r="FN98" s="23"/>
      <c r="FO98" s="23"/>
      <c r="FP98" s="23"/>
      <c r="FQ98" s="23"/>
      <c r="FR98" s="23"/>
      <c r="FS98" s="23"/>
      <c r="FT98" s="23"/>
      <c r="FU98" s="23"/>
      <c r="FV98" s="23"/>
      <c r="FW98" s="23"/>
      <c r="FX98" s="23"/>
      <c r="FY98" s="23"/>
      <c r="FZ98" s="23"/>
      <c r="GA98" s="23"/>
      <c r="GB98" s="23"/>
      <c r="GC98" s="23"/>
      <c r="GD98" s="23"/>
      <c r="GE98" s="23"/>
      <c r="GF98" s="23"/>
      <c r="GG98" s="23"/>
      <c r="GH98" s="23"/>
      <c r="GI98" s="23"/>
      <c r="GJ98" s="23"/>
      <c r="GK98" s="23"/>
      <c r="GL98" s="23"/>
      <c r="GM98" s="23"/>
      <c r="GN98" s="23"/>
      <c r="GO98" s="23"/>
      <c r="GP98" s="23"/>
      <c r="GQ98" s="23"/>
      <c r="GR98" s="23"/>
      <c r="GS98" s="23"/>
      <c r="GT98" s="23"/>
      <c r="GU98" s="23"/>
      <c r="GV98" s="23"/>
      <c r="GW98" s="23"/>
      <c r="GX98" s="23"/>
      <c r="GY98" s="23"/>
      <c r="GZ98" s="23"/>
      <c r="HA98" s="23"/>
      <c r="HB98" s="23"/>
      <c r="HC98" s="23"/>
      <c r="HD98" s="23"/>
      <c r="HE98" s="23"/>
      <c r="HF98" s="23"/>
      <c r="HG98" s="23"/>
      <c r="HH98" s="23"/>
      <c r="HI98" s="23"/>
      <c r="HJ98" s="23"/>
      <c r="HK98" s="23"/>
      <c r="HL98" s="23"/>
      <c r="HM98" s="23"/>
      <c r="HN98" s="23"/>
      <c r="HO98" s="23"/>
      <c r="HP98" s="23"/>
      <c r="HQ98" s="23"/>
      <c r="HR98" s="23"/>
      <c r="HS98" s="23"/>
      <c r="HT98" s="23"/>
      <c r="HU98" s="23"/>
      <c r="HV98" s="23"/>
      <c r="HW98" s="23"/>
      <c r="HX98" s="23"/>
      <c r="HY98" s="23"/>
      <c r="HZ98" s="23"/>
      <c r="IA98" s="23"/>
      <c r="IB98" s="23"/>
      <c r="IC98" s="23"/>
      <c r="ID98" s="23"/>
      <c r="IE98" s="23"/>
      <c r="IF98" s="23"/>
      <c r="IG98" s="23"/>
      <c r="IH98" s="23"/>
      <c r="II98" s="23"/>
      <c r="IJ98" s="23"/>
      <c r="IK98" s="23"/>
      <c r="IL98" s="23"/>
      <c r="IM98" s="23"/>
      <c r="IN98" s="23"/>
      <c r="IO98" s="23"/>
      <c r="IP98" s="23"/>
      <c r="IQ98" s="23"/>
      <c r="IR98" s="23"/>
    </row>
    <row r="99" customFormat="false" ht="22.5" hidden="false" customHeight="true" outlineLevel="0" collapsed="false">
      <c r="A99" s="23"/>
      <c r="B99" s="69" t="s">
        <v>291</v>
      </c>
      <c r="C99" s="70" t="s">
        <v>292</v>
      </c>
      <c r="D99" s="32" t="s">
        <v>37</v>
      </c>
      <c r="E99" s="71"/>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23"/>
      <c r="FG99" s="23"/>
      <c r="FH99" s="23"/>
      <c r="FI99" s="23"/>
      <c r="FJ99" s="23"/>
      <c r="FK99" s="23"/>
      <c r="FL99" s="23"/>
      <c r="FM99" s="23"/>
      <c r="FN99" s="23"/>
      <c r="FO99" s="23"/>
      <c r="FP99" s="23"/>
      <c r="FQ99" s="23"/>
      <c r="FR99" s="23"/>
      <c r="FS99" s="23"/>
      <c r="FT99" s="23"/>
      <c r="FU99" s="23"/>
      <c r="FV99" s="23"/>
      <c r="FW99" s="23"/>
      <c r="FX99" s="23"/>
      <c r="FY99" s="23"/>
      <c r="FZ99" s="23"/>
      <c r="GA99" s="23"/>
      <c r="GB99" s="23"/>
      <c r="GC99" s="23"/>
      <c r="GD99" s="23"/>
      <c r="GE99" s="23"/>
      <c r="GF99" s="23"/>
      <c r="GG99" s="23"/>
      <c r="GH99" s="23"/>
      <c r="GI99" s="23"/>
      <c r="GJ99" s="23"/>
      <c r="GK99" s="23"/>
      <c r="GL99" s="23"/>
      <c r="GM99" s="23"/>
      <c r="GN99" s="23"/>
      <c r="GO99" s="23"/>
      <c r="GP99" s="23"/>
      <c r="GQ99" s="23"/>
      <c r="GR99" s="23"/>
      <c r="GS99" s="23"/>
      <c r="GT99" s="23"/>
      <c r="GU99" s="23"/>
      <c r="GV99" s="23"/>
      <c r="GW99" s="23"/>
      <c r="GX99" s="23"/>
      <c r="GY99" s="23"/>
      <c r="GZ99" s="23"/>
      <c r="HA99" s="23"/>
      <c r="HB99" s="23"/>
      <c r="HC99" s="23"/>
      <c r="HD99" s="23"/>
      <c r="HE99" s="23"/>
      <c r="HF99" s="23"/>
      <c r="HG99" s="23"/>
      <c r="HH99" s="23"/>
      <c r="HI99" s="23"/>
      <c r="HJ99" s="23"/>
      <c r="HK99" s="23"/>
      <c r="HL99" s="23"/>
      <c r="HM99" s="23"/>
      <c r="HN99" s="23"/>
      <c r="HO99" s="23"/>
      <c r="HP99" s="23"/>
      <c r="HQ99" s="23"/>
      <c r="HR99" s="23"/>
      <c r="HS99" s="23"/>
      <c r="HT99" s="23"/>
      <c r="HU99" s="23"/>
      <c r="HV99" s="23"/>
      <c r="HW99" s="23"/>
      <c r="HX99" s="23"/>
      <c r="HY99" s="23"/>
      <c r="HZ99" s="23"/>
      <c r="IA99" s="23"/>
      <c r="IB99" s="23"/>
      <c r="IC99" s="23"/>
      <c r="ID99" s="23"/>
      <c r="IE99" s="23"/>
      <c r="IF99" s="23"/>
      <c r="IG99" s="23"/>
      <c r="IH99" s="23"/>
      <c r="II99" s="23"/>
      <c r="IJ99" s="23"/>
      <c r="IK99" s="23"/>
      <c r="IL99" s="23"/>
      <c r="IM99" s="23"/>
      <c r="IN99" s="23"/>
      <c r="IO99" s="23"/>
      <c r="IP99" s="23"/>
      <c r="IQ99" s="23"/>
      <c r="IR99" s="23"/>
    </row>
    <row r="100" customFormat="false" ht="15" hidden="false" customHeight="false" outlineLevel="0" collapsed="false">
      <c r="A100" s="73"/>
      <c r="B100" s="74"/>
      <c r="C100" s="75"/>
      <c r="D100" s="43" t="n">
        <f aca="false">COUNTA(D3:D99)</f>
        <v>93</v>
      </c>
      <c r="E100" s="76" t="s">
        <v>293</v>
      </c>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7"/>
      <c r="CD100" s="77"/>
      <c r="CE100" s="77"/>
      <c r="CF100" s="77"/>
      <c r="CG100" s="77"/>
      <c r="CH100" s="77"/>
      <c r="CI100" s="77"/>
      <c r="CJ100" s="77"/>
      <c r="CK100" s="77"/>
      <c r="CL100" s="77"/>
      <c r="CM100" s="77"/>
      <c r="CN100" s="77"/>
      <c r="CO100" s="77"/>
      <c r="CP100" s="77"/>
      <c r="CQ100" s="77"/>
      <c r="CR100" s="77"/>
      <c r="CS100" s="77"/>
      <c r="CT100" s="77"/>
      <c r="CU100" s="77"/>
      <c r="CV100" s="77"/>
      <c r="CW100" s="77"/>
      <c r="CX100" s="77"/>
      <c r="CY100" s="77"/>
      <c r="CZ100" s="77"/>
      <c r="DA100" s="77"/>
      <c r="DB100" s="77"/>
      <c r="DC100" s="77"/>
      <c r="DD100" s="77"/>
      <c r="DE100" s="77"/>
      <c r="DF100" s="77"/>
      <c r="DG100" s="77"/>
      <c r="DH100" s="77"/>
      <c r="DI100" s="77"/>
      <c r="DJ100" s="77"/>
      <c r="DK100" s="77"/>
      <c r="DL100" s="77"/>
      <c r="DM100" s="77"/>
      <c r="DN100" s="77"/>
      <c r="DO100" s="77"/>
      <c r="DP100" s="77"/>
      <c r="DQ100" s="77"/>
      <c r="DR100" s="77"/>
      <c r="DS100" s="77"/>
      <c r="DT100" s="77"/>
      <c r="DU100" s="77"/>
      <c r="DV100" s="77"/>
      <c r="DW100" s="77"/>
      <c r="DX100" s="77"/>
      <c r="DY100" s="77"/>
      <c r="DZ100" s="77"/>
      <c r="EA100" s="77"/>
      <c r="EB100" s="77"/>
      <c r="EC100" s="77"/>
      <c r="ED100" s="77"/>
      <c r="EE100" s="77"/>
      <c r="EF100" s="77"/>
      <c r="EG100" s="77"/>
      <c r="EH100" s="77"/>
      <c r="EI100" s="77"/>
      <c r="EJ100" s="77"/>
      <c r="EK100" s="77"/>
      <c r="EL100" s="77"/>
      <c r="EM100" s="77"/>
      <c r="EN100" s="77"/>
      <c r="EO100" s="77"/>
      <c r="EP100" s="77"/>
      <c r="EQ100" s="77"/>
      <c r="ER100" s="77"/>
      <c r="ES100" s="77"/>
      <c r="ET100" s="77"/>
      <c r="EU100" s="77"/>
      <c r="EV100" s="77"/>
      <c r="EW100" s="77"/>
      <c r="EX100" s="77"/>
      <c r="EY100" s="77"/>
      <c r="EZ100" s="77"/>
      <c r="FA100" s="77"/>
      <c r="FB100" s="77"/>
      <c r="FC100" s="77"/>
      <c r="FD100" s="77"/>
      <c r="FE100" s="77"/>
      <c r="FF100" s="77"/>
      <c r="FG100" s="77"/>
      <c r="FH100" s="77"/>
      <c r="FI100" s="77"/>
      <c r="FJ100" s="77"/>
      <c r="FK100" s="77"/>
      <c r="FL100" s="77"/>
      <c r="FM100" s="77"/>
      <c r="FN100" s="77"/>
      <c r="FO100" s="77"/>
      <c r="FP100" s="77"/>
      <c r="FQ100" s="77"/>
      <c r="FR100" s="77"/>
      <c r="FS100" s="77"/>
      <c r="FT100" s="77"/>
      <c r="FU100" s="77"/>
      <c r="FV100" s="77"/>
      <c r="FW100" s="77"/>
      <c r="FX100" s="77"/>
      <c r="FY100" s="77"/>
      <c r="FZ100" s="77"/>
      <c r="GA100" s="77"/>
      <c r="GB100" s="77"/>
      <c r="GC100" s="77"/>
      <c r="GD100" s="77"/>
      <c r="GE100" s="77"/>
      <c r="GF100" s="77"/>
      <c r="GG100" s="77"/>
      <c r="GH100" s="77"/>
      <c r="GI100" s="77"/>
      <c r="GJ100" s="77"/>
      <c r="GK100" s="77"/>
      <c r="GL100" s="77"/>
      <c r="GM100" s="77"/>
      <c r="GN100" s="77"/>
      <c r="GO100" s="77"/>
      <c r="GP100" s="77"/>
      <c r="GQ100" s="77"/>
      <c r="GR100" s="77"/>
      <c r="GS100" s="77"/>
      <c r="GT100" s="77"/>
      <c r="GU100" s="77"/>
      <c r="GV100" s="77"/>
      <c r="GW100" s="77"/>
      <c r="GX100" s="77"/>
      <c r="GY100" s="77"/>
      <c r="GZ100" s="77"/>
      <c r="HA100" s="77"/>
      <c r="HB100" s="77"/>
      <c r="HC100" s="77"/>
      <c r="HD100" s="77"/>
      <c r="HE100" s="77"/>
      <c r="HF100" s="77"/>
      <c r="HG100" s="77"/>
      <c r="HH100" s="77"/>
      <c r="HI100" s="77"/>
      <c r="HJ100" s="77"/>
      <c r="HK100" s="77"/>
      <c r="HL100" s="77"/>
      <c r="HM100" s="77"/>
      <c r="HN100" s="77"/>
      <c r="HO100" s="77"/>
      <c r="HP100" s="77"/>
      <c r="HQ100" s="77"/>
      <c r="HR100" s="77"/>
      <c r="HS100" s="77"/>
      <c r="HT100" s="77"/>
      <c r="HU100" s="77"/>
      <c r="HV100" s="77"/>
      <c r="HW100" s="77"/>
      <c r="HX100" s="77"/>
      <c r="HY100" s="77"/>
      <c r="HZ100" s="77"/>
      <c r="IA100" s="77"/>
      <c r="IB100" s="77"/>
      <c r="IC100" s="77"/>
      <c r="ID100" s="77"/>
      <c r="IE100" s="77"/>
      <c r="IF100" s="77"/>
      <c r="IG100" s="77"/>
      <c r="IH100" s="77"/>
      <c r="II100" s="77"/>
      <c r="IJ100" s="77"/>
      <c r="IK100" s="77"/>
      <c r="IL100" s="77"/>
      <c r="IM100" s="77"/>
      <c r="IN100" s="77"/>
      <c r="IO100" s="77"/>
      <c r="IP100" s="77"/>
      <c r="IQ100" s="77"/>
      <c r="IR100" s="77"/>
    </row>
    <row r="101" customFormat="false" ht="15" hidden="false" customHeight="false" outlineLevel="0" collapsed="false">
      <c r="A101" s="78"/>
      <c r="B101" s="78"/>
      <c r="C101" s="79"/>
      <c r="D101" s="80"/>
      <c r="E101" s="78"/>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7"/>
      <c r="CD101" s="77"/>
      <c r="CE101" s="77"/>
      <c r="CF101" s="77"/>
      <c r="CG101" s="77"/>
      <c r="CH101" s="77"/>
      <c r="CI101" s="77"/>
      <c r="CJ101" s="77"/>
      <c r="CK101" s="77"/>
      <c r="CL101" s="77"/>
      <c r="CM101" s="77"/>
      <c r="CN101" s="77"/>
      <c r="CO101" s="77"/>
      <c r="CP101" s="77"/>
      <c r="CQ101" s="77"/>
      <c r="CR101" s="77"/>
      <c r="CS101" s="77"/>
      <c r="CT101" s="77"/>
      <c r="CU101" s="77"/>
      <c r="CV101" s="77"/>
      <c r="CW101" s="77"/>
      <c r="CX101" s="77"/>
      <c r="CY101" s="77"/>
      <c r="CZ101" s="77"/>
      <c r="DA101" s="77"/>
      <c r="DB101" s="77"/>
      <c r="DC101" s="77"/>
      <c r="DD101" s="77"/>
      <c r="DE101" s="77"/>
      <c r="DF101" s="77"/>
      <c r="DG101" s="77"/>
      <c r="DH101" s="77"/>
      <c r="DI101" s="77"/>
      <c r="DJ101" s="77"/>
      <c r="DK101" s="77"/>
      <c r="DL101" s="77"/>
      <c r="DM101" s="77"/>
      <c r="DN101" s="77"/>
      <c r="DO101" s="77"/>
      <c r="DP101" s="77"/>
      <c r="DQ101" s="77"/>
      <c r="DR101" s="77"/>
      <c r="DS101" s="77"/>
      <c r="DT101" s="77"/>
      <c r="DU101" s="77"/>
      <c r="DV101" s="77"/>
      <c r="DW101" s="77"/>
      <c r="DX101" s="77"/>
      <c r="DY101" s="77"/>
      <c r="DZ101" s="77"/>
      <c r="EA101" s="77"/>
      <c r="EB101" s="77"/>
      <c r="EC101" s="77"/>
      <c r="ED101" s="77"/>
      <c r="EE101" s="77"/>
      <c r="EF101" s="77"/>
      <c r="EG101" s="77"/>
      <c r="EH101" s="77"/>
      <c r="EI101" s="77"/>
      <c r="EJ101" s="77"/>
      <c r="EK101" s="77"/>
      <c r="EL101" s="77"/>
      <c r="EM101" s="77"/>
      <c r="EN101" s="77"/>
      <c r="EO101" s="77"/>
      <c r="EP101" s="77"/>
      <c r="EQ101" s="77"/>
      <c r="ER101" s="77"/>
      <c r="ES101" s="77"/>
      <c r="ET101" s="77"/>
      <c r="EU101" s="77"/>
      <c r="EV101" s="77"/>
      <c r="EW101" s="77"/>
      <c r="EX101" s="77"/>
      <c r="EY101" s="77"/>
      <c r="EZ101" s="77"/>
      <c r="FA101" s="77"/>
      <c r="FB101" s="77"/>
      <c r="FC101" s="77"/>
      <c r="FD101" s="77"/>
      <c r="FE101" s="77"/>
      <c r="FF101" s="77"/>
      <c r="FG101" s="77"/>
      <c r="FH101" s="77"/>
      <c r="FI101" s="77"/>
      <c r="FJ101" s="77"/>
      <c r="FK101" s="77"/>
      <c r="FL101" s="77"/>
      <c r="FM101" s="77"/>
      <c r="FN101" s="77"/>
      <c r="FO101" s="77"/>
      <c r="FP101" s="77"/>
      <c r="FQ101" s="77"/>
      <c r="FR101" s="77"/>
      <c r="FS101" s="77"/>
      <c r="FT101" s="77"/>
      <c r="FU101" s="77"/>
      <c r="FV101" s="77"/>
      <c r="FW101" s="77"/>
      <c r="FX101" s="77"/>
      <c r="FY101" s="77"/>
      <c r="FZ101" s="77"/>
      <c r="GA101" s="77"/>
      <c r="GB101" s="77"/>
      <c r="GC101" s="77"/>
      <c r="GD101" s="77"/>
      <c r="GE101" s="77"/>
      <c r="GF101" s="77"/>
      <c r="GG101" s="77"/>
      <c r="GH101" s="77"/>
      <c r="GI101" s="77"/>
      <c r="GJ101" s="77"/>
      <c r="GK101" s="77"/>
      <c r="GL101" s="77"/>
      <c r="GM101" s="77"/>
      <c r="GN101" s="77"/>
      <c r="GO101" s="77"/>
      <c r="GP101" s="77"/>
      <c r="GQ101" s="77"/>
      <c r="GR101" s="77"/>
      <c r="GS101" s="77"/>
      <c r="GT101" s="77"/>
      <c r="GU101" s="77"/>
      <c r="GV101" s="77"/>
      <c r="GW101" s="77"/>
      <c r="GX101" s="77"/>
      <c r="GY101" s="77"/>
      <c r="GZ101" s="77"/>
      <c r="HA101" s="77"/>
      <c r="HB101" s="77"/>
      <c r="HC101" s="77"/>
      <c r="HD101" s="77"/>
      <c r="HE101" s="77"/>
      <c r="HF101" s="77"/>
      <c r="HG101" s="77"/>
      <c r="HH101" s="77"/>
      <c r="HI101" s="77"/>
      <c r="HJ101" s="77"/>
      <c r="HK101" s="77"/>
      <c r="HL101" s="77"/>
      <c r="HM101" s="77"/>
      <c r="HN101" s="77"/>
      <c r="HO101" s="77"/>
      <c r="HP101" s="77"/>
      <c r="HQ101" s="77"/>
      <c r="HR101" s="77"/>
      <c r="HS101" s="77"/>
      <c r="HT101" s="77"/>
      <c r="HU101" s="77"/>
      <c r="HV101" s="77"/>
      <c r="HW101" s="77"/>
      <c r="HX101" s="77"/>
      <c r="HY101" s="77"/>
      <c r="HZ101" s="77"/>
      <c r="IA101" s="77"/>
      <c r="IB101" s="77"/>
      <c r="IC101" s="77"/>
      <c r="ID101" s="77"/>
      <c r="IE101" s="77"/>
      <c r="IF101" s="77"/>
      <c r="IG101" s="77"/>
      <c r="IH101" s="77"/>
      <c r="II101" s="77"/>
      <c r="IJ101" s="77"/>
      <c r="IK101" s="77"/>
      <c r="IL101" s="77"/>
      <c r="IM101" s="77"/>
      <c r="IN101" s="77"/>
      <c r="IO101" s="77"/>
      <c r="IP101" s="77"/>
      <c r="IQ101" s="77"/>
      <c r="IR101" s="77"/>
    </row>
    <row r="102" customFormat="false" ht="15" hidden="false" customHeight="false" outlineLevel="0" collapsed="false">
      <c r="A102" s="78"/>
      <c r="B102" s="78"/>
      <c r="C102" s="79"/>
      <c r="D102" s="80"/>
      <c r="E102" s="78"/>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77"/>
      <c r="BJ102" s="77"/>
      <c r="BK102" s="77"/>
      <c r="BL102" s="77"/>
      <c r="BM102" s="77"/>
      <c r="BN102" s="77"/>
      <c r="BO102" s="77"/>
      <c r="BP102" s="77"/>
      <c r="BQ102" s="77"/>
      <c r="BR102" s="77"/>
      <c r="BS102" s="77"/>
      <c r="BT102" s="77"/>
      <c r="BU102" s="77"/>
      <c r="BV102" s="77"/>
      <c r="BW102" s="77"/>
      <c r="BX102" s="77"/>
      <c r="BY102" s="77"/>
      <c r="BZ102" s="77"/>
      <c r="CA102" s="77"/>
      <c r="CB102" s="77"/>
      <c r="CC102" s="77"/>
      <c r="CD102" s="77"/>
      <c r="CE102" s="77"/>
      <c r="CF102" s="77"/>
      <c r="CG102" s="77"/>
      <c r="CH102" s="77"/>
      <c r="CI102" s="77"/>
      <c r="CJ102" s="77"/>
      <c r="CK102" s="77"/>
      <c r="CL102" s="77"/>
      <c r="CM102" s="77"/>
      <c r="CN102" s="77"/>
      <c r="CO102" s="77"/>
      <c r="CP102" s="77"/>
      <c r="CQ102" s="77"/>
      <c r="CR102" s="77"/>
      <c r="CS102" s="77"/>
      <c r="CT102" s="77"/>
      <c r="CU102" s="77"/>
      <c r="CV102" s="77"/>
      <c r="CW102" s="77"/>
      <c r="CX102" s="77"/>
      <c r="CY102" s="77"/>
      <c r="CZ102" s="77"/>
      <c r="DA102" s="77"/>
      <c r="DB102" s="77"/>
      <c r="DC102" s="77"/>
      <c r="DD102" s="77"/>
      <c r="DE102" s="77"/>
      <c r="DF102" s="77"/>
      <c r="DG102" s="77"/>
      <c r="DH102" s="77"/>
      <c r="DI102" s="77"/>
      <c r="DJ102" s="77"/>
      <c r="DK102" s="77"/>
      <c r="DL102" s="77"/>
      <c r="DM102" s="77"/>
      <c r="DN102" s="77"/>
      <c r="DO102" s="77"/>
      <c r="DP102" s="77"/>
      <c r="DQ102" s="77"/>
      <c r="DR102" s="77"/>
      <c r="DS102" s="77"/>
      <c r="DT102" s="77"/>
      <c r="DU102" s="77"/>
      <c r="DV102" s="77"/>
      <c r="DW102" s="77"/>
      <c r="DX102" s="77"/>
      <c r="DY102" s="77"/>
      <c r="DZ102" s="77"/>
      <c r="EA102" s="77"/>
      <c r="EB102" s="77"/>
      <c r="EC102" s="77"/>
      <c r="ED102" s="77"/>
      <c r="EE102" s="77"/>
      <c r="EF102" s="77"/>
      <c r="EG102" s="77"/>
      <c r="EH102" s="77"/>
      <c r="EI102" s="77"/>
      <c r="EJ102" s="77"/>
      <c r="EK102" s="77"/>
      <c r="EL102" s="77"/>
      <c r="EM102" s="77"/>
      <c r="EN102" s="77"/>
      <c r="EO102" s="77"/>
      <c r="EP102" s="77"/>
      <c r="EQ102" s="77"/>
      <c r="ER102" s="77"/>
      <c r="ES102" s="77"/>
      <c r="ET102" s="77"/>
      <c r="EU102" s="77"/>
      <c r="EV102" s="77"/>
      <c r="EW102" s="77"/>
      <c r="EX102" s="77"/>
      <c r="EY102" s="77"/>
      <c r="EZ102" s="77"/>
      <c r="FA102" s="77"/>
      <c r="FB102" s="77"/>
      <c r="FC102" s="77"/>
      <c r="FD102" s="77"/>
      <c r="FE102" s="77"/>
      <c r="FF102" s="77"/>
      <c r="FG102" s="77"/>
      <c r="FH102" s="77"/>
      <c r="FI102" s="77"/>
      <c r="FJ102" s="77"/>
      <c r="FK102" s="77"/>
      <c r="FL102" s="77"/>
      <c r="FM102" s="77"/>
      <c r="FN102" s="77"/>
      <c r="FO102" s="77"/>
      <c r="FP102" s="77"/>
      <c r="FQ102" s="77"/>
      <c r="FR102" s="77"/>
      <c r="FS102" s="77"/>
      <c r="FT102" s="77"/>
      <c r="FU102" s="77"/>
      <c r="FV102" s="77"/>
      <c r="FW102" s="77"/>
      <c r="FX102" s="77"/>
      <c r="FY102" s="77"/>
      <c r="FZ102" s="77"/>
      <c r="GA102" s="77"/>
      <c r="GB102" s="77"/>
      <c r="GC102" s="77"/>
      <c r="GD102" s="77"/>
      <c r="GE102" s="77"/>
      <c r="GF102" s="77"/>
      <c r="GG102" s="77"/>
      <c r="GH102" s="77"/>
      <c r="GI102" s="77"/>
      <c r="GJ102" s="77"/>
      <c r="GK102" s="77"/>
      <c r="GL102" s="77"/>
      <c r="GM102" s="77"/>
      <c r="GN102" s="77"/>
      <c r="GO102" s="77"/>
      <c r="GP102" s="77"/>
      <c r="GQ102" s="77"/>
      <c r="GR102" s="77"/>
      <c r="GS102" s="77"/>
      <c r="GT102" s="77"/>
      <c r="GU102" s="77"/>
      <c r="GV102" s="77"/>
      <c r="GW102" s="77"/>
      <c r="GX102" s="77"/>
      <c r="GY102" s="77"/>
      <c r="GZ102" s="77"/>
      <c r="HA102" s="77"/>
      <c r="HB102" s="77"/>
      <c r="HC102" s="77"/>
      <c r="HD102" s="77"/>
      <c r="HE102" s="77"/>
      <c r="HF102" s="77"/>
      <c r="HG102" s="77"/>
      <c r="HH102" s="77"/>
      <c r="HI102" s="77"/>
      <c r="HJ102" s="77"/>
      <c r="HK102" s="77"/>
      <c r="HL102" s="77"/>
      <c r="HM102" s="77"/>
      <c r="HN102" s="77"/>
      <c r="HO102" s="77"/>
      <c r="HP102" s="77"/>
      <c r="HQ102" s="77"/>
      <c r="HR102" s="77"/>
      <c r="HS102" s="77"/>
      <c r="HT102" s="77"/>
      <c r="HU102" s="77"/>
      <c r="HV102" s="77"/>
      <c r="HW102" s="77"/>
      <c r="HX102" s="77"/>
      <c r="HY102" s="77"/>
      <c r="HZ102" s="77"/>
      <c r="IA102" s="77"/>
      <c r="IB102" s="77"/>
      <c r="IC102" s="77"/>
      <c r="ID102" s="77"/>
      <c r="IE102" s="77"/>
      <c r="IF102" s="77"/>
      <c r="IG102" s="77"/>
      <c r="IH102" s="77"/>
      <c r="II102" s="77"/>
      <c r="IJ102" s="77"/>
      <c r="IK102" s="77"/>
      <c r="IL102" s="77"/>
      <c r="IM102" s="77"/>
      <c r="IN102" s="77"/>
      <c r="IO102" s="77"/>
      <c r="IP102" s="77"/>
      <c r="IQ102" s="77"/>
      <c r="IR102" s="77"/>
    </row>
    <row r="103" customFormat="false" ht="15" hidden="false" customHeight="false" outlineLevel="0" collapsed="false">
      <c r="A103" s="78"/>
      <c r="B103" s="78"/>
      <c r="C103" s="79"/>
      <c r="D103" s="80"/>
      <c r="E103" s="78"/>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77"/>
      <c r="BJ103" s="77"/>
      <c r="BK103" s="77"/>
      <c r="BL103" s="77"/>
      <c r="BM103" s="77"/>
      <c r="BN103" s="77"/>
      <c r="BO103" s="77"/>
      <c r="BP103" s="77"/>
      <c r="BQ103" s="77"/>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c r="DA103" s="77"/>
      <c r="DB103" s="77"/>
      <c r="DC103" s="77"/>
      <c r="DD103" s="77"/>
      <c r="DE103" s="77"/>
      <c r="DF103" s="77"/>
      <c r="DG103" s="77"/>
      <c r="DH103" s="77"/>
      <c r="DI103" s="77"/>
      <c r="DJ103" s="77"/>
      <c r="DK103" s="77"/>
      <c r="DL103" s="77"/>
      <c r="DM103" s="77"/>
      <c r="DN103" s="77"/>
      <c r="DO103" s="77"/>
      <c r="DP103" s="77"/>
      <c r="DQ103" s="77"/>
      <c r="DR103" s="77"/>
      <c r="DS103" s="77"/>
      <c r="DT103" s="77"/>
      <c r="DU103" s="77"/>
      <c r="DV103" s="77"/>
      <c r="DW103" s="77"/>
      <c r="DX103" s="77"/>
      <c r="DY103" s="77"/>
      <c r="DZ103" s="77"/>
      <c r="EA103" s="77"/>
      <c r="EB103" s="77"/>
      <c r="EC103" s="77"/>
      <c r="ED103" s="77"/>
      <c r="EE103" s="77"/>
      <c r="EF103" s="77"/>
      <c r="EG103" s="77"/>
      <c r="EH103" s="77"/>
      <c r="EI103" s="77"/>
      <c r="EJ103" s="77"/>
      <c r="EK103" s="77"/>
      <c r="EL103" s="77"/>
      <c r="EM103" s="77"/>
      <c r="EN103" s="77"/>
      <c r="EO103" s="77"/>
      <c r="EP103" s="77"/>
      <c r="EQ103" s="77"/>
      <c r="ER103" s="77"/>
      <c r="ES103" s="77"/>
      <c r="ET103" s="77"/>
      <c r="EU103" s="77"/>
      <c r="EV103" s="77"/>
      <c r="EW103" s="77"/>
      <c r="EX103" s="77"/>
      <c r="EY103" s="77"/>
      <c r="EZ103" s="77"/>
      <c r="FA103" s="77"/>
      <c r="FB103" s="77"/>
      <c r="FC103" s="77"/>
      <c r="FD103" s="77"/>
      <c r="FE103" s="77"/>
      <c r="FF103" s="77"/>
      <c r="FG103" s="77"/>
      <c r="FH103" s="77"/>
      <c r="FI103" s="77"/>
      <c r="FJ103" s="77"/>
      <c r="FK103" s="77"/>
      <c r="FL103" s="77"/>
      <c r="FM103" s="77"/>
      <c r="FN103" s="77"/>
      <c r="FO103" s="77"/>
      <c r="FP103" s="77"/>
      <c r="FQ103" s="77"/>
      <c r="FR103" s="77"/>
      <c r="FS103" s="77"/>
      <c r="FT103" s="77"/>
      <c r="FU103" s="77"/>
      <c r="FV103" s="77"/>
      <c r="FW103" s="77"/>
      <c r="FX103" s="77"/>
      <c r="FY103" s="77"/>
      <c r="FZ103" s="77"/>
      <c r="GA103" s="77"/>
      <c r="GB103" s="77"/>
      <c r="GC103" s="77"/>
      <c r="GD103" s="77"/>
      <c r="GE103" s="77"/>
      <c r="GF103" s="77"/>
      <c r="GG103" s="77"/>
      <c r="GH103" s="77"/>
      <c r="GI103" s="77"/>
      <c r="GJ103" s="77"/>
      <c r="GK103" s="77"/>
      <c r="GL103" s="77"/>
      <c r="GM103" s="77"/>
      <c r="GN103" s="77"/>
      <c r="GO103" s="77"/>
      <c r="GP103" s="77"/>
      <c r="GQ103" s="77"/>
      <c r="GR103" s="77"/>
      <c r="GS103" s="77"/>
      <c r="GT103" s="77"/>
      <c r="GU103" s="77"/>
      <c r="GV103" s="77"/>
      <c r="GW103" s="77"/>
      <c r="GX103" s="77"/>
      <c r="GY103" s="77"/>
      <c r="GZ103" s="77"/>
      <c r="HA103" s="77"/>
      <c r="HB103" s="77"/>
      <c r="HC103" s="77"/>
      <c r="HD103" s="77"/>
      <c r="HE103" s="77"/>
      <c r="HF103" s="77"/>
      <c r="HG103" s="77"/>
      <c r="HH103" s="77"/>
      <c r="HI103" s="77"/>
      <c r="HJ103" s="77"/>
      <c r="HK103" s="77"/>
      <c r="HL103" s="77"/>
      <c r="HM103" s="77"/>
      <c r="HN103" s="77"/>
      <c r="HO103" s="77"/>
      <c r="HP103" s="77"/>
      <c r="HQ103" s="77"/>
      <c r="HR103" s="77"/>
      <c r="HS103" s="77"/>
      <c r="HT103" s="77"/>
      <c r="HU103" s="77"/>
      <c r="HV103" s="77"/>
      <c r="HW103" s="77"/>
      <c r="HX103" s="77"/>
      <c r="HY103" s="77"/>
      <c r="HZ103" s="77"/>
      <c r="IA103" s="77"/>
      <c r="IB103" s="77"/>
      <c r="IC103" s="77"/>
      <c r="ID103" s="77"/>
      <c r="IE103" s="77"/>
      <c r="IF103" s="77"/>
      <c r="IG103" s="77"/>
      <c r="IH103" s="77"/>
      <c r="II103" s="77"/>
      <c r="IJ103" s="77"/>
      <c r="IK103" s="77"/>
      <c r="IL103" s="77"/>
      <c r="IM103" s="77"/>
      <c r="IN103" s="77"/>
      <c r="IO103" s="77"/>
      <c r="IP103" s="77"/>
      <c r="IQ103" s="77"/>
      <c r="IR103" s="77"/>
    </row>
    <row r="104" customFormat="false" ht="15" hidden="false" customHeight="false" outlineLevel="0" collapsed="false">
      <c r="A104" s="78"/>
      <c r="B104" s="78"/>
      <c r="C104" s="79"/>
      <c r="D104" s="80"/>
      <c r="E104" s="78"/>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c r="BH104" s="77"/>
      <c r="BI104" s="77"/>
      <c r="BJ104" s="77"/>
      <c r="BK104" s="77"/>
      <c r="BL104" s="77"/>
      <c r="BM104" s="77"/>
      <c r="BN104" s="77"/>
      <c r="BO104" s="77"/>
      <c r="BP104" s="77"/>
      <c r="BQ104" s="77"/>
      <c r="BR104" s="77"/>
      <c r="BS104" s="77"/>
      <c r="BT104" s="77"/>
      <c r="BU104" s="77"/>
      <c r="BV104" s="77"/>
      <c r="BW104" s="77"/>
      <c r="BX104" s="77"/>
      <c r="BY104" s="77"/>
      <c r="BZ104" s="77"/>
      <c r="CA104" s="77"/>
      <c r="CB104" s="77"/>
      <c r="CC104" s="77"/>
      <c r="CD104" s="77"/>
      <c r="CE104" s="77"/>
      <c r="CF104" s="77"/>
      <c r="CG104" s="77"/>
      <c r="CH104" s="77"/>
      <c r="CI104" s="77"/>
      <c r="CJ104" s="77"/>
      <c r="CK104" s="77"/>
      <c r="CL104" s="77"/>
      <c r="CM104" s="77"/>
      <c r="CN104" s="77"/>
      <c r="CO104" s="77"/>
      <c r="CP104" s="77"/>
      <c r="CQ104" s="77"/>
      <c r="CR104" s="77"/>
      <c r="CS104" s="77"/>
      <c r="CT104" s="77"/>
      <c r="CU104" s="77"/>
      <c r="CV104" s="77"/>
      <c r="CW104" s="77"/>
      <c r="CX104" s="77"/>
      <c r="CY104" s="77"/>
      <c r="CZ104" s="77"/>
      <c r="DA104" s="77"/>
      <c r="DB104" s="77"/>
      <c r="DC104" s="77"/>
      <c r="DD104" s="77"/>
      <c r="DE104" s="77"/>
      <c r="DF104" s="77"/>
      <c r="DG104" s="77"/>
      <c r="DH104" s="77"/>
      <c r="DI104" s="77"/>
      <c r="DJ104" s="77"/>
      <c r="DK104" s="77"/>
      <c r="DL104" s="77"/>
      <c r="DM104" s="77"/>
      <c r="DN104" s="77"/>
      <c r="DO104" s="77"/>
      <c r="DP104" s="77"/>
      <c r="DQ104" s="77"/>
      <c r="DR104" s="77"/>
      <c r="DS104" s="77"/>
      <c r="DT104" s="77"/>
      <c r="DU104" s="77"/>
      <c r="DV104" s="77"/>
      <c r="DW104" s="77"/>
      <c r="DX104" s="77"/>
      <c r="DY104" s="77"/>
      <c r="DZ104" s="77"/>
      <c r="EA104" s="77"/>
      <c r="EB104" s="77"/>
      <c r="EC104" s="77"/>
      <c r="ED104" s="77"/>
      <c r="EE104" s="77"/>
      <c r="EF104" s="77"/>
      <c r="EG104" s="77"/>
      <c r="EH104" s="77"/>
      <c r="EI104" s="77"/>
      <c r="EJ104" s="77"/>
      <c r="EK104" s="77"/>
      <c r="EL104" s="77"/>
      <c r="EM104" s="77"/>
      <c r="EN104" s="77"/>
      <c r="EO104" s="77"/>
      <c r="EP104" s="77"/>
      <c r="EQ104" s="77"/>
      <c r="ER104" s="77"/>
      <c r="ES104" s="77"/>
      <c r="ET104" s="77"/>
      <c r="EU104" s="77"/>
      <c r="EV104" s="77"/>
      <c r="EW104" s="77"/>
      <c r="EX104" s="77"/>
      <c r="EY104" s="77"/>
      <c r="EZ104" s="77"/>
      <c r="FA104" s="77"/>
      <c r="FB104" s="77"/>
      <c r="FC104" s="77"/>
      <c r="FD104" s="77"/>
      <c r="FE104" s="77"/>
      <c r="FF104" s="77"/>
      <c r="FG104" s="77"/>
      <c r="FH104" s="77"/>
      <c r="FI104" s="77"/>
      <c r="FJ104" s="77"/>
      <c r="FK104" s="77"/>
      <c r="FL104" s="77"/>
      <c r="FM104" s="77"/>
      <c r="FN104" s="77"/>
      <c r="FO104" s="77"/>
      <c r="FP104" s="77"/>
      <c r="FQ104" s="77"/>
      <c r="FR104" s="77"/>
      <c r="FS104" s="77"/>
      <c r="FT104" s="77"/>
      <c r="FU104" s="77"/>
      <c r="FV104" s="77"/>
      <c r="FW104" s="77"/>
      <c r="FX104" s="77"/>
      <c r="FY104" s="77"/>
      <c r="FZ104" s="77"/>
      <c r="GA104" s="77"/>
      <c r="GB104" s="77"/>
      <c r="GC104" s="77"/>
      <c r="GD104" s="77"/>
      <c r="GE104" s="77"/>
      <c r="GF104" s="77"/>
      <c r="GG104" s="77"/>
      <c r="GH104" s="77"/>
      <c r="GI104" s="77"/>
      <c r="GJ104" s="77"/>
      <c r="GK104" s="77"/>
      <c r="GL104" s="77"/>
      <c r="GM104" s="77"/>
      <c r="GN104" s="77"/>
      <c r="GO104" s="77"/>
      <c r="GP104" s="77"/>
      <c r="GQ104" s="77"/>
      <c r="GR104" s="77"/>
      <c r="GS104" s="77"/>
      <c r="GT104" s="77"/>
      <c r="GU104" s="77"/>
      <c r="GV104" s="77"/>
      <c r="GW104" s="77"/>
      <c r="GX104" s="77"/>
      <c r="GY104" s="77"/>
      <c r="GZ104" s="77"/>
      <c r="HA104" s="77"/>
      <c r="HB104" s="77"/>
      <c r="HC104" s="77"/>
      <c r="HD104" s="77"/>
      <c r="HE104" s="77"/>
      <c r="HF104" s="77"/>
      <c r="HG104" s="77"/>
      <c r="HH104" s="77"/>
      <c r="HI104" s="77"/>
      <c r="HJ104" s="77"/>
      <c r="HK104" s="77"/>
      <c r="HL104" s="77"/>
      <c r="HM104" s="77"/>
      <c r="HN104" s="77"/>
      <c r="HO104" s="77"/>
      <c r="HP104" s="77"/>
      <c r="HQ104" s="77"/>
      <c r="HR104" s="77"/>
      <c r="HS104" s="77"/>
      <c r="HT104" s="77"/>
      <c r="HU104" s="77"/>
      <c r="HV104" s="77"/>
      <c r="HW104" s="77"/>
      <c r="HX104" s="77"/>
      <c r="HY104" s="77"/>
      <c r="HZ104" s="77"/>
      <c r="IA104" s="77"/>
      <c r="IB104" s="77"/>
      <c r="IC104" s="77"/>
      <c r="ID104" s="77"/>
      <c r="IE104" s="77"/>
      <c r="IF104" s="77"/>
      <c r="IG104" s="77"/>
      <c r="IH104" s="77"/>
      <c r="II104" s="77"/>
      <c r="IJ104" s="77"/>
      <c r="IK104" s="77"/>
      <c r="IL104" s="77"/>
      <c r="IM104" s="77"/>
      <c r="IN104" s="77"/>
      <c r="IO104" s="77"/>
      <c r="IP104" s="77"/>
      <c r="IQ104" s="77"/>
      <c r="IR104" s="77"/>
    </row>
    <row r="105" customFormat="false" ht="15" hidden="false" customHeight="false" outlineLevel="0" collapsed="false">
      <c r="A105" s="78"/>
      <c r="B105" s="78"/>
      <c r="C105" s="79"/>
      <c r="D105" s="80"/>
      <c r="E105" s="78"/>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7"/>
      <c r="BI105" s="77"/>
      <c r="BJ105" s="77"/>
      <c r="BK105" s="77"/>
      <c r="BL105" s="77"/>
      <c r="BM105" s="77"/>
      <c r="BN105" s="77"/>
      <c r="BO105" s="77"/>
      <c r="BP105" s="77"/>
      <c r="BQ105" s="77"/>
      <c r="BR105" s="77"/>
      <c r="BS105" s="77"/>
      <c r="BT105" s="77"/>
      <c r="BU105" s="77"/>
      <c r="BV105" s="77"/>
      <c r="BW105" s="77"/>
      <c r="BX105" s="77"/>
      <c r="BY105" s="77"/>
      <c r="BZ105" s="77"/>
      <c r="CA105" s="77"/>
      <c r="CB105" s="77"/>
      <c r="CC105" s="77"/>
      <c r="CD105" s="77"/>
      <c r="CE105" s="77"/>
      <c r="CF105" s="77"/>
      <c r="CG105" s="77"/>
      <c r="CH105" s="77"/>
      <c r="CI105" s="77"/>
      <c r="CJ105" s="77"/>
      <c r="CK105" s="77"/>
      <c r="CL105" s="77"/>
      <c r="CM105" s="77"/>
      <c r="CN105" s="77"/>
      <c r="CO105" s="77"/>
      <c r="CP105" s="77"/>
      <c r="CQ105" s="77"/>
      <c r="CR105" s="77"/>
      <c r="CS105" s="77"/>
      <c r="CT105" s="77"/>
      <c r="CU105" s="77"/>
      <c r="CV105" s="77"/>
      <c r="CW105" s="77"/>
      <c r="CX105" s="77"/>
      <c r="CY105" s="77"/>
      <c r="CZ105" s="77"/>
      <c r="DA105" s="77"/>
      <c r="DB105" s="77"/>
      <c r="DC105" s="77"/>
      <c r="DD105" s="77"/>
      <c r="DE105" s="77"/>
      <c r="DF105" s="77"/>
      <c r="DG105" s="77"/>
      <c r="DH105" s="77"/>
      <c r="DI105" s="77"/>
      <c r="DJ105" s="77"/>
      <c r="DK105" s="77"/>
      <c r="DL105" s="77"/>
      <c r="DM105" s="77"/>
      <c r="DN105" s="77"/>
      <c r="DO105" s="77"/>
      <c r="DP105" s="77"/>
      <c r="DQ105" s="77"/>
      <c r="DR105" s="77"/>
      <c r="DS105" s="77"/>
      <c r="DT105" s="77"/>
      <c r="DU105" s="77"/>
      <c r="DV105" s="77"/>
      <c r="DW105" s="77"/>
      <c r="DX105" s="77"/>
      <c r="DY105" s="77"/>
      <c r="DZ105" s="77"/>
      <c r="EA105" s="77"/>
      <c r="EB105" s="77"/>
      <c r="EC105" s="77"/>
      <c r="ED105" s="77"/>
      <c r="EE105" s="77"/>
      <c r="EF105" s="77"/>
      <c r="EG105" s="77"/>
      <c r="EH105" s="77"/>
      <c r="EI105" s="77"/>
      <c r="EJ105" s="77"/>
      <c r="EK105" s="77"/>
      <c r="EL105" s="77"/>
      <c r="EM105" s="77"/>
      <c r="EN105" s="77"/>
      <c r="EO105" s="77"/>
      <c r="EP105" s="77"/>
      <c r="EQ105" s="77"/>
      <c r="ER105" s="77"/>
      <c r="ES105" s="77"/>
      <c r="ET105" s="77"/>
      <c r="EU105" s="77"/>
      <c r="EV105" s="77"/>
      <c r="EW105" s="77"/>
      <c r="EX105" s="77"/>
      <c r="EY105" s="77"/>
      <c r="EZ105" s="77"/>
      <c r="FA105" s="77"/>
      <c r="FB105" s="77"/>
      <c r="FC105" s="77"/>
      <c r="FD105" s="77"/>
      <c r="FE105" s="77"/>
      <c r="FF105" s="77"/>
      <c r="FG105" s="77"/>
      <c r="FH105" s="77"/>
      <c r="FI105" s="77"/>
      <c r="FJ105" s="77"/>
      <c r="FK105" s="77"/>
      <c r="FL105" s="77"/>
      <c r="FM105" s="77"/>
      <c r="FN105" s="77"/>
      <c r="FO105" s="77"/>
      <c r="FP105" s="77"/>
      <c r="FQ105" s="77"/>
      <c r="FR105" s="77"/>
      <c r="FS105" s="77"/>
      <c r="FT105" s="77"/>
      <c r="FU105" s="77"/>
      <c r="FV105" s="77"/>
      <c r="FW105" s="77"/>
      <c r="FX105" s="77"/>
      <c r="FY105" s="77"/>
      <c r="FZ105" s="77"/>
      <c r="GA105" s="77"/>
      <c r="GB105" s="77"/>
      <c r="GC105" s="77"/>
      <c r="GD105" s="77"/>
      <c r="GE105" s="77"/>
      <c r="GF105" s="77"/>
      <c r="GG105" s="77"/>
      <c r="GH105" s="77"/>
      <c r="GI105" s="77"/>
      <c r="GJ105" s="77"/>
      <c r="GK105" s="77"/>
      <c r="GL105" s="77"/>
      <c r="GM105" s="77"/>
      <c r="GN105" s="77"/>
      <c r="GO105" s="77"/>
      <c r="GP105" s="77"/>
      <c r="GQ105" s="77"/>
      <c r="GR105" s="77"/>
      <c r="GS105" s="77"/>
      <c r="GT105" s="77"/>
      <c r="GU105" s="77"/>
      <c r="GV105" s="77"/>
      <c r="GW105" s="77"/>
      <c r="GX105" s="77"/>
      <c r="GY105" s="77"/>
      <c r="GZ105" s="77"/>
      <c r="HA105" s="77"/>
      <c r="HB105" s="77"/>
      <c r="HC105" s="77"/>
      <c r="HD105" s="77"/>
      <c r="HE105" s="77"/>
      <c r="HF105" s="77"/>
      <c r="HG105" s="77"/>
      <c r="HH105" s="77"/>
      <c r="HI105" s="77"/>
      <c r="HJ105" s="77"/>
      <c r="HK105" s="77"/>
      <c r="HL105" s="77"/>
      <c r="HM105" s="77"/>
      <c r="HN105" s="77"/>
      <c r="HO105" s="77"/>
      <c r="HP105" s="77"/>
      <c r="HQ105" s="77"/>
      <c r="HR105" s="77"/>
      <c r="HS105" s="77"/>
      <c r="HT105" s="77"/>
      <c r="HU105" s="77"/>
      <c r="HV105" s="77"/>
      <c r="HW105" s="77"/>
      <c r="HX105" s="77"/>
      <c r="HY105" s="77"/>
      <c r="HZ105" s="77"/>
      <c r="IA105" s="77"/>
      <c r="IB105" s="77"/>
      <c r="IC105" s="77"/>
      <c r="ID105" s="77"/>
      <c r="IE105" s="77"/>
      <c r="IF105" s="77"/>
      <c r="IG105" s="77"/>
      <c r="IH105" s="77"/>
      <c r="II105" s="77"/>
      <c r="IJ105" s="77"/>
      <c r="IK105" s="77"/>
      <c r="IL105" s="77"/>
      <c r="IM105" s="77"/>
      <c r="IN105" s="77"/>
      <c r="IO105" s="77"/>
      <c r="IP105" s="77"/>
      <c r="IQ105" s="77"/>
      <c r="IR105" s="77"/>
    </row>
    <row r="106" customFormat="false" ht="15" hidden="false" customHeight="false" outlineLevel="0" collapsed="false">
      <c r="A106" s="78"/>
      <c r="B106" s="78"/>
      <c r="C106" s="79"/>
      <c r="D106" s="80"/>
      <c r="E106" s="78"/>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7"/>
      <c r="BI106" s="77"/>
      <c r="BJ106" s="77"/>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7"/>
      <c r="DU106" s="77"/>
      <c r="DV106" s="77"/>
      <c r="DW106" s="77"/>
      <c r="DX106" s="77"/>
      <c r="DY106" s="77"/>
      <c r="DZ106" s="77"/>
      <c r="EA106" s="77"/>
      <c r="EB106" s="77"/>
      <c r="EC106" s="77"/>
      <c r="ED106" s="77"/>
      <c r="EE106" s="77"/>
      <c r="EF106" s="77"/>
      <c r="EG106" s="77"/>
      <c r="EH106" s="77"/>
      <c r="EI106" s="77"/>
      <c r="EJ106" s="77"/>
      <c r="EK106" s="77"/>
      <c r="EL106" s="77"/>
      <c r="EM106" s="77"/>
      <c r="EN106" s="77"/>
      <c r="EO106" s="77"/>
      <c r="EP106" s="77"/>
      <c r="EQ106" s="77"/>
      <c r="ER106" s="77"/>
      <c r="ES106" s="77"/>
      <c r="ET106" s="77"/>
      <c r="EU106" s="77"/>
      <c r="EV106" s="77"/>
      <c r="EW106" s="77"/>
      <c r="EX106" s="77"/>
      <c r="EY106" s="77"/>
      <c r="EZ106" s="77"/>
      <c r="FA106" s="77"/>
      <c r="FB106" s="77"/>
      <c r="FC106" s="77"/>
      <c r="FD106" s="77"/>
      <c r="FE106" s="77"/>
      <c r="FF106" s="77"/>
      <c r="FG106" s="77"/>
      <c r="FH106" s="77"/>
      <c r="FI106" s="77"/>
      <c r="FJ106" s="77"/>
      <c r="FK106" s="77"/>
      <c r="FL106" s="77"/>
      <c r="FM106" s="77"/>
      <c r="FN106" s="77"/>
      <c r="FO106" s="77"/>
      <c r="FP106" s="77"/>
      <c r="FQ106" s="77"/>
      <c r="FR106" s="77"/>
      <c r="FS106" s="77"/>
      <c r="FT106" s="77"/>
      <c r="FU106" s="77"/>
      <c r="FV106" s="77"/>
      <c r="FW106" s="77"/>
      <c r="FX106" s="77"/>
      <c r="FY106" s="77"/>
      <c r="FZ106" s="77"/>
      <c r="GA106" s="77"/>
      <c r="GB106" s="77"/>
      <c r="GC106" s="77"/>
      <c r="GD106" s="77"/>
      <c r="GE106" s="77"/>
      <c r="GF106" s="77"/>
      <c r="GG106" s="77"/>
      <c r="GH106" s="77"/>
      <c r="GI106" s="77"/>
      <c r="GJ106" s="77"/>
      <c r="GK106" s="77"/>
      <c r="GL106" s="77"/>
      <c r="GM106" s="77"/>
      <c r="GN106" s="77"/>
      <c r="GO106" s="77"/>
      <c r="GP106" s="77"/>
      <c r="GQ106" s="77"/>
      <c r="GR106" s="77"/>
      <c r="GS106" s="77"/>
      <c r="GT106" s="77"/>
      <c r="GU106" s="77"/>
      <c r="GV106" s="77"/>
      <c r="GW106" s="77"/>
      <c r="GX106" s="77"/>
      <c r="GY106" s="77"/>
      <c r="GZ106" s="77"/>
      <c r="HA106" s="77"/>
      <c r="HB106" s="77"/>
      <c r="HC106" s="77"/>
      <c r="HD106" s="77"/>
      <c r="HE106" s="77"/>
      <c r="HF106" s="77"/>
      <c r="HG106" s="77"/>
      <c r="HH106" s="77"/>
      <c r="HI106" s="77"/>
      <c r="HJ106" s="77"/>
      <c r="HK106" s="77"/>
      <c r="HL106" s="77"/>
      <c r="HM106" s="77"/>
      <c r="HN106" s="77"/>
      <c r="HO106" s="77"/>
      <c r="HP106" s="77"/>
      <c r="HQ106" s="77"/>
      <c r="HR106" s="77"/>
      <c r="HS106" s="77"/>
      <c r="HT106" s="77"/>
      <c r="HU106" s="77"/>
      <c r="HV106" s="77"/>
      <c r="HW106" s="77"/>
      <c r="HX106" s="77"/>
      <c r="HY106" s="77"/>
      <c r="HZ106" s="77"/>
      <c r="IA106" s="77"/>
      <c r="IB106" s="77"/>
      <c r="IC106" s="77"/>
      <c r="ID106" s="77"/>
      <c r="IE106" s="77"/>
      <c r="IF106" s="77"/>
      <c r="IG106" s="77"/>
      <c r="IH106" s="77"/>
      <c r="II106" s="77"/>
      <c r="IJ106" s="77"/>
      <c r="IK106" s="77"/>
      <c r="IL106" s="77"/>
      <c r="IM106" s="77"/>
      <c r="IN106" s="77"/>
      <c r="IO106" s="77"/>
      <c r="IP106" s="77"/>
      <c r="IQ106" s="77"/>
      <c r="IR106" s="77"/>
    </row>
    <row r="107" customFormat="false" ht="15" hidden="false" customHeight="false" outlineLevel="0" collapsed="false">
      <c r="A107" s="78"/>
      <c r="B107" s="78"/>
      <c r="C107" s="79"/>
      <c r="D107" s="80"/>
      <c r="E107" s="78"/>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c r="BH107" s="77"/>
      <c r="BI107" s="77"/>
      <c r="BJ107" s="77"/>
      <c r="BK107" s="77"/>
      <c r="BL107" s="77"/>
      <c r="BM107" s="77"/>
      <c r="BN107" s="77"/>
      <c r="BO107" s="77"/>
      <c r="BP107" s="77"/>
      <c r="BQ107" s="77"/>
      <c r="BR107" s="77"/>
      <c r="BS107" s="77"/>
      <c r="BT107" s="77"/>
      <c r="BU107" s="77"/>
      <c r="BV107" s="77"/>
      <c r="BW107" s="77"/>
      <c r="BX107" s="77"/>
      <c r="BY107" s="77"/>
      <c r="BZ107" s="77"/>
      <c r="CA107" s="77"/>
      <c r="CB107" s="77"/>
      <c r="CC107" s="77"/>
      <c r="CD107" s="77"/>
      <c r="CE107" s="77"/>
      <c r="CF107" s="77"/>
      <c r="CG107" s="77"/>
      <c r="CH107" s="77"/>
      <c r="CI107" s="77"/>
      <c r="CJ107" s="77"/>
      <c r="CK107" s="77"/>
      <c r="CL107" s="77"/>
      <c r="CM107" s="77"/>
      <c r="CN107" s="77"/>
      <c r="CO107" s="77"/>
      <c r="CP107" s="77"/>
      <c r="CQ107" s="77"/>
      <c r="CR107" s="77"/>
      <c r="CS107" s="77"/>
      <c r="CT107" s="77"/>
      <c r="CU107" s="77"/>
      <c r="CV107" s="77"/>
      <c r="CW107" s="77"/>
      <c r="CX107" s="77"/>
      <c r="CY107" s="77"/>
      <c r="CZ107" s="77"/>
      <c r="DA107" s="77"/>
      <c r="DB107" s="77"/>
      <c r="DC107" s="77"/>
      <c r="DD107" s="77"/>
      <c r="DE107" s="77"/>
      <c r="DF107" s="77"/>
      <c r="DG107" s="77"/>
      <c r="DH107" s="77"/>
      <c r="DI107" s="77"/>
      <c r="DJ107" s="77"/>
      <c r="DK107" s="77"/>
      <c r="DL107" s="77"/>
      <c r="DM107" s="77"/>
      <c r="DN107" s="77"/>
      <c r="DO107" s="77"/>
      <c r="DP107" s="77"/>
      <c r="DQ107" s="77"/>
      <c r="DR107" s="77"/>
      <c r="DS107" s="77"/>
      <c r="DT107" s="77"/>
      <c r="DU107" s="77"/>
      <c r="DV107" s="77"/>
      <c r="DW107" s="77"/>
      <c r="DX107" s="77"/>
      <c r="DY107" s="77"/>
      <c r="DZ107" s="77"/>
      <c r="EA107" s="77"/>
      <c r="EB107" s="77"/>
      <c r="EC107" s="77"/>
      <c r="ED107" s="77"/>
      <c r="EE107" s="77"/>
      <c r="EF107" s="77"/>
      <c r="EG107" s="77"/>
      <c r="EH107" s="77"/>
      <c r="EI107" s="77"/>
      <c r="EJ107" s="77"/>
      <c r="EK107" s="77"/>
      <c r="EL107" s="77"/>
      <c r="EM107" s="77"/>
      <c r="EN107" s="77"/>
      <c r="EO107" s="77"/>
      <c r="EP107" s="77"/>
      <c r="EQ107" s="77"/>
      <c r="ER107" s="77"/>
      <c r="ES107" s="77"/>
      <c r="ET107" s="77"/>
      <c r="EU107" s="77"/>
      <c r="EV107" s="77"/>
      <c r="EW107" s="77"/>
      <c r="EX107" s="77"/>
      <c r="EY107" s="77"/>
      <c r="EZ107" s="77"/>
      <c r="FA107" s="77"/>
      <c r="FB107" s="77"/>
      <c r="FC107" s="77"/>
      <c r="FD107" s="77"/>
      <c r="FE107" s="77"/>
      <c r="FF107" s="77"/>
      <c r="FG107" s="77"/>
      <c r="FH107" s="77"/>
      <c r="FI107" s="77"/>
      <c r="FJ107" s="77"/>
      <c r="FK107" s="77"/>
      <c r="FL107" s="77"/>
      <c r="FM107" s="77"/>
      <c r="FN107" s="77"/>
      <c r="FO107" s="77"/>
      <c r="FP107" s="77"/>
      <c r="FQ107" s="77"/>
      <c r="FR107" s="77"/>
      <c r="FS107" s="77"/>
      <c r="FT107" s="77"/>
      <c r="FU107" s="77"/>
      <c r="FV107" s="77"/>
      <c r="FW107" s="77"/>
      <c r="FX107" s="77"/>
      <c r="FY107" s="77"/>
      <c r="FZ107" s="77"/>
      <c r="GA107" s="77"/>
      <c r="GB107" s="77"/>
      <c r="GC107" s="77"/>
      <c r="GD107" s="77"/>
      <c r="GE107" s="77"/>
      <c r="GF107" s="77"/>
      <c r="GG107" s="77"/>
      <c r="GH107" s="77"/>
      <c r="GI107" s="77"/>
      <c r="GJ107" s="77"/>
      <c r="GK107" s="77"/>
      <c r="GL107" s="77"/>
      <c r="GM107" s="77"/>
      <c r="GN107" s="77"/>
      <c r="GO107" s="77"/>
      <c r="GP107" s="77"/>
      <c r="GQ107" s="77"/>
      <c r="GR107" s="77"/>
      <c r="GS107" s="77"/>
      <c r="GT107" s="77"/>
      <c r="GU107" s="77"/>
      <c r="GV107" s="77"/>
      <c r="GW107" s="77"/>
      <c r="GX107" s="77"/>
      <c r="GY107" s="77"/>
      <c r="GZ107" s="77"/>
      <c r="HA107" s="77"/>
      <c r="HB107" s="77"/>
      <c r="HC107" s="77"/>
      <c r="HD107" s="77"/>
      <c r="HE107" s="77"/>
      <c r="HF107" s="77"/>
      <c r="HG107" s="77"/>
      <c r="HH107" s="77"/>
      <c r="HI107" s="77"/>
      <c r="HJ107" s="77"/>
      <c r="HK107" s="77"/>
      <c r="HL107" s="77"/>
      <c r="HM107" s="77"/>
      <c r="HN107" s="77"/>
      <c r="HO107" s="77"/>
      <c r="HP107" s="77"/>
      <c r="HQ107" s="77"/>
      <c r="HR107" s="77"/>
      <c r="HS107" s="77"/>
      <c r="HT107" s="77"/>
      <c r="HU107" s="77"/>
      <c r="HV107" s="77"/>
      <c r="HW107" s="77"/>
      <c r="HX107" s="77"/>
      <c r="HY107" s="77"/>
      <c r="HZ107" s="77"/>
      <c r="IA107" s="77"/>
      <c r="IB107" s="77"/>
      <c r="IC107" s="77"/>
      <c r="ID107" s="77"/>
      <c r="IE107" s="77"/>
      <c r="IF107" s="77"/>
      <c r="IG107" s="77"/>
      <c r="IH107" s="77"/>
      <c r="II107" s="77"/>
      <c r="IJ107" s="77"/>
      <c r="IK107" s="77"/>
      <c r="IL107" s="77"/>
      <c r="IM107" s="77"/>
      <c r="IN107" s="77"/>
      <c r="IO107" s="77"/>
      <c r="IP107" s="77"/>
      <c r="IQ107" s="77"/>
      <c r="IR107" s="77"/>
    </row>
    <row r="108" customFormat="false" ht="15" hidden="false" customHeight="false" outlineLevel="0" collapsed="false">
      <c r="A108" s="78"/>
      <c r="B108" s="78"/>
      <c r="C108" s="79"/>
      <c r="D108" s="80"/>
      <c r="E108" s="78"/>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c r="BH108" s="77"/>
      <c r="BI108" s="77"/>
      <c r="BJ108" s="77"/>
      <c r="BK108" s="77"/>
      <c r="BL108" s="77"/>
      <c r="BM108" s="77"/>
      <c r="BN108" s="77"/>
      <c r="BO108" s="77"/>
      <c r="BP108" s="77"/>
      <c r="BQ108" s="77"/>
      <c r="BR108" s="77"/>
      <c r="BS108" s="77"/>
      <c r="BT108" s="77"/>
      <c r="BU108" s="77"/>
      <c r="BV108" s="77"/>
      <c r="BW108" s="77"/>
      <c r="BX108" s="77"/>
      <c r="BY108" s="77"/>
      <c r="BZ108" s="77"/>
      <c r="CA108" s="77"/>
      <c r="CB108" s="77"/>
      <c r="CC108" s="77"/>
      <c r="CD108" s="77"/>
      <c r="CE108" s="77"/>
      <c r="CF108" s="77"/>
      <c r="CG108" s="77"/>
      <c r="CH108" s="77"/>
      <c r="CI108" s="77"/>
      <c r="CJ108" s="77"/>
      <c r="CK108" s="77"/>
      <c r="CL108" s="77"/>
      <c r="CM108" s="77"/>
      <c r="CN108" s="77"/>
      <c r="CO108" s="77"/>
      <c r="CP108" s="77"/>
      <c r="CQ108" s="77"/>
      <c r="CR108" s="77"/>
      <c r="CS108" s="77"/>
      <c r="CT108" s="77"/>
      <c r="CU108" s="77"/>
      <c r="CV108" s="77"/>
      <c r="CW108" s="77"/>
      <c r="CX108" s="77"/>
      <c r="CY108" s="77"/>
      <c r="CZ108" s="77"/>
      <c r="DA108" s="77"/>
      <c r="DB108" s="77"/>
      <c r="DC108" s="77"/>
      <c r="DD108" s="77"/>
      <c r="DE108" s="77"/>
      <c r="DF108" s="77"/>
      <c r="DG108" s="77"/>
      <c r="DH108" s="77"/>
      <c r="DI108" s="77"/>
      <c r="DJ108" s="77"/>
      <c r="DK108" s="77"/>
      <c r="DL108" s="77"/>
      <c r="DM108" s="77"/>
      <c r="DN108" s="77"/>
      <c r="DO108" s="77"/>
      <c r="DP108" s="77"/>
      <c r="DQ108" s="77"/>
      <c r="DR108" s="77"/>
      <c r="DS108" s="77"/>
      <c r="DT108" s="77"/>
      <c r="DU108" s="77"/>
      <c r="DV108" s="77"/>
      <c r="DW108" s="77"/>
      <c r="DX108" s="77"/>
      <c r="DY108" s="77"/>
      <c r="DZ108" s="77"/>
      <c r="EA108" s="77"/>
      <c r="EB108" s="77"/>
      <c r="EC108" s="77"/>
      <c r="ED108" s="77"/>
      <c r="EE108" s="77"/>
      <c r="EF108" s="77"/>
      <c r="EG108" s="77"/>
      <c r="EH108" s="77"/>
      <c r="EI108" s="77"/>
      <c r="EJ108" s="77"/>
      <c r="EK108" s="77"/>
      <c r="EL108" s="77"/>
      <c r="EM108" s="77"/>
      <c r="EN108" s="77"/>
      <c r="EO108" s="77"/>
      <c r="EP108" s="77"/>
      <c r="EQ108" s="77"/>
      <c r="ER108" s="77"/>
      <c r="ES108" s="77"/>
      <c r="ET108" s="77"/>
      <c r="EU108" s="77"/>
      <c r="EV108" s="77"/>
      <c r="EW108" s="77"/>
      <c r="EX108" s="77"/>
      <c r="EY108" s="77"/>
      <c r="EZ108" s="77"/>
      <c r="FA108" s="77"/>
      <c r="FB108" s="77"/>
      <c r="FC108" s="77"/>
      <c r="FD108" s="77"/>
      <c r="FE108" s="77"/>
      <c r="FF108" s="77"/>
      <c r="FG108" s="77"/>
      <c r="FH108" s="77"/>
      <c r="FI108" s="77"/>
      <c r="FJ108" s="77"/>
      <c r="FK108" s="77"/>
      <c r="FL108" s="77"/>
      <c r="FM108" s="77"/>
      <c r="FN108" s="77"/>
      <c r="FO108" s="77"/>
      <c r="FP108" s="77"/>
      <c r="FQ108" s="77"/>
      <c r="FR108" s="77"/>
      <c r="FS108" s="77"/>
      <c r="FT108" s="77"/>
      <c r="FU108" s="77"/>
      <c r="FV108" s="77"/>
      <c r="FW108" s="77"/>
      <c r="FX108" s="77"/>
      <c r="FY108" s="77"/>
      <c r="FZ108" s="77"/>
      <c r="GA108" s="77"/>
      <c r="GB108" s="77"/>
      <c r="GC108" s="77"/>
      <c r="GD108" s="77"/>
      <c r="GE108" s="77"/>
      <c r="GF108" s="77"/>
      <c r="GG108" s="77"/>
      <c r="GH108" s="77"/>
      <c r="GI108" s="77"/>
      <c r="GJ108" s="77"/>
      <c r="GK108" s="77"/>
      <c r="GL108" s="77"/>
      <c r="GM108" s="77"/>
      <c r="GN108" s="77"/>
      <c r="GO108" s="77"/>
      <c r="GP108" s="77"/>
      <c r="GQ108" s="77"/>
      <c r="GR108" s="77"/>
      <c r="GS108" s="77"/>
      <c r="GT108" s="77"/>
      <c r="GU108" s="77"/>
      <c r="GV108" s="77"/>
      <c r="GW108" s="77"/>
      <c r="GX108" s="77"/>
      <c r="GY108" s="77"/>
      <c r="GZ108" s="77"/>
      <c r="HA108" s="77"/>
      <c r="HB108" s="77"/>
      <c r="HC108" s="77"/>
      <c r="HD108" s="77"/>
      <c r="HE108" s="77"/>
      <c r="HF108" s="77"/>
      <c r="HG108" s="77"/>
      <c r="HH108" s="77"/>
      <c r="HI108" s="77"/>
      <c r="HJ108" s="77"/>
      <c r="HK108" s="77"/>
      <c r="HL108" s="77"/>
      <c r="HM108" s="77"/>
      <c r="HN108" s="77"/>
      <c r="HO108" s="77"/>
      <c r="HP108" s="77"/>
      <c r="HQ108" s="77"/>
      <c r="HR108" s="77"/>
      <c r="HS108" s="77"/>
      <c r="HT108" s="77"/>
      <c r="HU108" s="77"/>
      <c r="HV108" s="77"/>
      <c r="HW108" s="77"/>
      <c r="HX108" s="77"/>
      <c r="HY108" s="77"/>
      <c r="HZ108" s="77"/>
      <c r="IA108" s="77"/>
      <c r="IB108" s="77"/>
      <c r="IC108" s="77"/>
      <c r="ID108" s="77"/>
      <c r="IE108" s="77"/>
      <c r="IF108" s="77"/>
      <c r="IG108" s="77"/>
      <c r="IH108" s="77"/>
      <c r="II108" s="77"/>
      <c r="IJ108" s="77"/>
      <c r="IK108" s="77"/>
      <c r="IL108" s="77"/>
      <c r="IM108" s="77"/>
      <c r="IN108" s="77"/>
      <c r="IO108" s="77"/>
      <c r="IP108" s="77"/>
      <c r="IQ108" s="77"/>
      <c r="IR108" s="77"/>
    </row>
    <row r="109" customFormat="false" ht="15" hidden="false" customHeight="false" outlineLevel="0" collapsed="false">
      <c r="A109" s="78"/>
      <c r="B109" s="78"/>
      <c r="C109" s="79"/>
      <c r="D109" s="80"/>
      <c r="E109" s="78"/>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c r="BH109" s="77"/>
      <c r="BI109" s="77"/>
      <c r="BJ109" s="77"/>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7"/>
      <c r="DU109" s="77"/>
      <c r="DV109" s="77"/>
      <c r="DW109" s="77"/>
      <c r="DX109" s="77"/>
      <c r="DY109" s="77"/>
      <c r="DZ109" s="77"/>
      <c r="EA109" s="77"/>
      <c r="EB109" s="77"/>
      <c r="EC109" s="77"/>
      <c r="ED109" s="77"/>
      <c r="EE109" s="77"/>
      <c r="EF109" s="77"/>
      <c r="EG109" s="77"/>
      <c r="EH109" s="77"/>
      <c r="EI109" s="77"/>
      <c r="EJ109" s="77"/>
      <c r="EK109" s="77"/>
      <c r="EL109" s="77"/>
      <c r="EM109" s="77"/>
      <c r="EN109" s="77"/>
      <c r="EO109" s="77"/>
      <c r="EP109" s="77"/>
      <c r="EQ109" s="77"/>
      <c r="ER109" s="77"/>
      <c r="ES109" s="77"/>
      <c r="ET109" s="77"/>
      <c r="EU109" s="77"/>
      <c r="EV109" s="77"/>
      <c r="EW109" s="77"/>
      <c r="EX109" s="77"/>
      <c r="EY109" s="77"/>
      <c r="EZ109" s="77"/>
      <c r="FA109" s="77"/>
      <c r="FB109" s="77"/>
      <c r="FC109" s="77"/>
      <c r="FD109" s="77"/>
      <c r="FE109" s="77"/>
      <c r="FF109" s="77"/>
      <c r="FG109" s="77"/>
      <c r="FH109" s="77"/>
      <c r="FI109" s="77"/>
      <c r="FJ109" s="77"/>
      <c r="FK109" s="77"/>
      <c r="FL109" s="77"/>
      <c r="FM109" s="77"/>
      <c r="FN109" s="77"/>
      <c r="FO109" s="77"/>
      <c r="FP109" s="77"/>
      <c r="FQ109" s="77"/>
      <c r="FR109" s="77"/>
      <c r="FS109" s="77"/>
      <c r="FT109" s="77"/>
      <c r="FU109" s="77"/>
      <c r="FV109" s="77"/>
      <c r="FW109" s="77"/>
      <c r="FX109" s="77"/>
      <c r="FY109" s="77"/>
      <c r="FZ109" s="77"/>
      <c r="GA109" s="77"/>
      <c r="GB109" s="77"/>
      <c r="GC109" s="77"/>
      <c r="GD109" s="77"/>
      <c r="GE109" s="77"/>
      <c r="GF109" s="77"/>
      <c r="GG109" s="77"/>
      <c r="GH109" s="77"/>
      <c r="GI109" s="77"/>
      <c r="GJ109" s="77"/>
      <c r="GK109" s="77"/>
      <c r="GL109" s="77"/>
      <c r="GM109" s="77"/>
      <c r="GN109" s="77"/>
      <c r="GO109" s="77"/>
      <c r="GP109" s="77"/>
      <c r="GQ109" s="77"/>
      <c r="GR109" s="77"/>
      <c r="GS109" s="77"/>
      <c r="GT109" s="77"/>
      <c r="GU109" s="77"/>
      <c r="GV109" s="77"/>
      <c r="GW109" s="77"/>
      <c r="GX109" s="77"/>
      <c r="GY109" s="77"/>
      <c r="GZ109" s="77"/>
      <c r="HA109" s="77"/>
      <c r="HB109" s="77"/>
      <c r="HC109" s="77"/>
      <c r="HD109" s="77"/>
      <c r="HE109" s="77"/>
      <c r="HF109" s="77"/>
      <c r="HG109" s="77"/>
      <c r="HH109" s="77"/>
      <c r="HI109" s="77"/>
      <c r="HJ109" s="77"/>
      <c r="HK109" s="77"/>
      <c r="HL109" s="77"/>
      <c r="HM109" s="77"/>
      <c r="HN109" s="77"/>
      <c r="HO109" s="77"/>
      <c r="HP109" s="77"/>
      <c r="HQ109" s="77"/>
      <c r="HR109" s="77"/>
      <c r="HS109" s="77"/>
      <c r="HT109" s="77"/>
      <c r="HU109" s="77"/>
      <c r="HV109" s="77"/>
      <c r="HW109" s="77"/>
      <c r="HX109" s="77"/>
      <c r="HY109" s="77"/>
      <c r="HZ109" s="77"/>
      <c r="IA109" s="77"/>
      <c r="IB109" s="77"/>
      <c r="IC109" s="77"/>
      <c r="ID109" s="77"/>
      <c r="IE109" s="77"/>
      <c r="IF109" s="77"/>
      <c r="IG109" s="77"/>
      <c r="IH109" s="77"/>
      <c r="II109" s="77"/>
      <c r="IJ109" s="77"/>
      <c r="IK109" s="77"/>
      <c r="IL109" s="77"/>
      <c r="IM109" s="77"/>
      <c r="IN109" s="77"/>
      <c r="IO109" s="77"/>
      <c r="IP109" s="77"/>
      <c r="IQ109" s="77"/>
      <c r="IR109" s="77"/>
    </row>
    <row r="110" customFormat="false" ht="15" hidden="false" customHeight="false" outlineLevel="0" collapsed="false">
      <c r="A110" s="78"/>
      <c r="B110" s="78"/>
      <c r="C110" s="79"/>
      <c r="D110" s="80"/>
      <c r="E110" s="78"/>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c r="BH110" s="77"/>
      <c r="BI110" s="77"/>
      <c r="BJ110" s="77"/>
      <c r="BK110" s="77"/>
      <c r="BL110" s="77"/>
      <c r="BM110" s="77"/>
      <c r="BN110" s="77"/>
      <c r="BO110" s="77"/>
      <c r="BP110" s="77"/>
      <c r="BQ110" s="77"/>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7"/>
      <c r="DU110" s="77"/>
      <c r="DV110" s="77"/>
      <c r="DW110" s="77"/>
      <c r="DX110" s="77"/>
      <c r="DY110" s="77"/>
      <c r="DZ110" s="77"/>
      <c r="EA110" s="77"/>
      <c r="EB110" s="77"/>
      <c r="EC110" s="77"/>
      <c r="ED110" s="77"/>
      <c r="EE110" s="77"/>
      <c r="EF110" s="77"/>
      <c r="EG110" s="77"/>
      <c r="EH110" s="77"/>
      <c r="EI110" s="77"/>
      <c r="EJ110" s="77"/>
      <c r="EK110" s="77"/>
      <c r="EL110" s="77"/>
      <c r="EM110" s="77"/>
      <c r="EN110" s="77"/>
      <c r="EO110" s="77"/>
      <c r="EP110" s="77"/>
      <c r="EQ110" s="77"/>
      <c r="ER110" s="77"/>
      <c r="ES110" s="77"/>
      <c r="ET110" s="77"/>
      <c r="EU110" s="77"/>
      <c r="EV110" s="77"/>
      <c r="EW110" s="77"/>
      <c r="EX110" s="77"/>
      <c r="EY110" s="77"/>
      <c r="EZ110" s="77"/>
      <c r="FA110" s="77"/>
      <c r="FB110" s="77"/>
      <c r="FC110" s="77"/>
      <c r="FD110" s="77"/>
      <c r="FE110" s="77"/>
      <c r="FF110" s="77"/>
      <c r="FG110" s="77"/>
      <c r="FH110" s="77"/>
      <c r="FI110" s="77"/>
      <c r="FJ110" s="77"/>
      <c r="FK110" s="77"/>
      <c r="FL110" s="77"/>
      <c r="FM110" s="77"/>
      <c r="FN110" s="77"/>
      <c r="FO110" s="77"/>
      <c r="FP110" s="77"/>
      <c r="FQ110" s="77"/>
      <c r="FR110" s="77"/>
      <c r="FS110" s="77"/>
      <c r="FT110" s="77"/>
      <c r="FU110" s="77"/>
      <c r="FV110" s="77"/>
      <c r="FW110" s="77"/>
      <c r="FX110" s="77"/>
      <c r="FY110" s="77"/>
      <c r="FZ110" s="77"/>
      <c r="GA110" s="77"/>
      <c r="GB110" s="77"/>
      <c r="GC110" s="77"/>
      <c r="GD110" s="77"/>
      <c r="GE110" s="77"/>
      <c r="GF110" s="77"/>
      <c r="GG110" s="77"/>
      <c r="GH110" s="77"/>
      <c r="GI110" s="77"/>
      <c r="GJ110" s="77"/>
      <c r="GK110" s="77"/>
      <c r="GL110" s="77"/>
      <c r="GM110" s="77"/>
      <c r="GN110" s="77"/>
      <c r="GO110" s="77"/>
      <c r="GP110" s="77"/>
      <c r="GQ110" s="77"/>
      <c r="GR110" s="77"/>
      <c r="GS110" s="77"/>
      <c r="GT110" s="77"/>
      <c r="GU110" s="77"/>
      <c r="GV110" s="77"/>
      <c r="GW110" s="77"/>
      <c r="GX110" s="77"/>
      <c r="GY110" s="77"/>
      <c r="GZ110" s="77"/>
      <c r="HA110" s="77"/>
      <c r="HB110" s="77"/>
      <c r="HC110" s="77"/>
      <c r="HD110" s="77"/>
      <c r="HE110" s="77"/>
      <c r="HF110" s="77"/>
      <c r="HG110" s="77"/>
      <c r="HH110" s="77"/>
      <c r="HI110" s="77"/>
      <c r="HJ110" s="77"/>
      <c r="HK110" s="77"/>
      <c r="HL110" s="77"/>
      <c r="HM110" s="77"/>
      <c r="HN110" s="77"/>
      <c r="HO110" s="77"/>
      <c r="HP110" s="77"/>
      <c r="HQ110" s="77"/>
      <c r="HR110" s="77"/>
      <c r="HS110" s="77"/>
      <c r="HT110" s="77"/>
      <c r="HU110" s="77"/>
      <c r="HV110" s="77"/>
      <c r="HW110" s="77"/>
      <c r="HX110" s="77"/>
      <c r="HY110" s="77"/>
      <c r="HZ110" s="77"/>
      <c r="IA110" s="77"/>
      <c r="IB110" s="77"/>
      <c r="IC110" s="77"/>
      <c r="ID110" s="77"/>
      <c r="IE110" s="77"/>
      <c r="IF110" s="77"/>
      <c r="IG110" s="77"/>
      <c r="IH110" s="77"/>
      <c r="II110" s="77"/>
      <c r="IJ110" s="77"/>
      <c r="IK110" s="77"/>
      <c r="IL110" s="77"/>
      <c r="IM110" s="77"/>
      <c r="IN110" s="77"/>
      <c r="IO110" s="77"/>
      <c r="IP110" s="77"/>
      <c r="IQ110" s="77"/>
      <c r="IR110" s="77"/>
    </row>
  </sheetData>
  <mergeCells count="5">
    <mergeCell ref="B1:E1"/>
    <mergeCell ref="C3:E3"/>
    <mergeCell ref="C41:E41"/>
    <mergeCell ref="C50:E50"/>
    <mergeCell ref="C65:E65"/>
  </mergeCells>
  <conditionalFormatting sqref="D66:D99">
    <cfRule type="containsText" priority="10" operator="containsText" aboveAverage="0" equalAverage="0" bottom="0" percent="0" rank="0" text="Initial" dxfId="262">
      <formula>NOT(ISERROR(SEARCH("Initial",D66)))</formula>
    </cfRule>
    <cfRule type="containsText" priority="11" operator="containsText" aboveAverage="0" equalAverage="0" bottom="0" percent="0" rank="0" text="Nonexistent" dxfId="263">
      <formula>NOT(ISERROR(SEARCH("Nonexistent",D66)))</formula>
    </cfRule>
    <cfRule type="expression" priority="12" aboveAverage="0" equalAverage="0" bottom="0" percent="0" rank="0" text="" dxfId="264">
      <formula>_xlfn.ORG.OPENOFFICE.STYLE(VLOOKUP(D66,#ref!,2,0))</formula>
    </cfRule>
  </conditionalFormatting>
  <conditionalFormatting sqref="D51:D64">
    <cfRule type="containsText" priority="21" operator="containsText" aboveAverage="0" equalAverage="0" bottom="0" percent="0" rank="0" text="Initial" dxfId="273">
      <formula>NOT(ISERROR(SEARCH("Initial",D51)))</formula>
    </cfRule>
    <cfRule type="containsText" priority="22" operator="containsText" aboveAverage="0" equalAverage="0" bottom="0" percent="0" rank="0" text="Nonexistent" dxfId="274">
      <formula>NOT(ISERROR(SEARCH("Nonexistent",D51)))</formula>
    </cfRule>
    <cfRule type="expression" priority="23" aboveAverage="0" equalAverage="0" bottom="0" percent="0" rank="0" text="" dxfId="275">
      <formula>_xlfn.ORG.OPENOFFICE.STYLE(VLOOKUP(D51,#ref!,2,0))</formula>
    </cfRule>
  </conditionalFormatting>
  <conditionalFormatting sqref="D4:D40">
    <cfRule type="containsText" priority="32" operator="containsText" aboveAverage="0" equalAverage="0" bottom="0" percent="0" rank="0" text="Initial" dxfId="284">
      <formula>NOT(ISERROR(SEARCH("Initial",D4)))</formula>
    </cfRule>
    <cfRule type="containsText" priority="33" operator="containsText" aboveAverage="0" equalAverage="0" bottom="0" percent="0" rank="0" text="Nonexistent" dxfId="285">
      <formula>NOT(ISERROR(SEARCH("Nonexistent",D4)))</formula>
    </cfRule>
    <cfRule type="expression" priority="34" aboveAverage="0" equalAverage="0" bottom="0" percent="0" rank="0" text="" dxfId="286">
      <formula>_xlfn.ORG.OPENOFFICE.STYLE(VLOOKUP(D4,#ref!,2,0))</formula>
    </cfRule>
  </conditionalFormatting>
  <conditionalFormatting sqref="D42:D49">
    <cfRule type="containsText" priority="43" operator="containsText" aboveAverage="0" equalAverage="0" bottom="0" percent="0" rank="0" text="Initial" dxfId="295">
      <formula>NOT(ISERROR(SEARCH("Initial",D42)))</formula>
    </cfRule>
    <cfRule type="containsText" priority="44" operator="containsText" aboveAverage="0" equalAverage="0" bottom="0" percent="0" rank="0" text="Nonexistent" dxfId="296">
      <formula>NOT(ISERROR(SEARCH("Nonexistent",D42)))</formula>
    </cfRule>
    <cfRule type="expression" priority="45" aboveAverage="0" equalAverage="0" bottom="0" percent="0" rank="0" text="" dxfId="297">
      <formula>_xlfn.ORG.OPENOFFICE.STYLE(VLOOKUP(D42,#ref!,2,0))</formula>
    </cfRule>
  </conditionalFormatting>
  <dataValidations count="1">
    <dataValidation allowBlank="true" errorStyle="stop" operator="equal" promptTitle="Select status" showDropDown="false" showErrorMessage="true" showInputMessage="true" sqref="D4:D40 D42:D49 D51:D64 D66:D99" type="list">
      <formula1>Metrics!$B$3:$B$10</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177083333333333"/>
  <pageSetup paperSize="9" scale="100" fitToWidth="1" fitToHeight="15" pageOrder="downThenOver" orientation="portrait" blackAndWhite="false" draft="false" cellComments="none" horizontalDpi="300" verticalDpi="300" copies="1"/>
  <headerFooter differentFirst="false" differentOddEven="false">
    <oddHeader/>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88E957A1-456D-4E3C-A3C1-3A512129945E}">
            <xm:f>NCA!$B$10</xm:f>
            <x14:dxf>
              <font>
                <color rgb="FFFFFFFF"/>
              </font>
              <fill>
                <patternFill>
                  <bgColor theme="0" tint="-0.35"/>
                </patternFill>
              </fill>
            </x14:dxf>
          </x14:cfRule>
          <x14:cfRule type="cellIs" priority="3" operator="equal" id="{70263816-46E7-4C20-B184-B3D3F5CF2E43}">
            <xm:f>NCA!$B$3</xm:f>
            <x14:dxf>
              <font>
                <color rgb="FFD9D9D9"/>
              </font>
              <fill>
                <patternFill>
                  <bgColor theme="0"/>
                </patternFill>
              </fill>
            </x14:dxf>
          </x14:cfRule>
          <x14:cfRule type="cellIs" priority="4" operator="equal" id="{4C2EBA58-F77B-4D77-B52C-4230C43698D1}">
            <xm:f>NCA!$B$4</xm:f>
            <x14:dxf>
              <font>
                <color rgb="FFFFFFFF"/>
              </font>
              <fill>
                <patternFill>
                  <bgColor rgb="FFFF0000"/>
                </patternFill>
              </fill>
            </x14:dxf>
          </x14:cfRule>
          <x14:cfRule type="cellIs" priority="5" operator="equal" id="{2DCCF35E-61AB-40EF-92E0-C3A0D51E369B}">
            <xm:f>NCA!$B$5</xm:f>
            <x14:dxf>
              <font>
                <color rgb="FFFFFFFF"/>
              </font>
              <fill>
                <patternFill>
                  <bgColor rgb="FFC00000"/>
                </patternFill>
              </fill>
            </x14:dxf>
          </x14:cfRule>
          <x14:cfRule type="cellIs" priority="6" operator="equal" id="{1A434DFE-C817-4893-8AF5-33874AA08E3A}">
            <xm:f>NCA!$B$6</xm:f>
            <x14:dxf>
              <font>
                <color rgb="FFFFFFFF"/>
              </font>
              <fill>
                <patternFill>
                  <bgColor theme="2" tint="-0.5"/>
                </patternFill>
              </fill>
            </x14:dxf>
          </x14:cfRule>
          <x14:cfRule type="cellIs" priority="7" operator="equal" id="{32F87DEE-E718-4017-9074-576F6816F6CB}">
            <xm:f>NCA!$B$7</xm:f>
            <x14:dxf>
              <font>
                <color rgb="FFFFFFFF"/>
              </font>
              <fill>
                <patternFill>
                  <bgColor rgb="FFFFC000"/>
                </patternFill>
              </fill>
            </x14:dxf>
          </x14:cfRule>
          <x14:cfRule type="cellIs" priority="8" operator="equal" id="{91EB8C5D-CD70-45A6-9582-8756C9F83A82}">
            <xm:f>NCA!$B$8</xm:f>
            <x14:dxf>
              <font>
                <color rgb="FFFFFFFF"/>
              </font>
              <fill>
                <patternFill>
                  <bgColor rgb="FF92D050"/>
                </patternFill>
              </fill>
            </x14:dxf>
          </x14:cfRule>
          <x14:cfRule type="cellIs" priority="9" operator="equal" id="{E694F972-10F0-4034-A238-6BF83A1D7073}">
            <xm:f>NCA!$B$9</xm:f>
            <x14:dxf>
              <font>
                <color rgb="FFFFFFFF"/>
              </font>
              <fill>
                <patternFill>
                  <bgColor rgb="FF336600"/>
                </patternFill>
              </fill>
            </x14:dxf>
          </x14:cfRule>
          <xm:sqref>D66:D99</xm:sqref>
        </x14:conditionalFormatting>
        <x14:conditionalFormatting xmlns:xm="http://schemas.microsoft.com/office/excel/2006/main">
          <x14:cfRule type="cellIs" priority="13" operator="equal" id="{67E0757C-A77E-4754-B16C-817E5544F5FC}">
            <xm:f>NCA!$B$6</xm:f>
            <x14:dxf>
              <font>
                <color rgb="FFFFFFFF"/>
              </font>
              <fill>
                <patternFill>
                  <bgColor theme="2" tint="-0.5"/>
                </patternFill>
              </fill>
            </x14:dxf>
          </x14:cfRule>
          <x14:cfRule type="cellIs" priority="14" operator="equal" id="{90203040-DD1F-4A8B-867F-B078A0A418DD}">
            <xm:f>NCA!$B$10</xm:f>
            <x14:dxf>
              <font>
                <color rgb="FFFFFFFF"/>
              </font>
              <fill>
                <patternFill>
                  <bgColor theme="0" tint="-0.35"/>
                </patternFill>
              </fill>
            </x14:dxf>
          </x14:cfRule>
          <x14:cfRule type="cellIs" priority="15" operator="equal" id="{9354C6D6-8892-49F4-BFB6-B276E963182E}">
            <xm:f>NCA!$B$9</xm:f>
            <x14:dxf>
              <font>
                <color rgb="FFFFFFFF"/>
              </font>
              <fill>
                <patternFill>
                  <bgColor rgb="FF336600"/>
                </patternFill>
              </fill>
            </x14:dxf>
          </x14:cfRule>
          <x14:cfRule type="cellIs" priority="16" operator="equal" id="{BEE1C7C4-54D0-4C80-BDF9-A18DFD2CDB94}">
            <xm:f>NCA!$B$8</xm:f>
            <x14:dxf>
              <font>
                <color rgb="FFFFFFFF"/>
              </font>
              <fill>
                <patternFill>
                  <bgColor rgb="FF92D050"/>
                </patternFill>
              </fill>
            </x14:dxf>
          </x14:cfRule>
          <x14:cfRule type="cellIs" priority="17" operator="equal" id="{2A1C53F1-644E-49C6-A866-42B9F0968DD2}">
            <xm:f>NCA!$B$7</xm:f>
            <x14:dxf>
              <font>
                <color rgb="FFFFFFFF"/>
              </font>
              <fill>
                <patternFill>
                  <bgColor rgb="FFFFC000"/>
                </patternFill>
              </fill>
            </x14:dxf>
          </x14:cfRule>
          <x14:cfRule type="cellIs" priority="18" operator="equal" id="{5682601F-E642-4796-9563-96CFCC8E4961}">
            <xm:f>NCA!$B$3</xm:f>
            <x14:dxf>
              <font>
                <color rgb="FFD9D9D9"/>
              </font>
              <fill>
                <patternFill>
                  <bgColor theme="0"/>
                </patternFill>
              </fill>
            </x14:dxf>
          </x14:cfRule>
          <x14:cfRule type="cellIs" priority="19" operator="equal" id="{F03E60A4-2F77-49C0-A125-3683EC5B945E}">
            <xm:f>NCA!$B$5</xm:f>
            <x14:dxf>
              <font>
                <color rgb="FFFFFFFF"/>
              </font>
              <fill>
                <patternFill>
                  <bgColor rgb="FFC00000"/>
                </patternFill>
              </fill>
            </x14:dxf>
          </x14:cfRule>
          <x14:cfRule type="cellIs" priority="20" operator="equal" id="{9E26948A-DE30-443D-8DD3-9EBFC0C6E8B9}">
            <xm:f>NCA!$B$4</xm:f>
            <x14:dxf>
              <font>
                <color rgb="FFFFFFFF"/>
              </font>
              <fill>
                <patternFill>
                  <bgColor rgb="FFFF0000"/>
                </patternFill>
              </fill>
            </x14:dxf>
          </x14:cfRule>
          <xm:sqref>D51:D64</xm:sqref>
        </x14:conditionalFormatting>
        <x14:conditionalFormatting xmlns:xm="http://schemas.microsoft.com/office/excel/2006/main">
          <x14:cfRule type="cellIs" priority="24" operator="equal" id="{77C85B9F-2B9D-46DE-BA83-E69E5130A9A1}">
            <xm:f>NCA!$B$3</xm:f>
            <x14:dxf>
              <font>
                <color rgb="FFD9D9D9"/>
              </font>
              <fill>
                <patternFill>
                  <bgColor theme="0"/>
                </patternFill>
              </fill>
            </x14:dxf>
          </x14:cfRule>
          <x14:cfRule type="cellIs" priority="25" operator="equal" id="{8F94546C-5AA9-4542-B2D0-24679DD2FDC0}">
            <xm:f>NCA!$B$4</xm:f>
            <x14:dxf>
              <font>
                <color rgb="FFFFFFFF"/>
              </font>
              <fill>
                <patternFill>
                  <bgColor rgb="FFFF0000"/>
                </patternFill>
              </fill>
            </x14:dxf>
          </x14:cfRule>
          <x14:cfRule type="cellIs" priority="26" operator="equal" id="{6452A5A4-F1A0-49BA-BC4C-5A5C91A6C985}">
            <xm:f>NCA!$B$5</xm:f>
            <x14:dxf>
              <font>
                <color rgb="FFFFFFFF"/>
              </font>
              <fill>
                <patternFill>
                  <bgColor rgb="FFC00000"/>
                </patternFill>
              </fill>
            </x14:dxf>
          </x14:cfRule>
          <x14:cfRule type="cellIs" priority="27" operator="equal" id="{F2A3E2A3-19FD-48A8-A524-196A404AA65D}">
            <xm:f>NCA!$B$6</xm:f>
            <x14:dxf>
              <font>
                <color rgb="FFFFFFFF"/>
              </font>
              <fill>
                <patternFill>
                  <bgColor theme="2" tint="-0.5"/>
                </patternFill>
              </fill>
            </x14:dxf>
          </x14:cfRule>
          <x14:cfRule type="cellIs" priority="28" operator="equal" id="{98B58217-D9B3-4A9C-97B5-148FFF9A5FA9}">
            <xm:f>NCA!$B$7</xm:f>
            <x14:dxf>
              <font>
                <color rgb="FFFFFFFF"/>
              </font>
              <fill>
                <patternFill>
                  <bgColor rgb="FFFFC000"/>
                </patternFill>
              </fill>
            </x14:dxf>
          </x14:cfRule>
          <x14:cfRule type="cellIs" priority="29" operator="equal" id="{D6DA30D0-63DD-4036-B68C-A8676726C027}">
            <xm:f>NCA!$B$8</xm:f>
            <x14:dxf>
              <font>
                <color rgb="FFFFFFFF"/>
              </font>
              <fill>
                <patternFill>
                  <bgColor rgb="FF92D050"/>
                </patternFill>
              </fill>
            </x14:dxf>
          </x14:cfRule>
          <x14:cfRule type="cellIs" priority="30" operator="equal" id="{2A5E2EA4-2DD5-47AC-AB65-E095165FB28D}">
            <xm:f>NCA!$B$9</xm:f>
            <x14:dxf>
              <font>
                <color rgb="FFFFFFFF"/>
              </font>
              <fill>
                <patternFill>
                  <bgColor rgb="FF336600"/>
                </patternFill>
              </fill>
            </x14:dxf>
          </x14:cfRule>
          <x14:cfRule type="cellIs" priority="31" operator="equal" id="{2F43EB82-BD7D-4F5F-B799-B5ABAC36A464}">
            <xm:f>NCA!$B$10</xm:f>
            <x14:dxf>
              <font>
                <color rgb="FFFFFFFF"/>
              </font>
              <fill>
                <patternFill>
                  <bgColor theme="0" tint="-0.35"/>
                </patternFill>
              </fill>
            </x14:dxf>
          </x14:cfRule>
          <xm:sqref>D4:D40</xm:sqref>
        </x14:conditionalFormatting>
        <x14:conditionalFormatting xmlns:xm="http://schemas.microsoft.com/office/excel/2006/main">
          <x14:cfRule type="cellIs" priority="35" operator="equal" id="{E6D71561-90C6-48B0-9D25-AE1054B7A15C}">
            <xm:f>NCA!$B$10</xm:f>
            <x14:dxf>
              <font>
                <color rgb="FFFFFFFF"/>
              </font>
              <fill>
                <patternFill>
                  <bgColor theme="0" tint="-0.35"/>
                </patternFill>
              </fill>
            </x14:dxf>
          </x14:cfRule>
          <x14:cfRule type="cellIs" priority="36" operator="equal" id="{63728251-29E7-42F5-887F-AEBA16D31EE0}">
            <xm:f>NCA!$B$9</xm:f>
            <x14:dxf>
              <font>
                <color rgb="FFFFFFFF"/>
              </font>
              <fill>
                <patternFill>
                  <bgColor rgb="FF336600"/>
                </patternFill>
              </fill>
            </x14:dxf>
          </x14:cfRule>
          <x14:cfRule type="cellIs" priority="37" operator="equal" id="{F6BB2C73-EB5F-48AE-9CDE-D43DFF814180}">
            <xm:f>NCA!$B$8</xm:f>
            <x14:dxf>
              <font>
                <color rgb="FFFFFFFF"/>
              </font>
              <fill>
                <patternFill>
                  <bgColor rgb="FF92D050"/>
                </patternFill>
              </fill>
            </x14:dxf>
          </x14:cfRule>
          <x14:cfRule type="cellIs" priority="38" operator="equal" id="{2BBA6CF7-C8D7-4896-80E1-5069E061E05C}">
            <xm:f>NCA!$B$7</xm:f>
            <x14:dxf>
              <font>
                <color rgb="FFFFFFFF"/>
              </font>
              <fill>
                <patternFill>
                  <bgColor rgb="FFFFC000"/>
                </patternFill>
              </fill>
            </x14:dxf>
          </x14:cfRule>
          <x14:cfRule type="cellIs" priority="39" operator="equal" id="{D2F6AB71-58BE-4CDC-9EBF-46B96AA26DD2}">
            <xm:f>NCA!$B$6</xm:f>
            <x14:dxf>
              <font>
                <color rgb="FFFFFFFF"/>
              </font>
              <fill>
                <patternFill>
                  <bgColor theme="2" tint="-0.5"/>
                </patternFill>
              </fill>
            </x14:dxf>
          </x14:cfRule>
          <x14:cfRule type="cellIs" priority="40" operator="equal" id="{B8642E66-BEA4-4D90-B3B2-2DB4608620DB}">
            <xm:f>NCA!$B$5</xm:f>
            <x14:dxf>
              <font>
                <color rgb="FFFFFFFF"/>
              </font>
              <fill>
                <patternFill>
                  <bgColor rgb="FFC00000"/>
                </patternFill>
              </fill>
            </x14:dxf>
          </x14:cfRule>
          <x14:cfRule type="cellIs" priority="41" operator="equal" id="{529028D9-2E3B-48AC-A8E5-9D5E2B5840B4}">
            <xm:f>NCA!$B$4</xm:f>
            <x14:dxf>
              <font>
                <color rgb="FFFFFFFF"/>
              </font>
              <fill>
                <patternFill>
                  <bgColor rgb="FFFF0000"/>
                </patternFill>
              </fill>
            </x14:dxf>
          </x14:cfRule>
          <x14:cfRule type="cellIs" priority="42" operator="equal" id="{E79F42AB-EEB7-469F-BD1F-E0FDE5F9CE62}">
            <xm:f>NCA!$B$3</xm:f>
            <x14:dxf>
              <font>
                <color rgb="FFD9D9D9"/>
              </font>
              <fill>
                <patternFill>
                  <bgColor theme="0"/>
                </patternFill>
              </fill>
            </x14:dxf>
          </x14:cfRule>
          <xm:sqref>D42:D49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R110"/>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1" ySplit="2" topLeftCell="B12" activePane="bottomRight" state="frozen"/>
      <selection pane="topLeft" activeCell="A1" activeCellId="0" sqref="A1"/>
      <selection pane="topRight" activeCell="B1" activeCellId="0" sqref="B1"/>
      <selection pane="bottomLeft" activeCell="A12" activeCellId="0" sqref="A12"/>
      <selection pane="bottomRight" activeCell="C27" activeCellId="0" sqref="C27"/>
    </sheetView>
  </sheetViews>
  <sheetFormatPr defaultColWidth="11.578125" defaultRowHeight="14.25" zeroHeight="false" outlineLevelRow="0" outlineLevelCol="0"/>
  <cols>
    <col collapsed="false" customWidth="true" hidden="false" outlineLevel="0" max="1" min="1" style="54" width="1.62"/>
    <col collapsed="false" customWidth="true" hidden="false" outlineLevel="0" max="2" min="2" style="54" width="8.63"/>
    <col collapsed="false" customWidth="true" hidden="false" outlineLevel="0" max="3" min="3" style="55" width="75.72"/>
    <col collapsed="false" customWidth="true" hidden="false" outlineLevel="0" max="4" min="4" style="56" width="14.69"/>
    <col collapsed="false" customWidth="true" hidden="false" outlineLevel="0" max="5" min="5" style="54" width="75.24"/>
    <col collapsed="false" customWidth="true" hidden="false" outlineLevel="0" max="252" min="6" style="57" width="30.34"/>
  </cols>
  <sheetData>
    <row r="1" customFormat="false" ht="32.25" hidden="false" customHeight="true" outlineLevel="0" collapsed="false">
      <c r="A1" s="59"/>
      <c r="B1" s="60" t="s">
        <v>95</v>
      </c>
      <c r="C1" s="60"/>
      <c r="D1" s="60"/>
      <c r="E1" s="60"/>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c r="BS1" s="61"/>
      <c r="BT1" s="61"/>
      <c r="BU1" s="61"/>
      <c r="BV1" s="61"/>
      <c r="BW1" s="61"/>
      <c r="BX1" s="61"/>
      <c r="BY1" s="61"/>
      <c r="BZ1" s="61"/>
      <c r="CA1" s="61"/>
      <c r="CB1" s="61"/>
      <c r="CC1" s="61"/>
      <c r="CD1" s="61"/>
      <c r="CE1" s="61"/>
      <c r="CF1" s="61"/>
      <c r="CG1" s="61"/>
      <c r="CH1" s="61"/>
      <c r="CI1" s="61"/>
      <c r="CJ1" s="61"/>
      <c r="CK1" s="61"/>
      <c r="CL1" s="61"/>
      <c r="CM1" s="61"/>
      <c r="CN1" s="61"/>
      <c r="CO1" s="61"/>
      <c r="CP1" s="61"/>
      <c r="CQ1" s="61"/>
      <c r="CR1" s="61"/>
      <c r="CS1" s="61"/>
      <c r="CT1" s="61"/>
      <c r="CU1" s="61"/>
      <c r="CV1" s="61"/>
      <c r="CW1" s="61"/>
      <c r="CX1" s="61"/>
      <c r="CY1" s="61"/>
      <c r="CZ1" s="61"/>
      <c r="DA1" s="61"/>
      <c r="DB1" s="61"/>
      <c r="DC1" s="61"/>
      <c r="DD1" s="61"/>
      <c r="DE1" s="61"/>
      <c r="DF1" s="61"/>
      <c r="DG1" s="61"/>
      <c r="DH1" s="61"/>
      <c r="DI1" s="61"/>
      <c r="DJ1" s="61"/>
      <c r="DK1" s="61"/>
      <c r="DL1" s="61"/>
      <c r="DM1" s="61"/>
      <c r="DN1" s="61"/>
      <c r="DO1" s="61"/>
      <c r="DP1" s="61"/>
      <c r="DQ1" s="61"/>
      <c r="DR1" s="61"/>
      <c r="DS1" s="61"/>
      <c r="DT1" s="61"/>
      <c r="DU1" s="61"/>
      <c r="DV1" s="61"/>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c r="GN1" s="61"/>
      <c r="GO1" s="61"/>
      <c r="GP1" s="61"/>
      <c r="GQ1" s="61"/>
      <c r="GR1" s="61"/>
      <c r="GS1" s="61"/>
      <c r="GT1" s="61"/>
      <c r="GU1" s="61"/>
      <c r="GV1" s="61"/>
      <c r="GW1" s="61"/>
      <c r="GX1" s="61"/>
      <c r="GY1" s="61"/>
      <c r="GZ1" s="61"/>
      <c r="HA1" s="61"/>
      <c r="HB1" s="61"/>
      <c r="HC1" s="61"/>
      <c r="HD1" s="61"/>
      <c r="HE1" s="61"/>
      <c r="HF1" s="61"/>
      <c r="HG1" s="61"/>
      <c r="HH1" s="61"/>
      <c r="HI1" s="61"/>
      <c r="HJ1" s="61"/>
      <c r="HK1" s="61"/>
      <c r="HL1" s="61"/>
      <c r="HM1" s="61"/>
      <c r="HN1" s="61"/>
      <c r="HO1" s="61"/>
      <c r="HP1" s="61"/>
      <c r="HQ1" s="61"/>
      <c r="HR1" s="61"/>
      <c r="HS1" s="61"/>
      <c r="HT1" s="61"/>
      <c r="HU1" s="61"/>
      <c r="HV1" s="61"/>
      <c r="HW1" s="61"/>
      <c r="HX1" s="61"/>
      <c r="HY1" s="61"/>
      <c r="HZ1" s="61"/>
      <c r="IA1" s="61"/>
      <c r="IB1" s="61"/>
      <c r="IC1" s="61"/>
      <c r="ID1" s="61"/>
      <c r="IE1" s="61"/>
      <c r="IF1" s="61"/>
      <c r="IG1" s="61"/>
      <c r="IH1" s="61"/>
      <c r="II1" s="61"/>
      <c r="IJ1" s="61"/>
      <c r="IK1" s="61"/>
      <c r="IL1" s="61"/>
      <c r="IM1" s="61"/>
      <c r="IN1" s="61"/>
      <c r="IO1" s="61"/>
      <c r="IP1" s="61"/>
      <c r="IQ1" s="61"/>
      <c r="IR1" s="61"/>
    </row>
    <row r="2" customFormat="false" ht="21.75" hidden="false" customHeight="true" outlineLevel="0" collapsed="false">
      <c r="A2" s="14"/>
      <c r="B2" s="62" t="s">
        <v>20</v>
      </c>
      <c r="C2" s="63" t="s">
        <v>96</v>
      </c>
      <c r="D2" s="64" t="s">
        <v>22</v>
      </c>
      <c r="E2" s="65" t="s">
        <v>97</v>
      </c>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row>
    <row r="3" customFormat="false" ht="32.1" hidden="false" customHeight="true" outlineLevel="0" collapsed="false">
      <c r="A3" s="66"/>
      <c r="B3" s="67" t="s">
        <v>98</v>
      </c>
      <c r="C3" s="68" t="s">
        <v>99</v>
      </c>
      <c r="D3" s="68"/>
      <c r="E3" s="68"/>
      <c r="F3" s="66"/>
      <c r="G3" s="66"/>
      <c r="H3" s="66"/>
      <c r="I3" s="66"/>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row>
    <row r="4" customFormat="false" ht="22.5" hidden="false" customHeight="true" outlineLevel="0" collapsed="false">
      <c r="A4" s="29"/>
      <c r="B4" s="69" t="s">
        <v>100</v>
      </c>
      <c r="C4" s="70" t="s">
        <v>101</v>
      </c>
      <c r="D4" s="32" t="s">
        <v>65</v>
      </c>
      <c r="E4" s="71"/>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row>
    <row r="5" customFormat="false" ht="22.5" hidden="false" customHeight="true" outlineLevel="0" collapsed="false">
      <c r="A5" s="29"/>
      <c r="B5" s="69" t="s">
        <v>102</v>
      </c>
      <c r="C5" s="70" t="s">
        <v>103</v>
      </c>
      <c r="D5" s="32" t="s">
        <v>65</v>
      </c>
      <c r="E5" s="71"/>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row>
    <row r="6" customFormat="false" ht="22.5" hidden="false" customHeight="true" outlineLevel="0" collapsed="false">
      <c r="A6" s="29"/>
      <c r="B6" s="69" t="s">
        <v>104</v>
      </c>
      <c r="C6" s="70" t="s">
        <v>105</v>
      </c>
      <c r="D6" s="32" t="s">
        <v>65</v>
      </c>
      <c r="E6" s="71"/>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row>
    <row r="7" customFormat="false" ht="22.5" hidden="false" customHeight="true" outlineLevel="0" collapsed="false">
      <c r="A7" s="29"/>
      <c r="B7" s="69" t="s">
        <v>106</v>
      </c>
      <c r="C7" s="70" t="s">
        <v>107</v>
      </c>
      <c r="D7" s="32" t="s">
        <v>65</v>
      </c>
      <c r="E7" s="71"/>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row>
    <row r="8" customFormat="false" ht="22.5" hidden="false" customHeight="true" outlineLevel="0" collapsed="false">
      <c r="A8" s="29"/>
      <c r="B8" s="69" t="s">
        <v>108</v>
      </c>
      <c r="C8" s="70" t="s">
        <v>109</v>
      </c>
      <c r="D8" s="32" t="s">
        <v>65</v>
      </c>
      <c r="E8" s="71"/>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row>
    <row r="9" customFormat="false" ht="22.5" hidden="false" customHeight="true" outlineLevel="0" collapsed="false">
      <c r="A9" s="29"/>
      <c r="B9" s="69" t="s">
        <v>110</v>
      </c>
      <c r="C9" s="70" t="s">
        <v>111</v>
      </c>
      <c r="D9" s="32" t="s">
        <v>65</v>
      </c>
      <c r="E9" s="71"/>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row>
    <row r="10" customFormat="false" ht="22.5" hidden="false" customHeight="true" outlineLevel="0" collapsed="false">
      <c r="A10" s="29"/>
      <c r="B10" s="69" t="s">
        <v>112</v>
      </c>
      <c r="C10" s="70" t="s">
        <v>113</v>
      </c>
      <c r="D10" s="32" t="s">
        <v>65</v>
      </c>
      <c r="E10" s="71"/>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row>
    <row r="11" customFormat="false" ht="22.5" hidden="false" customHeight="true" outlineLevel="0" collapsed="false">
      <c r="A11" s="29"/>
      <c r="B11" s="69" t="s">
        <v>114</v>
      </c>
      <c r="C11" s="70" t="s">
        <v>115</v>
      </c>
      <c r="D11" s="32" t="s">
        <v>37</v>
      </c>
      <c r="E11" s="71"/>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row>
    <row r="12" customFormat="false" ht="22.5" hidden="false" customHeight="true" outlineLevel="0" collapsed="false">
      <c r="A12" s="29"/>
      <c r="B12" s="69" t="s">
        <v>116</v>
      </c>
      <c r="C12" s="70" t="s">
        <v>117</v>
      </c>
      <c r="D12" s="32" t="s">
        <v>37</v>
      </c>
      <c r="E12" s="71"/>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row>
    <row r="13" customFormat="false" ht="22.5" hidden="false" customHeight="true" outlineLevel="0" collapsed="false">
      <c r="A13" s="29"/>
      <c r="B13" s="69" t="s">
        <v>118</v>
      </c>
      <c r="C13" s="70" t="s">
        <v>119</v>
      </c>
      <c r="D13" s="32" t="s">
        <v>37</v>
      </c>
      <c r="E13" s="71"/>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row>
    <row r="14" customFormat="false" ht="22.5" hidden="false" customHeight="true" outlineLevel="0" collapsed="false">
      <c r="A14" s="29"/>
      <c r="B14" s="69" t="s">
        <v>120</v>
      </c>
      <c r="C14" s="70" t="s">
        <v>121</v>
      </c>
      <c r="D14" s="32" t="s">
        <v>37</v>
      </c>
      <c r="E14" s="71"/>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row>
    <row r="15" customFormat="false" ht="22.5" hidden="false" customHeight="true" outlineLevel="0" collapsed="false">
      <c r="A15" s="29"/>
      <c r="B15" s="69" t="s">
        <v>122</v>
      </c>
      <c r="C15" s="70" t="s">
        <v>123</v>
      </c>
      <c r="D15" s="32" t="s">
        <v>37</v>
      </c>
      <c r="E15" s="71"/>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row>
    <row r="16" customFormat="false" ht="22.5" hidden="false" customHeight="true" outlineLevel="0" collapsed="false">
      <c r="A16" s="29"/>
      <c r="B16" s="69" t="s">
        <v>124</v>
      </c>
      <c r="C16" s="70" t="s">
        <v>125</v>
      </c>
      <c r="D16" s="32" t="s">
        <v>37</v>
      </c>
      <c r="E16" s="71"/>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c r="IH16" s="29"/>
      <c r="II16" s="29"/>
      <c r="IJ16" s="29"/>
      <c r="IK16" s="29"/>
      <c r="IL16" s="29"/>
      <c r="IM16" s="29"/>
      <c r="IN16" s="29"/>
      <c r="IO16" s="29"/>
      <c r="IP16" s="29"/>
      <c r="IQ16" s="29"/>
      <c r="IR16" s="29"/>
    </row>
    <row r="17" customFormat="false" ht="22.5" hidden="false" customHeight="true" outlineLevel="0" collapsed="false">
      <c r="A17" s="29"/>
      <c r="B17" s="69" t="s">
        <v>126</v>
      </c>
      <c r="C17" s="70" t="s">
        <v>127</v>
      </c>
      <c r="D17" s="32" t="s">
        <v>37</v>
      </c>
      <c r="E17" s="71"/>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Q17" s="29"/>
      <c r="DR17" s="29"/>
      <c r="DS17" s="29"/>
      <c r="DT17" s="29"/>
      <c r="DU17" s="29"/>
      <c r="DV17" s="29"/>
      <c r="DW17" s="29"/>
      <c r="DX17" s="29"/>
      <c r="DY17" s="29"/>
      <c r="DZ17" s="29"/>
      <c r="EA17" s="29"/>
      <c r="EB17" s="29"/>
      <c r="EC17" s="29"/>
      <c r="ED17" s="29"/>
      <c r="EE17" s="29"/>
      <c r="EF17" s="29"/>
      <c r="EG17" s="29"/>
      <c r="EH17" s="29"/>
      <c r="EI17" s="29"/>
      <c r="EJ17" s="29"/>
      <c r="EK17" s="29"/>
      <c r="EL17" s="29"/>
      <c r="EM17" s="29"/>
      <c r="EN17" s="29"/>
      <c r="EO17" s="29"/>
      <c r="EP17" s="29"/>
      <c r="EQ17" s="29"/>
      <c r="ER17" s="29"/>
      <c r="ES17" s="29"/>
      <c r="ET17" s="29"/>
      <c r="EU17" s="29"/>
      <c r="EV17" s="29"/>
      <c r="EW17" s="29"/>
      <c r="EX17" s="29"/>
      <c r="EY17" s="29"/>
      <c r="EZ17" s="29"/>
      <c r="FA17" s="29"/>
      <c r="FB17" s="29"/>
      <c r="FC17" s="29"/>
      <c r="FD17" s="29"/>
      <c r="FE17" s="29"/>
      <c r="FF17" s="29"/>
      <c r="FG17" s="29"/>
      <c r="FH17" s="29"/>
      <c r="FI17" s="29"/>
      <c r="FJ17" s="29"/>
      <c r="FK17" s="29"/>
      <c r="FL17" s="29"/>
      <c r="FM17" s="29"/>
      <c r="FN17" s="29"/>
      <c r="FO17" s="29"/>
      <c r="FP17" s="29"/>
      <c r="FQ17" s="29"/>
      <c r="FR17" s="29"/>
      <c r="FS17" s="29"/>
      <c r="FT17" s="29"/>
      <c r="FU17" s="29"/>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c r="HN17" s="29"/>
      <c r="HO17" s="29"/>
      <c r="HP17" s="29"/>
      <c r="HQ17" s="29"/>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row>
    <row r="18" customFormat="false" ht="22.5" hidden="false" customHeight="true" outlineLevel="0" collapsed="false">
      <c r="A18" s="29"/>
      <c r="B18" s="69" t="s">
        <v>128</v>
      </c>
      <c r="C18" s="70" t="s">
        <v>129</v>
      </c>
      <c r="D18" s="32" t="s">
        <v>37</v>
      </c>
      <c r="E18" s="71"/>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9"/>
      <c r="CL18" s="29"/>
      <c r="CM18" s="29"/>
      <c r="CN18" s="29"/>
      <c r="CO18" s="29"/>
      <c r="CP18" s="29"/>
      <c r="CQ18" s="29"/>
      <c r="CR18" s="29"/>
      <c r="CS18" s="29"/>
      <c r="CT18" s="29"/>
      <c r="CU18" s="29"/>
      <c r="CV18" s="29"/>
      <c r="CW18" s="29"/>
      <c r="CX18" s="29"/>
      <c r="CY18" s="29"/>
      <c r="CZ18" s="29"/>
      <c r="DA18" s="29"/>
      <c r="DB18" s="29"/>
      <c r="DC18" s="29"/>
      <c r="DD18" s="29"/>
      <c r="DE18" s="29"/>
      <c r="DF18" s="29"/>
      <c r="DG18" s="29"/>
      <c r="DH18" s="29"/>
      <c r="DI18" s="29"/>
      <c r="DJ18" s="29"/>
      <c r="DK18" s="29"/>
      <c r="DL18" s="29"/>
      <c r="DM18" s="29"/>
      <c r="DN18" s="29"/>
      <c r="DO18" s="29"/>
      <c r="DP18" s="29"/>
      <c r="DQ18" s="29"/>
      <c r="DR18" s="29"/>
      <c r="DS18" s="29"/>
      <c r="DT18" s="29"/>
      <c r="DU18" s="29"/>
      <c r="DV18" s="29"/>
      <c r="DW18" s="29"/>
      <c r="DX18" s="29"/>
      <c r="DY18" s="29"/>
      <c r="DZ18" s="29"/>
      <c r="EA18" s="29"/>
      <c r="EB18" s="29"/>
      <c r="EC18" s="29"/>
      <c r="ED18" s="29"/>
      <c r="EE18" s="29"/>
      <c r="EF18" s="29"/>
      <c r="EG18" s="29"/>
      <c r="EH18" s="29"/>
      <c r="EI18" s="29"/>
      <c r="EJ18" s="29"/>
      <c r="EK18" s="29"/>
      <c r="EL18" s="29"/>
      <c r="EM18" s="29"/>
      <c r="EN18" s="29"/>
      <c r="EO18" s="29"/>
      <c r="EP18" s="29"/>
      <c r="EQ18" s="29"/>
      <c r="ER18" s="29"/>
      <c r="ES18" s="29"/>
      <c r="ET18" s="29"/>
      <c r="EU18" s="29"/>
      <c r="EV18" s="29"/>
      <c r="EW18" s="29"/>
      <c r="EX18" s="29"/>
      <c r="EY18" s="29"/>
      <c r="EZ18" s="29"/>
      <c r="FA18" s="29"/>
      <c r="FB18" s="29"/>
      <c r="FC18" s="29"/>
      <c r="FD18" s="29"/>
      <c r="FE18" s="29"/>
      <c r="FF18" s="29"/>
      <c r="FG18" s="29"/>
      <c r="FH18" s="29"/>
      <c r="FI18" s="29"/>
      <c r="FJ18" s="29"/>
      <c r="FK18" s="29"/>
      <c r="FL18" s="29"/>
      <c r="FM18" s="29"/>
      <c r="FN18" s="29"/>
      <c r="FO18" s="29"/>
      <c r="FP18" s="29"/>
      <c r="FQ18" s="29"/>
      <c r="FR18" s="29"/>
      <c r="FS18" s="29"/>
      <c r="FT18" s="29"/>
      <c r="FU18" s="29"/>
      <c r="FV18" s="29"/>
      <c r="FW18" s="29"/>
      <c r="FX18" s="29"/>
      <c r="FY18" s="29"/>
      <c r="FZ18" s="29"/>
      <c r="GA18" s="29"/>
      <c r="GB18" s="29"/>
      <c r="GC18" s="29"/>
      <c r="GD18" s="29"/>
      <c r="GE18" s="29"/>
      <c r="GF18" s="29"/>
      <c r="GG18" s="29"/>
      <c r="GH18" s="29"/>
      <c r="GI18" s="29"/>
      <c r="GJ18" s="29"/>
      <c r="GK18" s="29"/>
      <c r="GL18" s="29"/>
      <c r="GM18" s="29"/>
      <c r="GN18" s="29"/>
      <c r="GO18" s="29"/>
      <c r="GP18" s="29"/>
      <c r="GQ18" s="29"/>
      <c r="GR18" s="29"/>
      <c r="GS18" s="29"/>
      <c r="GT18" s="29"/>
      <c r="GU18" s="29"/>
      <c r="GV18" s="29"/>
      <c r="GW18" s="29"/>
      <c r="GX18" s="29"/>
      <c r="GY18" s="29"/>
      <c r="GZ18" s="29"/>
      <c r="HA18" s="29"/>
      <c r="HB18" s="29"/>
      <c r="HC18" s="29"/>
      <c r="HD18" s="29"/>
      <c r="HE18" s="29"/>
      <c r="HF18" s="29"/>
      <c r="HG18" s="29"/>
      <c r="HH18" s="29"/>
      <c r="HI18" s="29"/>
      <c r="HJ18" s="29"/>
      <c r="HK18" s="29"/>
      <c r="HL18" s="29"/>
      <c r="HM18" s="29"/>
      <c r="HN18" s="29"/>
      <c r="HO18" s="29"/>
      <c r="HP18" s="29"/>
      <c r="HQ18" s="29"/>
      <c r="HR18" s="29"/>
      <c r="HS18" s="29"/>
      <c r="HT18" s="29"/>
      <c r="HU18" s="29"/>
      <c r="HV18" s="29"/>
      <c r="HW18" s="29"/>
      <c r="HX18" s="29"/>
      <c r="HY18" s="29"/>
      <c r="HZ18" s="29"/>
      <c r="IA18" s="29"/>
      <c r="IB18" s="29"/>
      <c r="IC18" s="29"/>
      <c r="ID18" s="29"/>
      <c r="IE18" s="29"/>
      <c r="IF18" s="29"/>
      <c r="IG18" s="29"/>
      <c r="IH18" s="29"/>
      <c r="II18" s="29"/>
      <c r="IJ18" s="29"/>
      <c r="IK18" s="29"/>
      <c r="IL18" s="29"/>
      <c r="IM18" s="29"/>
      <c r="IN18" s="29"/>
      <c r="IO18" s="29"/>
      <c r="IP18" s="29"/>
      <c r="IQ18" s="29"/>
      <c r="IR18" s="29"/>
    </row>
    <row r="19" customFormat="false" ht="22.5" hidden="false" customHeight="true" outlineLevel="0" collapsed="false">
      <c r="A19" s="29"/>
      <c r="B19" s="69" t="s">
        <v>130</v>
      </c>
      <c r="C19" s="70" t="s">
        <v>131</v>
      </c>
      <c r="D19" s="32" t="s">
        <v>37</v>
      </c>
      <c r="E19" s="71"/>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X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C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H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M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c r="HR19" s="29"/>
      <c r="HS19" s="29"/>
      <c r="HT19" s="29"/>
      <c r="HU19" s="29"/>
      <c r="HV19" s="29"/>
      <c r="HW19" s="29"/>
      <c r="HX19" s="29"/>
      <c r="HY19" s="29"/>
      <c r="HZ19" s="29"/>
      <c r="IA19" s="29"/>
      <c r="IB19" s="29"/>
      <c r="IC19" s="29"/>
      <c r="ID19" s="29"/>
      <c r="IE19" s="29"/>
      <c r="IF19" s="29"/>
      <c r="IG19" s="29"/>
      <c r="IH19" s="29"/>
      <c r="II19" s="29"/>
      <c r="IJ19" s="29"/>
      <c r="IK19" s="29"/>
      <c r="IL19" s="29"/>
      <c r="IM19" s="29"/>
      <c r="IN19" s="29"/>
      <c r="IO19" s="29"/>
      <c r="IP19" s="29"/>
      <c r="IQ19" s="29"/>
      <c r="IR19" s="29"/>
    </row>
    <row r="20" customFormat="false" ht="22.5" hidden="false" customHeight="true" outlineLevel="0" collapsed="false">
      <c r="A20" s="29"/>
      <c r="B20" s="69" t="s">
        <v>132</v>
      </c>
      <c r="C20" s="70" t="s">
        <v>133</v>
      </c>
      <c r="D20" s="32" t="s">
        <v>37</v>
      </c>
      <c r="E20" s="71"/>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29"/>
      <c r="HL20" s="29"/>
      <c r="HM20" s="29"/>
      <c r="HN20" s="29"/>
      <c r="HO20" s="29"/>
      <c r="HP20" s="29"/>
      <c r="HQ20" s="29"/>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row>
    <row r="21" customFormat="false" ht="22.5" hidden="false" customHeight="true" outlineLevel="0" collapsed="false">
      <c r="A21" s="29"/>
      <c r="B21" s="69" t="s">
        <v>134</v>
      </c>
      <c r="C21" s="70" t="s">
        <v>135</v>
      </c>
      <c r="D21" s="32" t="s">
        <v>37</v>
      </c>
      <c r="E21" s="71"/>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29"/>
      <c r="DW21" s="29"/>
      <c r="DX21" s="29"/>
      <c r="DY21" s="29"/>
      <c r="DZ21" s="29"/>
      <c r="EA21" s="29"/>
      <c r="EB21" s="29"/>
      <c r="EC21" s="29"/>
      <c r="ED21" s="29"/>
      <c r="EE21" s="29"/>
      <c r="EF21" s="29"/>
      <c r="EG21" s="29"/>
      <c r="EH21" s="29"/>
      <c r="EI21" s="29"/>
      <c r="EJ21" s="29"/>
      <c r="EK21" s="29"/>
      <c r="EL21" s="29"/>
      <c r="EM21" s="29"/>
      <c r="EN21" s="29"/>
      <c r="EO21" s="29"/>
      <c r="EP21" s="29"/>
      <c r="EQ21" s="29"/>
      <c r="ER21" s="29"/>
      <c r="ES21" s="29"/>
      <c r="ET21" s="29"/>
      <c r="EU21" s="29"/>
      <c r="EV21" s="29"/>
      <c r="EW21" s="29"/>
      <c r="EX21" s="29"/>
      <c r="EY21" s="29"/>
      <c r="EZ21" s="29"/>
      <c r="FA21" s="29"/>
      <c r="FB21" s="29"/>
      <c r="FC21" s="29"/>
      <c r="FD21" s="29"/>
      <c r="FE21" s="29"/>
      <c r="FF21" s="29"/>
      <c r="FG21" s="29"/>
      <c r="FH21" s="29"/>
      <c r="FI21" s="29"/>
      <c r="FJ21" s="29"/>
      <c r="FK21" s="29"/>
      <c r="FL21" s="29"/>
      <c r="FM21" s="29"/>
      <c r="FN21" s="29"/>
      <c r="FO21" s="29"/>
      <c r="FP21" s="29"/>
      <c r="FQ21" s="29"/>
      <c r="FR21" s="29"/>
      <c r="FS21" s="29"/>
      <c r="FT21" s="29"/>
      <c r="FU21" s="29"/>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29"/>
      <c r="HL21" s="29"/>
      <c r="HM21" s="29"/>
      <c r="HN21" s="29"/>
      <c r="HO21" s="29"/>
      <c r="HP21" s="29"/>
      <c r="HQ21" s="29"/>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row>
    <row r="22" customFormat="false" ht="22.5" hidden="false" customHeight="true" outlineLevel="0" collapsed="false">
      <c r="A22" s="29"/>
      <c r="B22" s="69" t="s">
        <v>136</v>
      </c>
      <c r="C22" s="70" t="s">
        <v>137</v>
      </c>
      <c r="D22" s="32" t="s">
        <v>37</v>
      </c>
      <c r="E22" s="71"/>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29"/>
      <c r="DW22" s="29"/>
      <c r="DX22" s="29"/>
      <c r="DY22" s="29"/>
      <c r="DZ22" s="29"/>
      <c r="EA22" s="29"/>
      <c r="EB22" s="29"/>
      <c r="EC22" s="29"/>
      <c r="ED22" s="29"/>
      <c r="EE22" s="29"/>
      <c r="EF22" s="29"/>
      <c r="EG22" s="29"/>
      <c r="EH22" s="29"/>
      <c r="EI22" s="29"/>
      <c r="EJ22" s="29"/>
      <c r="EK22" s="29"/>
      <c r="EL22" s="29"/>
      <c r="EM22" s="29"/>
      <c r="EN22" s="29"/>
      <c r="EO22" s="29"/>
      <c r="EP22" s="29"/>
      <c r="EQ22" s="29"/>
      <c r="ER22" s="29"/>
      <c r="ES22" s="29"/>
      <c r="ET22" s="29"/>
      <c r="EU22" s="29"/>
      <c r="EV22" s="29"/>
      <c r="EW22" s="29"/>
      <c r="EX22" s="29"/>
      <c r="EY22" s="29"/>
      <c r="EZ22" s="29"/>
      <c r="FA22" s="29"/>
      <c r="FB22" s="29"/>
      <c r="FC22" s="29"/>
      <c r="FD22" s="29"/>
      <c r="FE22" s="29"/>
      <c r="FF22" s="29"/>
      <c r="FG22" s="29"/>
      <c r="FH22" s="29"/>
      <c r="FI22" s="29"/>
      <c r="FJ22" s="29"/>
      <c r="FK22" s="29"/>
      <c r="FL22" s="29"/>
      <c r="FM22" s="29"/>
      <c r="FN22" s="29"/>
      <c r="FO22" s="29"/>
      <c r="FP22" s="29"/>
      <c r="FQ22" s="29"/>
      <c r="FR22" s="29"/>
      <c r="FS22" s="29"/>
      <c r="FT22" s="29"/>
      <c r="FU22" s="29"/>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29"/>
      <c r="HL22" s="29"/>
      <c r="HM22" s="29"/>
      <c r="HN22" s="29"/>
      <c r="HO22" s="29"/>
      <c r="HP22" s="29"/>
      <c r="HQ22" s="29"/>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row>
    <row r="23" customFormat="false" ht="22.5" hidden="false" customHeight="true" outlineLevel="0" collapsed="false">
      <c r="A23" s="29"/>
      <c r="B23" s="69" t="s">
        <v>138</v>
      </c>
      <c r="C23" s="70" t="s">
        <v>139</v>
      </c>
      <c r="D23" s="32" t="s">
        <v>27</v>
      </c>
      <c r="E23" s="71"/>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29"/>
      <c r="DW23" s="29"/>
      <c r="DX23" s="29"/>
      <c r="DY23" s="29"/>
      <c r="DZ23" s="29"/>
      <c r="EA23" s="29"/>
      <c r="EB23" s="29"/>
      <c r="EC23" s="29"/>
      <c r="ED23" s="29"/>
      <c r="EE23" s="29"/>
      <c r="EF23" s="29"/>
      <c r="EG23" s="29"/>
      <c r="EH23" s="29"/>
      <c r="EI23" s="29"/>
      <c r="EJ23" s="29"/>
      <c r="EK23" s="29"/>
      <c r="EL23" s="29"/>
      <c r="EM23" s="29"/>
      <c r="EN23" s="29"/>
      <c r="EO23" s="29"/>
      <c r="EP23" s="29"/>
      <c r="EQ23" s="29"/>
      <c r="ER23" s="29"/>
      <c r="ES23" s="29"/>
      <c r="ET23" s="29"/>
      <c r="EU23" s="29"/>
      <c r="EV23" s="29"/>
      <c r="EW23" s="29"/>
      <c r="EX23" s="29"/>
      <c r="EY23" s="29"/>
      <c r="EZ23" s="29"/>
      <c r="FA23" s="29"/>
      <c r="FB23" s="29"/>
      <c r="FC23" s="29"/>
      <c r="FD23" s="29"/>
      <c r="FE23" s="29"/>
      <c r="FF23" s="29"/>
      <c r="FG23" s="29"/>
      <c r="FH23" s="29"/>
      <c r="FI23" s="29"/>
      <c r="FJ23" s="29"/>
      <c r="FK23" s="29"/>
      <c r="FL23" s="29"/>
      <c r="FM23" s="29"/>
      <c r="FN23" s="29"/>
      <c r="FO23" s="29"/>
      <c r="FP23" s="29"/>
      <c r="FQ23" s="29"/>
      <c r="FR23" s="29"/>
      <c r="FS23" s="29"/>
      <c r="FT23" s="29"/>
      <c r="FU23" s="29"/>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29"/>
      <c r="HL23" s="29"/>
      <c r="HM23" s="29"/>
      <c r="HN23" s="29"/>
      <c r="HO23" s="29"/>
      <c r="HP23" s="29"/>
      <c r="HQ23" s="29"/>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row>
    <row r="24" customFormat="false" ht="34.3" hidden="false" customHeight="false" outlineLevel="0" collapsed="false">
      <c r="A24" s="29"/>
      <c r="B24" s="69" t="s">
        <v>140</v>
      </c>
      <c r="C24" s="72" t="s">
        <v>141</v>
      </c>
      <c r="D24" s="32" t="s">
        <v>27</v>
      </c>
      <c r="E24" s="71"/>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29"/>
      <c r="DW24" s="29"/>
      <c r="DX24" s="29"/>
      <c r="DY24" s="29"/>
      <c r="DZ24" s="29"/>
      <c r="EA24" s="29"/>
      <c r="EB24" s="29"/>
      <c r="EC24" s="29"/>
      <c r="ED24" s="29"/>
      <c r="EE24" s="29"/>
      <c r="EF24" s="29"/>
      <c r="EG24" s="29"/>
      <c r="EH24" s="29"/>
      <c r="EI24" s="29"/>
      <c r="EJ24" s="29"/>
      <c r="EK24" s="29"/>
      <c r="EL24" s="29"/>
      <c r="EM24" s="29"/>
      <c r="EN24" s="29"/>
      <c r="EO24" s="29"/>
      <c r="EP24" s="29"/>
      <c r="EQ24" s="29"/>
      <c r="ER24" s="29"/>
      <c r="ES24" s="29"/>
      <c r="ET24" s="29"/>
      <c r="EU24" s="29"/>
      <c r="EV24" s="29"/>
      <c r="EW24" s="29"/>
      <c r="EX24" s="29"/>
      <c r="EY24" s="29"/>
      <c r="EZ24" s="29"/>
      <c r="FA24" s="29"/>
      <c r="FB24" s="29"/>
      <c r="FC24" s="29"/>
      <c r="FD24" s="29"/>
      <c r="FE24" s="29"/>
      <c r="FF24" s="29"/>
      <c r="FG24" s="29"/>
      <c r="FH24" s="29"/>
      <c r="FI24" s="29"/>
      <c r="FJ24" s="29"/>
      <c r="FK24" s="29"/>
      <c r="FL24" s="29"/>
      <c r="FM24" s="29"/>
      <c r="FN24" s="29"/>
      <c r="FO24" s="29"/>
      <c r="FP24" s="29"/>
      <c r="FQ24" s="29"/>
      <c r="FR24" s="29"/>
      <c r="FS24" s="29"/>
      <c r="FT24" s="29"/>
      <c r="FU24" s="29"/>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29"/>
      <c r="HL24" s="29"/>
      <c r="HM24" s="29"/>
      <c r="HN24" s="29"/>
      <c r="HO24" s="29"/>
      <c r="HP24" s="29"/>
      <c r="HQ24" s="29"/>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row>
    <row r="25" customFormat="false" ht="22.5" hidden="false" customHeight="true" outlineLevel="0" collapsed="false">
      <c r="A25" s="29"/>
      <c r="B25" s="69" t="s">
        <v>142</v>
      </c>
      <c r="C25" s="70" t="s">
        <v>143</v>
      </c>
      <c r="D25" s="32" t="s">
        <v>37</v>
      </c>
      <c r="E25" s="71"/>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29"/>
      <c r="DW25" s="29"/>
      <c r="DX25" s="29"/>
      <c r="DY25" s="29"/>
      <c r="DZ25" s="29"/>
      <c r="EA25" s="29"/>
      <c r="EB25" s="29"/>
      <c r="EC25" s="29"/>
      <c r="ED25" s="29"/>
      <c r="EE25" s="29"/>
      <c r="EF25" s="29"/>
      <c r="EG25" s="29"/>
      <c r="EH25" s="29"/>
      <c r="EI25" s="29"/>
      <c r="EJ25" s="29"/>
      <c r="EK25" s="29"/>
      <c r="EL25" s="29"/>
      <c r="EM25" s="29"/>
      <c r="EN25" s="29"/>
      <c r="EO25" s="29"/>
      <c r="EP25" s="29"/>
      <c r="EQ25" s="29"/>
      <c r="ER25" s="29"/>
      <c r="ES25" s="29"/>
      <c r="ET25" s="29"/>
      <c r="EU25" s="29"/>
      <c r="EV25" s="29"/>
      <c r="EW25" s="29"/>
      <c r="EX25" s="29"/>
      <c r="EY25" s="29"/>
      <c r="EZ25" s="29"/>
      <c r="FA25" s="29"/>
      <c r="FB25" s="29"/>
      <c r="FC25" s="29"/>
      <c r="FD25" s="29"/>
      <c r="FE25" s="29"/>
      <c r="FF25" s="29"/>
      <c r="FG25" s="29"/>
      <c r="FH25" s="29"/>
      <c r="FI25" s="29"/>
      <c r="FJ25" s="29"/>
      <c r="FK25" s="29"/>
      <c r="FL25" s="29"/>
      <c r="FM25" s="29"/>
      <c r="FN25" s="29"/>
      <c r="FO25" s="29"/>
      <c r="FP25" s="29"/>
      <c r="FQ25" s="29"/>
      <c r="FR25" s="29"/>
      <c r="FS25" s="29"/>
      <c r="FT25" s="29"/>
      <c r="FU25" s="29"/>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29"/>
      <c r="HL25" s="29"/>
      <c r="HM25" s="29"/>
      <c r="HN25" s="29"/>
      <c r="HO25" s="29"/>
      <c r="HP25" s="29"/>
      <c r="HQ25" s="29"/>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row>
    <row r="26" customFormat="false" ht="22.5" hidden="false" customHeight="true" outlineLevel="0" collapsed="false">
      <c r="A26" s="29"/>
      <c r="B26" s="69" t="s">
        <v>144</v>
      </c>
      <c r="C26" s="70" t="s">
        <v>145</v>
      </c>
      <c r="D26" s="32" t="s">
        <v>37</v>
      </c>
      <c r="E26" s="71"/>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29"/>
      <c r="DW26" s="29"/>
      <c r="DX26" s="29"/>
      <c r="DY26" s="29"/>
      <c r="DZ26" s="29"/>
      <c r="EA26" s="29"/>
      <c r="EB26" s="29"/>
      <c r="EC26" s="29"/>
      <c r="ED26" s="29"/>
      <c r="EE26" s="29"/>
      <c r="EF26" s="29"/>
      <c r="EG26" s="29"/>
      <c r="EH26" s="29"/>
      <c r="EI26" s="29"/>
      <c r="EJ26" s="29"/>
      <c r="EK26" s="29"/>
      <c r="EL26" s="29"/>
      <c r="EM26" s="29"/>
      <c r="EN26" s="29"/>
      <c r="EO26" s="29"/>
      <c r="EP26" s="29"/>
      <c r="EQ26" s="29"/>
      <c r="ER26" s="29"/>
      <c r="ES26" s="29"/>
      <c r="ET26" s="29"/>
      <c r="EU26" s="29"/>
      <c r="EV26" s="29"/>
      <c r="EW26" s="29"/>
      <c r="EX26" s="29"/>
      <c r="EY26" s="29"/>
      <c r="EZ26" s="29"/>
      <c r="FA26" s="29"/>
      <c r="FB26" s="29"/>
      <c r="FC26" s="29"/>
      <c r="FD26" s="29"/>
      <c r="FE26" s="29"/>
      <c r="FF26" s="29"/>
      <c r="FG26" s="29"/>
      <c r="FH26" s="29"/>
      <c r="FI26" s="29"/>
      <c r="FJ26" s="29"/>
      <c r="FK26" s="29"/>
      <c r="FL26" s="29"/>
      <c r="FM26" s="29"/>
      <c r="FN26" s="29"/>
      <c r="FO26" s="29"/>
      <c r="FP26" s="29"/>
      <c r="FQ26" s="29"/>
      <c r="FR26" s="29"/>
      <c r="FS26" s="29"/>
      <c r="FT26" s="29"/>
      <c r="FU26" s="29"/>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29"/>
      <c r="HL26" s="29"/>
      <c r="HM26" s="29"/>
      <c r="HN26" s="29"/>
      <c r="HO26" s="29"/>
      <c r="HP26" s="29"/>
      <c r="HQ26" s="29"/>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row>
    <row r="27" customFormat="false" ht="22.5" hidden="false" customHeight="true" outlineLevel="0" collapsed="false">
      <c r="A27" s="29"/>
      <c r="B27" s="69" t="s">
        <v>147</v>
      </c>
      <c r="C27" s="70" t="s">
        <v>148</v>
      </c>
      <c r="D27" s="32" t="s">
        <v>37</v>
      </c>
      <c r="E27" s="71"/>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29"/>
      <c r="DW27" s="29"/>
      <c r="DX27" s="29"/>
      <c r="DY27" s="29"/>
      <c r="DZ27" s="29"/>
      <c r="EA27" s="29"/>
      <c r="EB27" s="29"/>
      <c r="EC27" s="29"/>
      <c r="ED27" s="29"/>
      <c r="EE27" s="29"/>
      <c r="EF27" s="29"/>
      <c r="EG27" s="29"/>
      <c r="EH27" s="29"/>
      <c r="EI27" s="29"/>
      <c r="EJ27" s="29"/>
      <c r="EK27" s="29"/>
      <c r="EL27" s="29"/>
      <c r="EM27" s="29"/>
      <c r="EN27" s="29"/>
      <c r="EO27" s="29"/>
      <c r="EP27" s="29"/>
      <c r="EQ27" s="29"/>
      <c r="ER27" s="29"/>
      <c r="ES27" s="29"/>
      <c r="ET27" s="29"/>
      <c r="EU27" s="29"/>
      <c r="EV27" s="29"/>
      <c r="EW27" s="29"/>
      <c r="EX27" s="29"/>
      <c r="EY27" s="29"/>
      <c r="EZ27" s="29"/>
      <c r="FA27" s="29"/>
      <c r="FB27" s="29"/>
      <c r="FC27" s="29"/>
      <c r="FD27" s="29"/>
      <c r="FE27" s="29"/>
      <c r="FF27" s="29"/>
      <c r="FG27" s="29"/>
      <c r="FH27" s="29"/>
      <c r="FI27" s="29"/>
      <c r="FJ27" s="29"/>
      <c r="FK27" s="29"/>
      <c r="FL27" s="29"/>
      <c r="FM27" s="29"/>
      <c r="FN27" s="29"/>
      <c r="FO27" s="29"/>
      <c r="FP27" s="29"/>
      <c r="FQ27" s="29"/>
      <c r="FR27" s="29"/>
      <c r="FS27" s="29"/>
      <c r="FT27" s="29"/>
      <c r="FU27" s="29"/>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29"/>
      <c r="HL27" s="29"/>
      <c r="HM27" s="29"/>
      <c r="HN27" s="29"/>
      <c r="HO27" s="29"/>
      <c r="HP27" s="29"/>
      <c r="HQ27" s="29"/>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row>
    <row r="28" customFormat="false" ht="22.5" hidden="false" customHeight="true" outlineLevel="0" collapsed="false">
      <c r="A28" s="29"/>
      <c r="B28" s="69" t="s">
        <v>149</v>
      </c>
      <c r="C28" s="70" t="s">
        <v>150</v>
      </c>
      <c r="D28" s="32" t="s">
        <v>37</v>
      </c>
      <c r="E28" s="71"/>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29"/>
      <c r="EX28" s="29"/>
      <c r="EY28" s="29"/>
      <c r="EZ28" s="29"/>
      <c r="FA28" s="29"/>
      <c r="FB28" s="29"/>
      <c r="FC28" s="29"/>
      <c r="FD28" s="29"/>
      <c r="FE28" s="29"/>
      <c r="FF28" s="29"/>
      <c r="FG28" s="29"/>
      <c r="FH28" s="29"/>
      <c r="FI28" s="29"/>
      <c r="FJ28" s="29"/>
      <c r="FK28" s="29"/>
      <c r="FL28" s="29"/>
      <c r="FM28" s="29"/>
      <c r="FN28" s="29"/>
      <c r="FO28" s="29"/>
      <c r="FP28" s="29"/>
      <c r="FQ28" s="29"/>
      <c r="FR28" s="29"/>
      <c r="FS28" s="29"/>
      <c r="FT28" s="29"/>
      <c r="FU28" s="29"/>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29"/>
      <c r="HL28" s="29"/>
      <c r="HM28" s="29"/>
      <c r="HN28" s="29"/>
      <c r="HO28" s="29"/>
      <c r="HP28" s="29"/>
      <c r="HQ28" s="29"/>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row>
    <row r="29" customFormat="false" ht="22.5" hidden="false" customHeight="true" outlineLevel="0" collapsed="false">
      <c r="A29" s="29"/>
      <c r="B29" s="69" t="s">
        <v>151</v>
      </c>
      <c r="C29" s="70" t="s">
        <v>152</v>
      </c>
      <c r="D29" s="32" t="s">
        <v>37</v>
      </c>
      <c r="E29" s="71"/>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29"/>
      <c r="DW29" s="29"/>
      <c r="DX29" s="29"/>
      <c r="DY29" s="29"/>
      <c r="DZ29" s="29"/>
      <c r="EA29" s="29"/>
      <c r="EB29" s="29"/>
      <c r="EC29" s="29"/>
      <c r="ED29" s="29"/>
      <c r="EE29" s="29"/>
      <c r="EF29" s="29"/>
      <c r="EG29" s="29"/>
      <c r="EH29" s="29"/>
      <c r="EI29" s="29"/>
      <c r="EJ29" s="29"/>
      <c r="EK29" s="29"/>
      <c r="EL29" s="29"/>
      <c r="EM29" s="29"/>
      <c r="EN29" s="29"/>
      <c r="EO29" s="29"/>
      <c r="EP29" s="29"/>
      <c r="EQ29" s="29"/>
      <c r="ER29" s="29"/>
      <c r="ES29" s="29"/>
      <c r="ET29" s="29"/>
      <c r="EU29" s="29"/>
      <c r="EV29" s="29"/>
      <c r="EW29" s="29"/>
      <c r="EX29" s="29"/>
      <c r="EY29" s="29"/>
      <c r="EZ29" s="29"/>
      <c r="FA29" s="29"/>
      <c r="FB29" s="29"/>
      <c r="FC29" s="29"/>
      <c r="FD29" s="29"/>
      <c r="FE29" s="29"/>
      <c r="FF29" s="29"/>
      <c r="FG29" s="29"/>
      <c r="FH29" s="29"/>
      <c r="FI29" s="29"/>
      <c r="FJ29" s="29"/>
      <c r="FK29" s="29"/>
      <c r="FL29" s="29"/>
      <c r="FM29" s="29"/>
      <c r="FN29" s="29"/>
      <c r="FO29" s="29"/>
      <c r="FP29" s="29"/>
      <c r="FQ29" s="29"/>
      <c r="FR29" s="29"/>
      <c r="FS29" s="29"/>
      <c r="FT29" s="29"/>
      <c r="FU29" s="29"/>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29"/>
      <c r="HL29" s="29"/>
      <c r="HM29" s="29"/>
      <c r="HN29" s="29"/>
      <c r="HO29" s="29"/>
      <c r="HP29" s="29"/>
      <c r="HQ29" s="29"/>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row>
    <row r="30" customFormat="false" ht="22.5" hidden="false" customHeight="true" outlineLevel="0" collapsed="false">
      <c r="A30" s="29"/>
      <c r="B30" s="69" t="s">
        <v>153</v>
      </c>
      <c r="C30" s="70" t="s">
        <v>154</v>
      </c>
      <c r="D30" s="32" t="s">
        <v>37</v>
      </c>
      <c r="E30" s="71"/>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row>
    <row r="31" customFormat="false" ht="22.5" hidden="false" customHeight="true" outlineLevel="0" collapsed="false">
      <c r="A31" s="29"/>
      <c r="B31" s="69" t="s">
        <v>155</v>
      </c>
      <c r="C31" s="70" t="s">
        <v>156</v>
      </c>
      <c r="D31" s="32" t="s">
        <v>37</v>
      </c>
      <c r="E31" s="71"/>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29"/>
      <c r="DW31" s="29"/>
      <c r="DX31" s="29"/>
      <c r="DY31" s="29"/>
      <c r="DZ31" s="29"/>
      <c r="EA31" s="29"/>
      <c r="EB31" s="29"/>
      <c r="EC31" s="29"/>
      <c r="ED31" s="29"/>
      <c r="EE31" s="29"/>
      <c r="EF31" s="29"/>
      <c r="EG31" s="29"/>
      <c r="EH31" s="29"/>
      <c r="EI31" s="29"/>
      <c r="EJ31" s="29"/>
      <c r="EK31" s="29"/>
      <c r="EL31" s="29"/>
      <c r="EM31" s="29"/>
      <c r="EN31" s="29"/>
      <c r="EO31" s="29"/>
      <c r="EP31" s="29"/>
      <c r="EQ31" s="29"/>
      <c r="ER31" s="29"/>
      <c r="ES31" s="29"/>
      <c r="ET31" s="29"/>
      <c r="EU31" s="29"/>
      <c r="EV31" s="29"/>
      <c r="EW31" s="29"/>
      <c r="EX31" s="29"/>
      <c r="EY31" s="29"/>
      <c r="EZ31" s="29"/>
      <c r="FA31" s="29"/>
      <c r="FB31" s="29"/>
      <c r="FC31" s="29"/>
      <c r="FD31" s="29"/>
      <c r="FE31" s="29"/>
      <c r="FF31" s="29"/>
      <c r="FG31" s="29"/>
      <c r="FH31" s="29"/>
      <c r="FI31" s="29"/>
      <c r="FJ31" s="29"/>
      <c r="FK31" s="29"/>
      <c r="FL31" s="29"/>
      <c r="FM31" s="29"/>
      <c r="FN31" s="29"/>
      <c r="FO31" s="29"/>
      <c r="FP31" s="29"/>
      <c r="FQ31" s="29"/>
      <c r="FR31" s="29"/>
      <c r="FS31" s="29"/>
      <c r="FT31" s="29"/>
      <c r="FU31" s="29"/>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29"/>
      <c r="HL31" s="29"/>
      <c r="HM31" s="29"/>
      <c r="HN31" s="29"/>
      <c r="HO31" s="29"/>
      <c r="HP31" s="29"/>
      <c r="HQ31" s="29"/>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row>
    <row r="32" customFormat="false" ht="22.5" hidden="false" customHeight="true" outlineLevel="0" collapsed="false">
      <c r="A32" s="29"/>
      <c r="B32" s="69" t="s">
        <v>157</v>
      </c>
      <c r="C32" s="70" t="s">
        <v>158</v>
      </c>
      <c r="D32" s="32" t="s">
        <v>37</v>
      </c>
      <c r="E32" s="71"/>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row>
    <row r="33" customFormat="false" ht="22.5" hidden="false" customHeight="true" outlineLevel="0" collapsed="false">
      <c r="A33" s="29"/>
      <c r="B33" s="69" t="s">
        <v>159</v>
      </c>
      <c r="C33" s="70" t="s">
        <v>160</v>
      </c>
      <c r="D33" s="32" t="s">
        <v>37</v>
      </c>
      <c r="E33" s="71"/>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29"/>
      <c r="DW33" s="29"/>
      <c r="DX33" s="29"/>
      <c r="DY33" s="29"/>
      <c r="DZ33" s="29"/>
      <c r="EA33" s="29"/>
      <c r="EB33" s="29"/>
      <c r="EC33" s="29"/>
      <c r="ED33" s="29"/>
      <c r="EE33" s="29"/>
      <c r="EF33" s="29"/>
      <c r="EG33" s="29"/>
      <c r="EH33" s="29"/>
      <c r="EI33" s="29"/>
      <c r="EJ33" s="29"/>
      <c r="EK33" s="29"/>
      <c r="EL33" s="29"/>
      <c r="EM33" s="29"/>
      <c r="EN33" s="29"/>
      <c r="EO33" s="29"/>
      <c r="EP33" s="29"/>
      <c r="EQ33" s="29"/>
      <c r="ER33" s="29"/>
      <c r="ES33" s="29"/>
      <c r="ET33" s="29"/>
      <c r="EU33" s="29"/>
      <c r="EV33" s="29"/>
      <c r="EW33" s="29"/>
      <c r="EX33" s="29"/>
      <c r="EY33" s="29"/>
      <c r="EZ33" s="29"/>
      <c r="FA33" s="29"/>
      <c r="FB33" s="29"/>
      <c r="FC33" s="29"/>
      <c r="FD33" s="29"/>
      <c r="FE33" s="29"/>
      <c r="FF33" s="29"/>
      <c r="FG33" s="29"/>
      <c r="FH33" s="29"/>
      <c r="FI33" s="29"/>
      <c r="FJ33" s="29"/>
      <c r="FK33" s="29"/>
      <c r="FL33" s="29"/>
      <c r="FM33" s="29"/>
      <c r="FN33" s="29"/>
      <c r="FO33" s="29"/>
      <c r="FP33" s="29"/>
      <c r="FQ33" s="29"/>
      <c r="FR33" s="29"/>
      <c r="FS33" s="29"/>
      <c r="FT33" s="29"/>
      <c r="FU33" s="29"/>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29"/>
      <c r="HL33" s="29"/>
      <c r="HM33" s="29"/>
      <c r="HN33" s="29"/>
      <c r="HO33" s="29"/>
      <c r="HP33" s="29"/>
      <c r="HQ33" s="29"/>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row>
    <row r="34" customFormat="false" ht="22.5" hidden="false" customHeight="true" outlineLevel="0" collapsed="false">
      <c r="A34" s="29"/>
      <c r="B34" s="69" t="s">
        <v>161</v>
      </c>
      <c r="C34" s="70" t="s">
        <v>162</v>
      </c>
      <c r="D34" s="32" t="s">
        <v>27</v>
      </c>
      <c r="E34" s="71"/>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29"/>
      <c r="DW34" s="29"/>
      <c r="DX34" s="29"/>
      <c r="DY34" s="29"/>
      <c r="DZ34" s="29"/>
      <c r="EA34" s="29"/>
      <c r="EB34" s="29"/>
      <c r="EC34" s="29"/>
      <c r="ED34" s="29"/>
      <c r="EE34" s="29"/>
      <c r="EF34" s="29"/>
      <c r="EG34" s="29"/>
      <c r="EH34" s="29"/>
      <c r="EI34" s="29"/>
      <c r="EJ34" s="29"/>
      <c r="EK34" s="29"/>
      <c r="EL34" s="29"/>
      <c r="EM34" s="29"/>
      <c r="EN34" s="29"/>
      <c r="EO34" s="29"/>
      <c r="EP34" s="29"/>
      <c r="EQ34" s="29"/>
      <c r="ER34" s="29"/>
      <c r="ES34" s="29"/>
      <c r="ET34" s="29"/>
      <c r="EU34" s="29"/>
      <c r="EV34" s="29"/>
      <c r="EW34" s="29"/>
      <c r="EX34" s="29"/>
      <c r="EY34" s="29"/>
      <c r="EZ34" s="29"/>
      <c r="FA34" s="29"/>
      <c r="FB34" s="29"/>
      <c r="FC34" s="29"/>
      <c r="FD34" s="29"/>
      <c r="FE34" s="29"/>
      <c r="FF34" s="29"/>
      <c r="FG34" s="29"/>
      <c r="FH34" s="29"/>
      <c r="FI34" s="29"/>
      <c r="FJ34" s="29"/>
      <c r="FK34" s="29"/>
      <c r="FL34" s="29"/>
      <c r="FM34" s="29"/>
      <c r="FN34" s="29"/>
      <c r="FO34" s="29"/>
      <c r="FP34" s="29"/>
      <c r="FQ34" s="29"/>
      <c r="FR34" s="29"/>
      <c r="FS34" s="29"/>
      <c r="FT34" s="29"/>
      <c r="FU34" s="29"/>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29"/>
      <c r="HL34" s="29"/>
      <c r="HM34" s="29"/>
      <c r="HN34" s="29"/>
      <c r="HO34" s="29"/>
      <c r="HP34" s="29"/>
      <c r="HQ34" s="29"/>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row>
    <row r="35" customFormat="false" ht="22.5" hidden="false" customHeight="true" outlineLevel="0" collapsed="false">
      <c r="A35" s="29"/>
      <c r="B35" s="69" t="s">
        <v>163</v>
      </c>
      <c r="C35" s="70" t="s">
        <v>164</v>
      </c>
      <c r="D35" s="32" t="s">
        <v>37</v>
      </c>
      <c r="E35" s="71"/>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c r="DV35" s="29"/>
      <c r="DW35" s="29"/>
      <c r="DX35" s="29"/>
      <c r="DY35" s="29"/>
      <c r="DZ35" s="29"/>
      <c r="EA35" s="29"/>
      <c r="EB35" s="29"/>
      <c r="EC35" s="29"/>
      <c r="ED35" s="29"/>
      <c r="EE35" s="29"/>
      <c r="EF35" s="29"/>
      <c r="EG35" s="29"/>
      <c r="EH35" s="29"/>
      <c r="EI35" s="29"/>
      <c r="EJ35" s="29"/>
      <c r="EK35" s="29"/>
      <c r="EL35" s="29"/>
      <c r="EM35" s="29"/>
      <c r="EN35" s="29"/>
      <c r="EO35" s="29"/>
      <c r="EP35" s="29"/>
      <c r="EQ35" s="29"/>
      <c r="ER35" s="29"/>
      <c r="ES35" s="29"/>
      <c r="ET35" s="29"/>
      <c r="EU35" s="29"/>
      <c r="EV35" s="29"/>
      <c r="EW35" s="29"/>
      <c r="EX35" s="29"/>
      <c r="EY35" s="29"/>
      <c r="EZ35" s="29"/>
      <c r="FA35" s="29"/>
      <c r="FB35" s="29"/>
      <c r="FC35" s="29"/>
      <c r="FD35" s="29"/>
      <c r="FE35" s="29"/>
      <c r="FF35" s="29"/>
      <c r="FG35" s="29"/>
      <c r="FH35" s="29"/>
      <c r="FI35" s="29"/>
      <c r="FJ35" s="29"/>
      <c r="FK35" s="29"/>
      <c r="FL35" s="29"/>
      <c r="FM35" s="29"/>
      <c r="FN35" s="29"/>
      <c r="FO35" s="29"/>
      <c r="FP35" s="29"/>
      <c r="FQ35" s="29"/>
      <c r="FR35" s="29"/>
      <c r="FS35" s="29"/>
      <c r="FT35" s="29"/>
      <c r="FU35" s="29"/>
      <c r="FV35" s="29"/>
      <c r="FW35" s="29"/>
      <c r="FX35" s="29"/>
      <c r="FY35" s="29"/>
      <c r="FZ35" s="29"/>
      <c r="GA35" s="29"/>
      <c r="GB35" s="29"/>
      <c r="GC35" s="29"/>
      <c r="GD35" s="29"/>
      <c r="GE35" s="29"/>
      <c r="GF35" s="29"/>
      <c r="GG35" s="29"/>
      <c r="GH35" s="29"/>
      <c r="GI35" s="29"/>
      <c r="GJ35" s="29"/>
      <c r="GK35" s="29"/>
      <c r="GL35" s="29"/>
      <c r="GM35" s="29"/>
      <c r="GN35" s="29"/>
      <c r="GO35" s="29"/>
      <c r="GP35" s="29"/>
      <c r="GQ35" s="29"/>
      <c r="GR35" s="29"/>
      <c r="GS35" s="29"/>
      <c r="GT35" s="29"/>
      <c r="GU35" s="29"/>
      <c r="GV35" s="29"/>
      <c r="GW35" s="29"/>
      <c r="GX35" s="29"/>
      <c r="GY35" s="29"/>
      <c r="GZ35" s="29"/>
      <c r="HA35" s="29"/>
      <c r="HB35" s="29"/>
      <c r="HC35" s="29"/>
      <c r="HD35" s="29"/>
      <c r="HE35" s="29"/>
      <c r="HF35" s="29"/>
      <c r="HG35" s="29"/>
      <c r="HH35" s="29"/>
      <c r="HI35" s="29"/>
      <c r="HJ35" s="29"/>
      <c r="HK35" s="29"/>
      <c r="HL35" s="29"/>
      <c r="HM35" s="29"/>
      <c r="HN35" s="29"/>
      <c r="HO35" s="29"/>
      <c r="HP35" s="29"/>
      <c r="HQ35" s="29"/>
      <c r="HR35" s="29"/>
      <c r="HS35" s="29"/>
      <c r="HT35" s="29"/>
      <c r="HU35" s="29"/>
      <c r="HV35" s="29"/>
      <c r="HW35" s="29"/>
      <c r="HX35" s="29"/>
      <c r="HY35" s="29"/>
      <c r="HZ35" s="29"/>
      <c r="IA35" s="29"/>
      <c r="IB35" s="29"/>
      <c r="IC35" s="29"/>
      <c r="ID35" s="29"/>
      <c r="IE35" s="29"/>
      <c r="IF35" s="29"/>
      <c r="IG35" s="29"/>
      <c r="IH35" s="29"/>
      <c r="II35" s="29"/>
      <c r="IJ35" s="29"/>
      <c r="IK35" s="29"/>
      <c r="IL35" s="29"/>
      <c r="IM35" s="29"/>
      <c r="IN35" s="29"/>
      <c r="IO35" s="29"/>
      <c r="IP35" s="29"/>
      <c r="IQ35" s="29"/>
      <c r="IR35" s="29"/>
    </row>
    <row r="36" customFormat="false" ht="22.5" hidden="false" customHeight="true" outlineLevel="0" collapsed="false">
      <c r="A36" s="29"/>
      <c r="B36" s="69" t="s">
        <v>165</v>
      </c>
      <c r="C36" s="70" t="s">
        <v>166</v>
      </c>
      <c r="D36" s="32" t="s">
        <v>37</v>
      </c>
      <c r="E36" s="71"/>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29"/>
      <c r="DW36" s="29"/>
      <c r="DX36" s="29"/>
      <c r="DY36" s="29"/>
      <c r="DZ36" s="29"/>
      <c r="EA36" s="29"/>
      <c r="EB36" s="29"/>
      <c r="EC36" s="29"/>
      <c r="ED36" s="29"/>
      <c r="EE36" s="29"/>
      <c r="EF36" s="29"/>
      <c r="EG36" s="29"/>
      <c r="EH36" s="29"/>
      <c r="EI36" s="29"/>
      <c r="EJ36" s="29"/>
      <c r="EK36" s="29"/>
      <c r="EL36" s="29"/>
      <c r="EM36" s="29"/>
      <c r="EN36" s="29"/>
      <c r="EO36" s="29"/>
      <c r="EP36" s="29"/>
      <c r="EQ36" s="29"/>
      <c r="ER36" s="29"/>
      <c r="ES36" s="29"/>
      <c r="ET36" s="29"/>
      <c r="EU36" s="29"/>
      <c r="EV36" s="29"/>
      <c r="EW36" s="29"/>
      <c r="EX36" s="29"/>
      <c r="EY36" s="29"/>
      <c r="EZ36" s="29"/>
      <c r="FA36" s="29"/>
      <c r="FB36" s="29"/>
      <c r="FC36" s="29"/>
      <c r="FD36" s="29"/>
      <c r="FE36" s="29"/>
      <c r="FF36" s="29"/>
      <c r="FG36" s="29"/>
      <c r="FH36" s="29"/>
      <c r="FI36" s="29"/>
      <c r="FJ36" s="29"/>
      <c r="FK36" s="29"/>
      <c r="FL36" s="29"/>
      <c r="FM36" s="29"/>
      <c r="FN36" s="29"/>
      <c r="FO36" s="29"/>
      <c r="FP36" s="29"/>
      <c r="FQ36" s="29"/>
      <c r="FR36" s="29"/>
      <c r="FS36" s="29"/>
      <c r="FT36" s="29"/>
      <c r="FU36" s="29"/>
      <c r="FV36" s="29"/>
      <c r="FW36" s="29"/>
      <c r="FX36" s="29"/>
      <c r="FY36" s="29"/>
      <c r="FZ36" s="29"/>
      <c r="GA36" s="29"/>
      <c r="GB36" s="29"/>
      <c r="GC36" s="29"/>
      <c r="GD36" s="29"/>
      <c r="GE36" s="29"/>
      <c r="GF36" s="29"/>
      <c r="GG36" s="29"/>
      <c r="GH36" s="29"/>
      <c r="GI36" s="29"/>
      <c r="GJ36" s="29"/>
      <c r="GK36" s="29"/>
      <c r="GL36" s="29"/>
      <c r="GM36" s="29"/>
      <c r="GN36" s="29"/>
      <c r="GO36" s="29"/>
      <c r="GP36" s="29"/>
      <c r="GQ36" s="29"/>
      <c r="GR36" s="29"/>
      <c r="GS36" s="29"/>
      <c r="GT36" s="29"/>
      <c r="GU36" s="29"/>
      <c r="GV36" s="29"/>
      <c r="GW36" s="29"/>
      <c r="GX36" s="29"/>
      <c r="GY36" s="29"/>
      <c r="GZ36" s="29"/>
      <c r="HA36" s="29"/>
      <c r="HB36" s="29"/>
      <c r="HC36" s="29"/>
      <c r="HD36" s="29"/>
      <c r="HE36" s="29"/>
      <c r="HF36" s="29"/>
      <c r="HG36" s="29"/>
      <c r="HH36" s="29"/>
      <c r="HI36" s="29"/>
      <c r="HJ36" s="29"/>
      <c r="HK36" s="29"/>
      <c r="HL36" s="29"/>
      <c r="HM36" s="29"/>
      <c r="HN36" s="29"/>
      <c r="HO36" s="29"/>
      <c r="HP36" s="29"/>
      <c r="HQ36" s="29"/>
      <c r="HR36" s="29"/>
      <c r="HS36" s="29"/>
      <c r="HT36" s="29"/>
      <c r="HU36" s="29"/>
      <c r="HV36" s="29"/>
      <c r="HW36" s="29"/>
      <c r="HX36" s="29"/>
      <c r="HY36" s="29"/>
      <c r="HZ36" s="29"/>
      <c r="IA36" s="29"/>
      <c r="IB36" s="29"/>
      <c r="IC36" s="29"/>
      <c r="ID36" s="29"/>
      <c r="IE36" s="29"/>
      <c r="IF36" s="29"/>
      <c r="IG36" s="29"/>
      <c r="IH36" s="29"/>
      <c r="II36" s="29"/>
      <c r="IJ36" s="29"/>
      <c r="IK36" s="29"/>
      <c r="IL36" s="29"/>
      <c r="IM36" s="29"/>
      <c r="IN36" s="29"/>
      <c r="IO36" s="29"/>
      <c r="IP36" s="29"/>
      <c r="IQ36" s="29"/>
      <c r="IR36" s="29"/>
    </row>
    <row r="37" customFormat="false" ht="22.5" hidden="false" customHeight="true" outlineLevel="0" collapsed="false">
      <c r="A37" s="29"/>
      <c r="B37" s="69" t="s">
        <v>167</v>
      </c>
      <c r="C37" s="70" t="s">
        <v>168</v>
      </c>
      <c r="D37" s="32" t="s">
        <v>37</v>
      </c>
      <c r="E37" s="71"/>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29"/>
      <c r="DW37" s="29"/>
      <c r="DX37" s="29"/>
      <c r="DY37" s="29"/>
      <c r="DZ37" s="29"/>
      <c r="EA37" s="29"/>
      <c r="EB37" s="29"/>
      <c r="EC37" s="29"/>
      <c r="ED37" s="29"/>
      <c r="EE37" s="29"/>
      <c r="EF37" s="29"/>
      <c r="EG37" s="29"/>
      <c r="EH37" s="29"/>
      <c r="EI37" s="29"/>
      <c r="EJ37" s="29"/>
      <c r="EK37" s="29"/>
      <c r="EL37" s="29"/>
      <c r="EM37" s="29"/>
      <c r="EN37" s="29"/>
      <c r="EO37" s="29"/>
      <c r="EP37" s="29"/>
      <c r="EQ37" s="29"/>
      <c r="ER37" s="29"/>
      <c r="ES37" s="29"/>
      <c r="ET37" s="29"/>
      <c r="EU37" s="29"/>
      <c r="EV37" s="29"/>
      <c r="EW37" s="29"/>
      <c r="EX37" s="29"/>
      <c r="EY37" s="29"/>
      <c r="EZ37" s="29"/>
      <c r="FA37" s="29"/>
      <c r="FB37" s="29"/>
      <c r="FC37" s="29"/>
      <c r="FD37" s="29"/>
      <c r="FE37" s="29"/>
      <c r="FF37" s="29"/>
      <c r="FG37" s="29"/>
      <c r="FH37" s="29"/>
      <c r="FI37" s="29"/>
      <c r="FJ37" s="29"/>
      <c r="FK37" s="29"/>
      <c r="FL37" s="29"/>
      <c r="FM37" s="29"/>
      <c r="FN37" s="29"/>
      <c r="FO37" s="29"/>
      <c r="FP37" s="29"/>
      <c r="FQ37" s="29"/>
      <c r="FR37" s="29"/>
      <c r="FS37" s="29"/>
      <c r="FT37" s="29"/>
      <c r="FU37" s="29"/>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29"/>
      <c r="HL37" s="29"/>
      <c r="HM37" s="29"/>
      <c r="HN37" s="29"/>
      <c r="HO37" s="29"/>
      <c r="HP37" s="29"/>
      <c r="HQ37" s="29"/>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row>
    <row r="38" customFormat="false" ht="22.5" hidden="false" customHeight="true" outlineLevel="0" collapsed="false">
      <c r="A38" s="29"/>
      <c r="B38" s="69" t="s">
        <v>169</v>
      </c>
      <c r="C38" s="70" t="s">
        <v>170</v>
      </c>
      <c r="D38" s="32" t="s">
        <v>37</v>
      </c>
      <c r="E38" s="71"/>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29"/>
      <c r="DW38" s="29"/>
      <c r="DX38" s="29"/>
      <c r="DY38" s="29"/>
      <c r="DZ38" s="29"/>
      <c r="EA38" s="29"/>
      <c r="EB38" s="29"/>
      <c r="EC38" s="29"/>
      <c r="ED38" s="29"/>
      <c r="EE38" s="29"/>
      <c r="EF38" s="29"/>
      <c r="EG38" s="29"/>
      <c r="EH38" s="29"/>
      <c r="EI38" s="29"/>
      <c r="EJ38" s="29"/>
      <c r="EK38" s="29"/>
      <c r="EL38" s="29"/>
      <c r="EM38" s="29"/>
      <c r="EN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c r="FQ38" s="29"/>
      <c r="FR38" s="29"/>
      <c r="FS38" s="29"/>
      <c r="FT38" s="29"/>
      <c r="FU38" s="29"/>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c r="HQ38" s="29"/>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row>
    <row r="39" customFormat="false" ht="22.5" hidden="false" customHeight="true" outlineLevel="0" collapsed="false">
      <c r="A39" s="29"/>
      <c r="B39" s="69" t="s">
        <v>171</v>
      </c>
      <c r="C39" s="70" t="s">
        <v>172</v>
      </c>
      <c r="D39" s="32" t="s">
        <v>37</v>
      </c>
      <c r="E39" s="71"/>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29"/>
      <c r="DW39" s="29"/>
      <c r="DX39" s="29"/>
      <c r="DY39" s="29"/>
      <c r="DZ39" s="29"/>
      <c r="EA39" s="29"/>
      <c r="EB39" s="29"/>
      <c r="EC39" s="29"/>
      <c r="ED39" s="29"/>
      <c r="EE39" s="29"/>
      <c r="EF39" s="29"/>
      <c r="EG39" s="29"/>
      <c r="EH39" s="29"/>
      <c r="EI39" s="29"/>
      <c r="EJ39" s="29"/>
      <c r="EK39" s="29"/>
      <c r="EL39" s="29"/>
      <c r="EM39" s="29"/>
      <c r="EN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c r="FL39" s="29"/>
      <c r="FM39" s="29"/>
      <c r="FN39" s="29"/>
      <c r="FO39" s="29"/>
      <c r="FP39" s="29"/>
      <c r="FQ39" s="29"/>
      <c r="FR39" s="29"/>
      <c r="FS39" s="29"/>
      <c r="FT39" s="29"/>
      <c r="FU39" s="29"/>
      <c r="FV39" s="29"/>
      <c r="FW39" s="29"/>
      <c r="FX39" s="29"/>
      <c r="FY39" s="29"/>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29"/>
      <c r="HL39" s="29"/>
      <c r="HM39" s="29"/>
      <c r="HN39" s="29"/>
      <c r="HO39" s="29"/>
      <c r="HP39" s="29"/>
      <c r="HQ39" s="29"/>
      <c r="HR39" s="29"/>
      <c r="HS39" s="29"/>
      <c r="HT39" s="29"/>
      <c r="HU39" s="29"/>
      <c r="HV39" s="29"/>
      <c r="HW39" s="29"/>
      <c r="HX39" s="29"/>
      <c r="HY39" s="29"/>
      <c r="HZ39" s="29"/>
      <c r="IA39" s="29"/>
      <c r="IB39" s="29"/>
      <c r="IC39" s="29"/>
      <c r="ID39" s="29"/>
      <c r="IE39" s="29"/>
      <c r="IF39" s="29"/>
      <c r="IG39" s="29"/>
      <c r="IH39" s="29"/>
      <c r="II39" s="29"/>
      <c r="IJ39" s="29"/>
      <c r="IK39" s="29"/>
      <c r="IL39" s="29"/>
      <c r="IM39" s="29"/>
      <c r="IN39" s="29"/>
      <c r="IO39" s="29"/>
      <c r="IP39" s="29"/>
      <c r="IQ39" s="29"/>
      <c r="IR39" s="29"/>
    </row>
    <row r="40" customFormat="false" ht="22.5" hidden="false" customHeight="true" outlineLevel="0" collapsed="false">
      <c r="A40" s="29"/>
      <c r="B40" s="69" t="s">
        <v>173</v>
      </c>
      <c r="C40" s="70" t="s">
        <v>174</v>
      </c>
      <c r="D40" s="32" t="s">
        <v>37</v>
      </c>
      <c r="E40" s="71"/>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29"/>
      <c r="DW40" s="29"/>
      <c r="DX40" s="29"/>
      <c r="DY40" s="29"/>
      <c r="DZ40" s="29"/>
      <c r="EA40" s="29"/>
      <c r="EB40" s="29"/>
      <c r="EC40" s="29"/>
      <c r="ED40" s="29"/>
      <c r="EE40" s="29"/>
      <c r="EF40" s="29"/>
      <c r="EG40" s="29"/>
      <c r="EH40" s="29"/>
      <c r="EI40" s="29"/>
      <c r="EJ40" s="29"/>
      <c r="EK40" s="29"/>
      <c r="EL40" s="29"/>
      <c r="EM40" s="29"/>
      <c r="EN40" s="29"/>
      <c r="EO40" s="29"/>
      <c r="EP40" s="29"/>
      <c r="EQ40" s="29"/>
      <c r="ER40" s="29"/>
      <c r="ES40" s="29"/>
      <c r="ET40" s="29"/>
      <c r="EU40" s="29"/>
      <c r="EV40" s="29"/>
      <c r="EW40" s="29"/>
      <c r="EX40" s="29"/>
      <c r="EY40" s="29"/>
      <c r="EZ40" s="29"/>
      <c r="FA40" s="29"/>
      <c r="FB40" s="29"/>
      <c r="FC40" s="29"/>
      <c r="FD40" s="29"/>
      <c r="FE40" s="29"/>
      <c r="FF40" s="29"/>
      <c r="FG40" s="29"/>
      <c r="FH40" s="29"/>
      <c r="FI40" s="29"/>
      <c r="FJ40" s="29"/>
      <c r="FK40" s="29"/>
      <c r="FL40" s="29"/>
      <c r="FM40" s="29"/>
      <c r="FN40" s="29"/>
      <c r="FO40" s="29"/>
      <c r="FP40" s="29"/>
      <c r="FQ40" s="29"/>
      <c r="FR40" s="29"/>
      <c r="FS40" s="29"/>
      <c r="FT40" s="29"/>
      <c r="FU40" s="29"/>
      <c r="FV40" s="29"/>
      <c r="FW40" s="29"/>
      <c r="FX40" s="29"/>
      <c r="FY40" s="29"/>
      <c r="FZ40" s="29"/>
      <c r="GA40" s="29"/>
      <c r="GB40" s="29"/>
      <c r="GC40" s="29"/>
      <c r="GD40" s="29"/>
      <c r="GE40" s="29"/>
      <c r="GF40" s="29"/>
      <c r="GG40" s="29"/>
      <c r="GH40" s="29"/>
      <c r="GI40" s="29"/>
      <c r="GJ40" s="29"/>
      <c r="GK40" s="29"/>
      <c r="GL40" s="29"/>
      <c r="GM40" s="29"/>
      <c r="GN40" s="29"/>
      <c r="GO40" s="29"/>
      <c r="GP40" s="29"/>
      <c r="GQ40" s="29"/>
      <c r="GR40" s="29"/>
      <c r="GS40" s="29"/>
      <c r="GT40" s="29"/>
      <c r="GU40" s="29"/>
      <c r="GV40" s="29"/>
      <c r="GW40" s="29"/>
      <c r="GX40" s="29"/>
      <c r="GY40" s="29"/>
      <c r="GZ40" s="29"/>
      <c r="HA40" s="29"/>
      <c r="HB40" s="29"/>
      <c r="HC40" s="29"/>
      <c r="HD40" s="29"/>
      <c r="HE40" s="29"/>
      <c r="HF40" s="29"/>
      <c r="HG40" s="29"/>
      <c r="HH40" s="29"/>
      <c r="HI40" s="29"/>
      <c r="HJ40" s="29"/>
      <c r="HK40" s="29"/>
      <c r="HL40" s="29"/>
      <c r="HM40" s="29"/>
      <c r="HN40" s="29"/>
      <c r="HO40" s="29"/>
      <c r="HP40" s="29"/>
      <c r="HQ40" s="29"/>
      <c r="HR40" s="29"/>
      <c r="HS40" s="29"/>
      <c r="HT40" s="29"/>
      <c r="HU40" s="29"/>
      <c r="HV40" s="29"/>
      <c r="HW40" s="29"/>
      <c r="HX40" s="29"/>
      <c r="HY40" s="29"/>
      <c r="HZ40" s="29"/>
      <c r="IA40" s="29"/>
      <c r="IB40" s="29"/>
      <c r="IC40" s="29"/>
      <c r="ID40" s="29"/>
      <c r="IE40" s="29"/>
      <c r="IF40" s="29"/>
      <c r="IG40" s="29"/>
      <c r="IH40" s="29"/>
      <c r="II40" s="29"/>
      <c r="IJ40" s="29"/>
      <c r="IK40" s="29"/>
      <c r="IL40" s="29"/>
      <c r="IM40" s="29"/>
      <c r="IN40" s="29"/>
      <c r="IO40" s="29"/>
      <c r="IP40" s="29"/>
      <c r="IQ40" s="29"/>
      <c r="IR40" s="29"/>
    </row>
    <row r="41" customFormat="false" ht="39.6" hidden="false" customHeight="true" outlineLevel="0" collapsed="false">
      <c r="A41" s="66"/>
      <c r="B41" s="67" t="s">
        <v>175</v>
      </c>
      <c r="C41" s="68" t="s">
        <v>176</v>
      </c>
      <c r="D41" s="68"/>
      <c r="E41" s="68"/>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6"/>
      <c r="BZ41" s="66"/>
      <c r="CA41" s="66"/>
      <c r="CB41" s="66"/>
      <c r="CC41" s="66"/>
      <c r="CD41" s="66"/>
      <c r="CE41" s="66"/>
      <c r="CF41" s="66"/>
      <c r="CG41" s="66"/>
      <c r="CH41" s="66"/>
      <c r="CI41" s="66"/>
      <c r="CJ41" s="66"/>
      <c r="CK41" s="66"/>
      <c r="CL41" s="66"/>
      <c r="CM41" s="66"/>
      <c r="CN41" s="66"/>
      <c r="CO41" s="66"/>
      <c r="CP41" s="66"/>
      <c r="CQ41" s="66"/>
      <c r="CR41" s="66"/>
      <c r="CS41" s="66"/>
      <c r="CT41" s="66"/>
      <c r="CU41" s="66"/>
      <c r="CV41" s="66"/>
      <c r="CW41" s="66"/>
      <c r="CX41" s="66"/>
      <c r="CY41" s="66"/>
      <c r="CZ41" s="66"/>
      <c r="DA41" s="66"/>
      <c r="DB41" s="66"/>
      <c r="DC41" s="66"/>
      <c r="DD41" s="66"/>
      <c r="DE41" s="66"/>
      <c r="DF41" s="66"/>
      <c r="DG41" s="66"/>
      <c r="DH41" s="66"/>
      <c r="DI41" s="66"/>
      <c r="DJ41" s="66"/>
      <c r="DK41" s="66"/>
      <c r="DL41" s="66"/>
      <c r="DM41" s="66"/>
      <c r="DN41" s="66"/>
      <c r="DO41" s="66"/>
      <c r="DP41" s="66"/>
      <c r="DQ41" s="66"/>
      <c r="DR41" s="66"/>
      <c r="DS41" s="66"/>
      <c r="DT41" s="66"/>
      <c r="DU41" s="66"/>
      <c r="DV41" s="66"/>
      <c r="DW41" s="66"/>
      <c r="DX41" s="66"/>
      <c r="DY41" s="66"/>
      <c r="DZ41" s="66"/>
      <c r="EA41" s="66"/>
      <c r="EB41" s="66"/>
      <c r="EC41" s="66"/>
      <c r="ED41" s="66"/>
      <c r="EE41" s="66"/>
      <c r="EF41" s="66"/>
      <c r="EG41" s="66"/>
      <c r="EH41" s="66"/>
      <c r="EI41" s="66"/>
      <c r="EJ41" s="66"/>
      <c r="EK41" s="66"/>
      <c r="EL41" s="66"/>
      <c r="EM41" s="66"/>
      <c r="EN41" s="66"/>
      <c r="EO41" s="66"/>
      <c r="EP41" s="66"/>
      <c r="EQ41" s="66"/>
      <c r="ER41" s="66"/>
      <c r="ES41" s="66"/>
      <c r="ET41" s="66"/>
      <c r="EU41" s="66"/>
      <c r="EV41" s="66"/>
      <c r="EW41" s="66"/>
      <c r="EX41" s="66"/>
      <c r="EY41" s="66"/>
      <c r="EZ41" s="66"/>
      <c r="FA41" s="66"/>
      <c r="FB41" s="66"/>
      <c r="FC41" s="66"/>
      <c r="FD41" s="66"/>
      <c r="FE41" s="66"/>
      <c r="FF41" s="66"/>
      <c r="FG41" s="66"/>
      <c r="FH41" s="66"/>
      <c r="FI41" s="66"/>
      <c r="FJ41" s="66"/>
      <c r="FK41" s="66"/>
      <c r="FL41" s="66"/>
      <c r="FM41" s="66"/>
      <c r="FN41" s="66"/>
      <c r="FO41" s="66"/>
      <c r="FP41" s="66"/>
      <c r="FQ41" s="66"/>
      <c r="FR41" s="66"/>
      <c r="FS41" s="66"/>
      <c r="FT41" s="66"/>
      <c r="FU41" s="66"/>
      <c r="FV41" s="66"/>
      <c r="FW41" s="66"/>
      <c r="FX41" s="66"/>
      <c r="FY41" s="66"/>
      <c r="FZ41" s="66"/>
      <c r="GA41" s="66"/>
      <c r="GB41" s="66"/>
      <c r="GC41" s="66"/>
      <c r="GD41" s="66"/>
      <c r="GE41" s="66"/>
      <c r="GF41" s="66"/>
      <c r="GG41" s="66"/>
      <c r="GH41" s="66"/>
      <c r="GI41" s="66"/>
      <c r="GJ41" s="66"/>
      <c r="GK41" s="66"/>
      <c r="GL41" s="66"/>
      <c r="GM41" s="66"/>
      <c r="GN41" s="66"/>
      <c r="GO41" s="66"/>
      <c r="GP41" s="66"/>
      <c r="GQ41" s="66"/>
      <c r="GR41" s="66"/>
      <c r="GS41" s="66"/>
      <c r="GT41" s="66"/>
      <c r="GU41" s="66"/>
      <c r="GV41" s="66"/>
      <c r="GW41" s="66"/>
      <c r="GX41" s="66"/>
      <c r="GY41" s="66"/>
      <c r="GZ41" s="66"/>
      <c r="HA41" s="66"/>
      <c r="HB41" s="66"/>
      <c r="HC41" s="66"/>
      <c r="HD41" s="66"/>
      <c r="HE41" s="66"/>
      <c r="HF41" s="66"/>
      <c r="HG41" s="66"/>
      <c r="HH41" s="66"/>
      <c r="HI41" s="66"/>
      <c r="HJ41" s="66"/>
      <c r="HK41" s="66"/>
      <c r="HL41" s="66"/>
      <c r="HM41" s="66"/>
      <c r="HN41" s="66"/>
      <c r="HO41" s="66"/>
      <c r="HP41" s="66"/>
      <c r="HQ41" s="66"/>
      <c r="HR41" s="66"/>
      <c r="HS41" s="66"/>
      <c r="HT41" s="66"/>
      <c r="HU41" s="66"/>
      <c r="HV41" s="66"/>
      <c r="HW41" s="66"/>
      <c r="HX41" s="66"/>
      <c r="HY41" s="66"/>
      <c r="HZ41" s="66"/>
      <c r="IA41" s="66"/>
      <c r="IB41" s="66"/>
      <c r="IC41" s="66"/>
      <c r="ID41" s="66"/>
      <c r="IE41" s="66"/>
      <c r="IF41" s="66"/>
      <c r="IG41" s="66"/>
      <c r="IH41" s="66"/>
      <c r="II41" s="66"/>
      <c r="IJ41" s="66"/>
      <c r="IK41" s="66"/>
      <c r="IL41" s="66"/>
      <c r="IM41" s="66"/>
      <c r="IN41" s="66"/>
      <c r="IO41" s="66"/>
      <c r="IP41" s="66"/>
      <c r="IQ41" s="66"/>
      <c r="IR41" s="66"/>
    </row>
    <row r="42" customFormat="false" ht="22.5" hidden="false" customHeight="true" outlineLevel="0" collapsed="false">
      <c r="A42" s="23"/>
      <c r="B42" s="69" t="s">
        <v>177</v>
      </c>
      <c r="C42" s="70" t="s">
        <v>178</v>
      </c>
      <c r="D42" s="32" t="s">
        <v>37</v>
      </c>
      <c r="E42" s="71"/>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row>
    <row r="43" customFormat="false" ht="22.5" hidden="false" customHeight="true" outlineLevel="0" collapsed="false">
      <c r="A43" s="23"/>
      <c r="B43" s="69" t="s">
        <v>179</v>
      </c>
      <c r="C43" s="70" t="s">
        <v>180</v>
      </c>
      <c r="D43" s="32" t="s">
        <v>37</v>
      </c>
      <c r="E43" s="71"/>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3"/>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row>
    <row r="44" customFormat="false" ht="22.5" hidden="false" customHeight="true" outlineLevel="0" collapsed="false">
      <c r="A44" s="23"/>
      <c r="B44" s="69" t="s">
        <v>181</v>
      </c>
      <c r="C44" s="70" t="s">
        <v>182</v>
      </c>
      <c r="D44" s="32" t="s">
        <v>27</v>
      </c>
      <c r="E44" s="71"/>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row>
    <row r="45" customFormat="false" ht="22.5" hidden="false" customHeight="true" outlineLevel="0" collapsed="false">
      <c r="A45" s="23"/>
      <c r="B45" s="69" t="s">
        <v>183</v>
      </c>
      <c r="C45" s="70" t="s">
        <v>184</v>
      </c>
      <c r="D45" s="32" t="s">
        <v>37</v>
      </c>
      <c r="E45" s="71"/>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row>
    <row r="46" customFormat="false" ht="22.5" hidden="false" customHeight="true" outlineLevel="0" collapsed="false">
      <c r="A46" s="23"/>
      <c r="B46" s="69" t="s">
        <v>185</v>
      </c>
      <c r="C46" s="70" t="s">
        <v>186</v>
      </c>
      <c r="D46" s="32" t="s">
        <v>37</v>
      </c>
      <c r="E46" s="71"/>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row>
    <row r="47" customFormat="false" ht="22.5" hidden="false" customHeight="true" outlineLevel="0" collapsed="false">
      <c r="A47" s="23"/>
      <c r="B47" s="69" t="s">
        <v>187</v>
      </c>
      <c r="C47" s="70" t="s">
        <v>188</v>
      </c>
      <c r="D47" s="32" t="s">
        <v>37</v>
      </c>
      <c r="E47" s="71"/>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23"/>
      <c r="FC47" s="23"/>
      <c r="FD47" s="23"/>
      <c r="FE47" s="23"/>
      <c r="FF47" s="23"/>
      <c r="FG47" s="23"/>
      <c r="FH47" s="23"/>
      <c r="FI47" s="23"/>
      <c r="FJ47" s="23"/>
      <c r="FK47" s="23"/>
      <c r="FL47" s="23"/>
      <c r="FM47" s="23"/>
      <c r="FN47" s="23"/>
      <c r="FO47" s="23"/>
      <c r="FP47" s="23"/>
      <c r="FQ47" s="23"/>
      <c r="FR47" s="23"/>
      <c r="FS47" s="23"/>
      <c r="FT47" s="23"/>
      <c r="FU47" s="23"/>
      <c r="FV47" s="23"/>
      <c r="FW47" s="23"/>
      <c r="FX47" s="23"/>
      <c r="FY47" s="23"/>
      <c r="FZ47" s="23"/>
      <c r="GA47" s="23"/>
      <c r="GB47" s="23"/>
      <c r="GC47" s="23"/>
      <c r="GD47" s="23"/>
      <c r="GE47" s="23"/>
      <c r="GF47" s="23"/>
      <c r="GG47" s="23"/>
      <c r="GH47" s="23"/>
      <c r="GI47" s="23"/>
      <c r="GJ47" s="23"/>
      <c r="GK47" s="23"/>
      <c r="GL47" s="23"/>
      <c r="GM47" s="23"/>
      <c r="GN47" s="23"/>
      <c r="GO47" s="23"/>
      <c r="GP47" s="23"/>
      <c r="GQ47" s="23"/>
      <c r="GR47" s="23"/>
      <c r="GS47" s="23"/>
      <c r="GT47" s="23"/>
      <c r="GU47" s="23"/>
      <c r="GV47" s="23"/>
      <c r="GW47" s="23"/>
      <c r="GX47" s="23"/>
      <c r="GY47" s="23"/>
      <c r="GZ47" s="23"/>
      <c r="HA47" s="23"/>
      <c r="HB47" s="23"/>
      <c r="HC47" s="23"/>
      <c r="HD47" s="23"/>
      <c r="HE47" s="23"/>
      <c r="HF47" s="23"/>
      <c r="HG47" s="23"/>
      <c r="HH47" s="23"/>
      <c r="HI47" s="23"/>
      <c r="HJ47" s="23"/>
      <c r="HK47" s="23"/>
      <c r="HL47" s="23"/>
      <c r="HM47" s="23"/>
      <c r="HN47" s="23"/>
      <c r="HO47" s="23"/>
      <c r="HP47" s="23"/>
      <c r="HQ47" s="23"/>
      <c r="HR47" s="23"/>
      <c r="HS47" s="23"/>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row>
    <row r="48" customFormat="false" ht="22.5" hidden="false" customHeight="true" outlineLevel="0" collapsed="false">
      <c r="A48" s="23"/>
      <c r="B48" s="69" t="s">
        <v>189</v>
      </c>
      <c r="C48" s="70" t="s">
        <v>190</v>
      </c>
      <c r="D48" s="32" t="s">
        <v>37</v>
      </c>
      <c r="E48" s="71"/>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row>
    <row r="49" customFormat="false" ht="22.5" hidden="false" customHeight="true" outlineLevel="0" collapsed="false">
      <c r="A49" s="23"/>
      <c r="B49" s="69" t="s">
        <v>191</v>
      </c>
      <c r="C49" s="70" t="s">
        <v>192</v>
      </c>
      <c r="D49" s="32" t="s">
        <v>37</v>
      </c>
      <c r="E49" s="71"/>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23"/>
      <c r="FC49" s="23"/>
      <c r="FD49" s="23"/>
      <c r="FE49" s="23"/>
      <c r="FF49" s="23"/>
      <c r="FG49" s="23"/>
      <c r="FH49" s="23"/>
      <c r="FI49" s="23"/>
      <c r="FJ49" s="23"/>
      <c r="FK49" s="23"/>
      <c r="FL49" s="23"/>
      <c r="FM49" s="23"/>
      <c r="FN49" s="23"/>
      <c r="FO49" s="23"/>
      <c r="FP49" s="23"/>
      <c r="FQ49" s="23"/>
      <c r="FR49" s="23"/>
      <c r="FS49" s="23"/>
      <c r="FT49" s="23"/>
      <c r="FU49" s="23"/>
      <c r="FV49" s="23"/>
      <c r="FW49" s="23"/>
      <c r="FX49" s="23"/>
      <c r="FY49" s="23"/>
      <c r="FZ49" s="23"/>
      <c r="GA49" s="23"/>
      <c r="GB49" s="23"/>
      <c r="GC49" s="23"/>
      <c r="GD49" s="23"/>
      <c r="GE49" s="23"/>
      <c r="GF49" s="23"/>
      <c r="GG49" s="23"/>
      <c r="GH49" s="23"/>
      <c r="GI49" s="23"/>
      <c r="GJ49" s="23"/>
      <c r="GK49" s="23"/>
      <c r="GL49" s="23"/>
      <c r="GM49" s="23"/>
      <c r="GN49" s="23"/>
      <c r="GO49" s="23"/>
      <c r="GP49" s="23"/>
      <c r="GQ49" s="23"/>
      <c r="GR49" s="23"/>
      <c r="GS49" s="23"/>
      <c r="GT49" s="23"/>
      <c r="GU49" s="23"/>
      <c r="GV49" s="23"/>
      <c r="GW49" s="23"/>
      <c r="GX49" s="23"/>
      <c r="GY49" s="23"/>
      <c r="GZ49" s="23"/>
      <c r="HA49" s="23"/>
      <c r="HB49" s="23"/>
      <c r="HC49" s="23"/>
      <c r="HD49" s="23"/>
      <c r="HE49" s="23"/>
      <c r="HF49" s="23"/>
      <c r="HG49" s="23"/>
      <c r="HH49" s="23"/>
      <c r="HI49" s="23"/>
      <c r="HJ49" s="23"/>
      <c r="HK49" s="23"/>
      <c r="HL49" s="23"/>
      <c r="HM49" s="23"/>
      <c r="HN49" s="23"/>
      <c r="HO49" s="23"/>
      <c r="HP49" s="23"/>
      <c r="HQ49" s="23"/>
      <c r="HR49" s="23"/>
      <c r="HS49" s="23"/>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row>
    <row r="50" customFormat="false" ht="39.6" hidden="false" customHeight="true" outlineLevel="0" collapsed="false">
      <c r="A50" s="66"/>
      <c r="B50" s="67" t="s">
        <v>193</v>
      </c>
      <c r="C50" s="68" t="s">
        <v>194</v>
      </c>
      <c r="D50" s="68"/>
      <c r="E50" s="68"/>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6"/>
      <c r="BZ50" s="66"/>
      <c r="CA50" s="66"/>
      <c r="CB50" s="66"/>
      <c r="CC50" s="66"/>
      <c r="CD50" s="66"/>
      <c r="CE50" s="66"/>
      <c r="CF50" s="66"/>
      <c r="CG50" s="66"/>
      <c r="CH50" s="66"/>
      <c r="CI50" s="66"/>
      <c r="CJ50" s="66"/>
      <c r="CK50" s="66"/>
      <c r="CL50" s="66"/>
      <c r="CM50" s="66"/>
      <c r="CN50" s="66"/>
      <c r="CO50" s="66"/>
      <c r="CP50" s="66"/>
      <c r="CQ50" s="66"/>
      <c r="CR50" s="66"/>
      <c r="CS50" s="66"/>
      <c r="CT50" s="66"/>
      <c r="CU50" s="66"/>
      <c r="CV50" s="66"/>
      <c r="CW50" s="66"/>
      <c r="CX50" s="66"/>
      <c r="CY50" s="66"/>
      <c r="CZ50" s="66"/>
      <c r="DA50" s="66"/>
      <c r="DB50" s="66"/>
      <c r="DC50" s="66"/>
      <c r="DD50" s="66"/>
      <c r="DE50" s="66"/>
      <c r="DF50" s="66"/>
      <c r="DG50" s="66"/>
      <c r="DH50" s="66"/>
      <c r="DI50" s="66"/>
      <c r="DJ50" s="66"/>
      <c r="DK50" s="66"/>
      <c r="DL50" s="66"/>
      <c r="DM50" s="66"/>
      <c r="DN50" s="66"/>
      <c r="DO50" s="66"/>
      <c r="DP50" s="66"/>
      <c r="DQ50" s="66"/>
      <c r="DR50" s="66"/>
      <c r="DS50" s="66"/>
      <c r="DT50" s="66"/>
      <c r="DU50" s="66"/>
      <c r="DV50" s="66"/>
      <c r="DW50" s="66"/>
      <c r="DX50" s="66"/>
      <c r="DY50" s="66"/>
      <c r="DZ50" s="66"/>
      <c r="EA50" s="66"/>
      <c r="EB50" s="66"/>
      <c r="EC50" s="66"/>
      <c r="ED50" s="66"/>
      <c r="EE50" s="66"/>
      <c r="EF50" s="66"/>
      <c r="EG50" s="66"/>
      <c r="EH50" s="66"/>
      <c r="EI50" s="66"/>
      <c r="EJ50" s="66"/>
      <c r="EK50" s="66"/>
      <c r="EL50" s="66"/>
      <c r="EM50" s="66"/>
      <c r="EN50" s="66"/>
      <c r="EO50" s="66"/>
      <c r="EP50" s="66"/>
      <c r="EQ50" s="66"/>
      <c r="ER50" s="66"/>
      <c r="ES50" s="66"/>
      <c r="ET50" s="66"/>
      <c r="EU50" s="66"/>
      <c r="EV50" s="66"/>
      <c r="EW50" s="66"/>
      <c r="EX50" s="66"/>
      <c r="EY50" s="66"/>
      <c r="EZ50" s="66"/>
      <c r="FA50" s="66"/>
      <c r="FB50" s="66"/>
      <c r="FC50" s="66"/>
      <c r="FD50" s="66"/>
      <c r="FE50" s="66"/>
      <c r="FF50" s="66"/>
      <c r="FG50" s="66"/>
      <c r="FH50" s="66"/>
      <c r="FI50" s="66"/>
      <c r="FJ50" s="66"/>
      <c r="FK50" s="66"/>
      <c r="FL50" s="66"/>
      <c r="FM50" s="66"/>
      <c r="FN50" s="66"/>
      <c r="FO50" s="66"/>
      <c r="FP50" s="66"/>
      <c r="FQ50" s="66"/>
      <c r="FR50" s="66"/>
      <c r="FS50" s="66"/>
      <c r="FT50" s="66"/>
      <c r="FU50" s="66"/>
      <c r="FV50" s="66"/>
      <c r="FW50" s="66"/>
      <c r="FX50" s="66"/>
      <c r="FY50" s="66"/>
      <c r="FZ50" s="66"/>
      <c r="GA50" s="66"/>
      <c r="GB50" s="66"/>
      <c r="GC50" s="66"/>
      <c r="GD50" s="66"/>
      <c r="GE50" s="66"/>
      <c r="GF50" s="66"/>
      <c r="GG50" s="66"/>
      <c r="GH50" s="66"/>
      <c r="GI50" s="66"/>
      <c r="GJ50" s="66"/>
      <c r="GK50" s="66"/>
      <c r="GL50" s="66"/>
      <c r="GM50" s="66"/>
      <c r="GN50" s="66"/>
      <c r="GO50" s="66"/>
      <c r="GP50" s="66"/>
      <c r="GQ50" s="66"/>
      <c r="GR50" s="66"/>
      <c r="GS50" s="66"/>
      <c r="GT50" s="66"/>
      <c r="GU50" s="66"/>
      <c r="GV50" s="66"/>
      <c r="GW50" s="66"/>
      <c r="GX50" s="66"/>
      <c r="GY50" s="66"/>
      <c r="GZ50" s="66"/>
      <c r="HA50" s="66"/>
      <c r="HB50" s="66"/>
      <c r="HC50" s="66"/>
      <c r="HD50" s="66"/>
      <c r="HE50" s="66"/>
      <c r="HF50" s="66"/>
      <c r="HG50" s="66"/>
      <c r="HH50" s="66"/>
      <c r="HI50" s="66"/>
      <c r="HJ50" s="66"/>
      <c r="HK50" s="66"/>
      <c r="HL50" s="66"/>
      <c r="HM50" s="66"/>
      <c r="HN50" s="66"/>
      <c r="HO50" s="66"/>
      <c r="HP50" s="66"/>
      <c r="HQ50" s="66"/>
      <c r="HR50" s="66"/>
      <c r="HS50" s="66"/>
      <c r="HT50" s="66"/>
      <c r="HU50" s="66"/>
      <c r="HV50" s="66"/>
      <c r="HW50" s="66"/>
      <c r="HX50" s="66"/>
      <c r="HY50" s="66"/>
      <c r="HZ50" s="66"/>
      <c r="IA50" s="66"/>
      <c r="IB50" s="66"/>
      <c r="IC50" s="66"/>
      <c r="ID50" s="66"/>
      <c r="IE50" s="66"/>
      <c r="IF50" s="66"/>
      <c r="IG50" s="66"/>
      <c r="IH50" s="66"/>
      <c r="II50" s="66"/>
      <c r="IJ50" s="66"/>
      <c r="IK50" s="66"/>
      <c r="IL50" s="66"/>
      <c r="IM50" s="66"/>
      <c r="IN50" s="66"/>
      <c r="IO50" s="66"/>
      <c r="IP50" s="66"/>
      <c r="IQ50" s="66"/>
      <c r="IR50" s="66"/>
    </row>
    <row r="51" customFormat="false" ht="22.5" hidden="false" customHeight="true" outlineLevel="0" collapsed="false">
      <c r="A51" s="23"/>
      <c r="B51" s="69" t="s">
        <v>195</v>
      </c>
      <c r="C51" s="70" t="s">
        <v>196</v>
      </c>
      <c r="D51" s="32" t="s">
        <v>37</v>
      </c>
      <c r="E51" s="71"/>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3"/>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row>
    <row r="52" customFormat="false" ht="22.5" hidden="false" customHeight="true" outlineLevel="0" collapsed="false">
      <c r="A52" s="23"/>
      <c r="B52" s="69" t="s">
        <v>197</v>
      </c>
      <c r="C52" s="70" t="s">
        <v>198</v>
      </c>
      <c r="D52" s="32" t="s">
        <v>37</v>
      </c>
      <c r="E52" s="71"/>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row>
    <row r="53" customFormat="false" ht="22.5" hidden="false" customHeight="true" outlineLevel="0" collapsed="false">
      <c r="A53" s="23"/>
      <c r="B53" s="69" t="s">
        <v>199</v>
      </c>
      <c r="C53" s="70" t="s">
        <v>200</v>
      </c>
      <c r="D53" s="32" t="s">
        <v>37</v>
      </c>
      <c r="E53" s="71"/>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23"/>
      <c r="FC53" s="23"/>
      <c r="FD53" s="23"/>
      <c r="FE53" s="23"/>
      <c r="FF53" s="23"/>
      <c r="FG53" s="23"/>
      <c r="FH53" s="23"/>
      <c r="FI53" s="23"/>
      <c r="FJ53" s="23"/>
      <c r="FK53" s="23"/>
      <c r="FL53" s="23"/>
      <c r="FM53" s="23"/>
      <c r="FN53" s="23"/>
      <c r="FO53" s="23"/>
      <c r="FP53" s="23"/>
      <c r="FQ53" s="23"/>
      <c r="FR53" s="23"/>
      <c r="FS53" s="23"/>
      <c r="FT53" s="23"/>
      <c r="FU53" s="23"/>
      <c r="FV53" s="23"/>
      <c r="FW53" s="23"/>
      <c r="FX53" s="23"/>
      <c r="FY53" s="23"/>
      <c r="FZ53" s="23"/>
      <c r="GA53" s="23"/>
      <c r="GB53" s="23"/>
      <c r="GC53" s="23"/>
      <c r="GD53" s="23"/>
      <c r="GE53" s="23"/>
      <c r="GF53" s="23"/>
      <c r="GG53" s="23"/>
      <c r="GH53" s="23"/>
      <c r="GI53" s="23"/>
      <c r="GJ53" s="23"/>
      <c r="GK53" s="23"/>
      <c r="GL53" s="23"/>
      <c r="GM53" s="23"/>
      <c r="GN53" s="23"/>
      <c r="GO53" s="23"/>
      <c r="GP53" s="23"/>
      <c r="GQ53" s="23"/>
      <c r="GR53" s="23"/>
      <c r="GS53" s="23"/>
      <c r="GT53" s="23"/>
      <c r="GU53" s="23"/>
      <c r="GV53" s="23"/>
      <c r="GW53" s="23"/>
      <c r="GX53" s="23"/>
      <c r="GY53" s="23"/>
      <c r="GZ53" s="23"/>
      <c r="HA53" s="23"/>
      <c r="HB53" s="23"/>
      <c r="HC53" s="23"/>
      <c r="HD53" s="23"/>
      <c r="HE53" s="23"/>
      <c r="HF53" s="23"/>
      <c r="HG53" s="23"/>
      <c r="HH53" s="23"/>
      <c r="HI53" s="23"/>
      <c r="HJ53" s="23"/>
      <c r="HK53" s="23"/>
      <c r="HL53" s="23"/>
      <c r="HM53" s="23"/>
      <c r="HN53" s="23"/>
      <c r="HO53" s="23"/>
      <c r="HP53" s="23"/>
      <c r="HQ53" s="23"/>
      <c r="HR53" s="23"/>
      <c r="HS53" s="23"/>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row>
    <row r="54" customFormat="false" ht="22.5" hidden="false" customHeight="true" outlineLevel="0" collapsed="false">
      <c r="A54" s="23"/>
      <c r="B54" s="69" t="s">
        <v>201</v>
      </c>
      <c r="C54" s="70" t="s">
        <v>202</v>
      </c>
      <c r="D54" s="32" t="s">
        <v>37</v>
      </c>
      <c r="E54" s="71"/>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row>
    <row r="55" customFormat="false" ht="22.5" hidden="false" customHeight="true" outlineLevel="0" collapsed="false">
      <c r="A55" s="23"/>
      <c r="B55" s="69" t="s">
        <v>203</v>
      </c>
      <c r="C55" s="70" t="s">
        <v>204</v>
      </c>
      <c r="D55" s="32" t="s">
        <v>37</v>
      </c>
      <c r="E55" s="71"/>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row>
    <row r="56" customFormat="false" ht="22.5" hidden="false" customHeight="true" outlineLevel="0" collapsed="false">
      <c r="A56" s="23"/>
      <c r="B56" s="69" t="s">
        <v>205</v>
      </c>
      <c r="C56" s="70" t="s">
        <v>206</v>
      </c>
      <c r="D56" s="32" t="s">
        <v>37</v>
      </c>
      <c r="E56" s="71"/>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row>
    <row r="57" customFormat="false" ht="22.5" hidden="false" customHeight="true" outlineLevel="0" collapsed="false">
      <c r="A57" s="23"/>
      <c r="B57" s="69" t="s">
        <v>207</v>
      </c>
      <c r="C57" s="70" t="s">
        <v>208</v>
      </c>
      <c r="D57" s="32" t="s">
        <v>37</v>
      </c>
      <c r="E57" s="71"/>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row>
    <row r="58" customFormat="false" ht="22.5" hidden="false" customHeight="true" outlineLevel="0" collapsed="false">
      <c r="A58" s="23"/>
      <c r="B58" s="69" t="s">
        <v>209</v>
      </c>
      <c r="C58" s="70" t="s">
        <v>210</v>
      </c>
      <c r="D58" s="32" t="s">
        <v>37</v>
      </c>
      <c r="E58" s="71"/>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c r="FY58" s="23"/>
      <c r="FZ58" s="23"/>
      <c r="GA58" s="23"/>
      <c r="GB58" s="23"/>
      <c r="GC58" s="23"/>
      <c r="GD58" s="23"/>
      <c r="GE58" s="23"/>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row>
    <row r="59" customFormat="false" ht="22.5" hidden="false" customHeight="true" outlineLevel="0" collapsed="false">
      <c r="A59" s="23"/>
      <c r="B59" s="69" t="s">
        <v>211</v>
      </c>
      <c r="C59" s="70" t="s">
        <v>212</v>
      </c>
      <c r="D59" s="32" t="s">
        <v>37</v>
      </c>
      <c r="E59" s="71"/>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23"/>
      <c r="FC59" s="23"/>
      <c r="FD59" s="23"/>
      <c r="FE59" s="23"/>
      <c r="FF59" s="23"/>
      <c r="FG59" s="23"/>
      <c r="FH59" s="23"/>
      <c r="FI59" s="23"/>
      <c r="FJ59" s="23"/>
      <c r="FK59" s="23"/>
      <c r="FL59" s="23"/>
      <c r="FM59" s="23"/>
      <c r="FN59" s="23"/>
      <c r="FO59" s="23"/>
      <c r="FP59" s="23"/>
      <c r="FQ59" s="23"/>
      <c r="FR59" s="23"/>
      <c r="FS59" s="23"/>
      <c r="FT59" s="23"/>
      <c r="FU59" s="23"/>
      <c r="FV59" s="23"/>
      <c r="FW59" s="23"/>
      <c r="FX59" s="23"/>
      <c r="FY59" s="23"/>
      <c r="FZ59" s="23"/>
      <c r="GA59" s="23"/>
      <c r="GB59" s="23"/>
      <c r="GC59" s="23"/>
      <c r="GD59" s="23"/>
      <c r="GE59" s="23"/>
      <c r="GF59" s="23"/>
      <c r="GG59" s="23"/>
      <c r="GH59" s="23"/>
      <c r="GI59" s="23"/>
      <c r="GJ59" s="23"/>
      <c r="GK59" s="23"/>
      <c r="GL59" s="23"/>
      <c r="GM59" s="23"/>
      <c r="GN59" s="23"/>
      <c r="GO59" s="23"/>
      <c r="GP59" s="23"/>
      <c r="GQ59" s="23"/>
      <c r="GR59" s="23"/>
      <c r="GS59" s="23"/>
      <c r="GT59" s="23"/>
      <c r="GU59" s="23"/>
      <c r="GV59" s="23"/>
      <c r="GW59" s="23"/>
      <c r="GX59" s="23"/>
      <c r="GY59" s="23"/>
      <c r="GZ59" s="23"/>
      <c r="HA59" s="23"/>
      <c r="HB59" s="23"/>
      <c r="HC59" s="23"/>
      <c r="HD59" s="23"/>
      <c r="HE59" s="23"/>
      <c r="HF59" s="23"/>
      <c r="HG59" s="23"/>
      <c r="HH59" s="23"/>
      <c r="HI59" s="23"/>
      <c r="HJ59" s="23"/>
      <c r="HK59" s="23"/>
      <c r="HL59" s="23"/>
      <c r="HM59" s="23"/>
      <c r="HN59" s="23"/>
      <c r="HO59" s="23"/>
      <c r="HP59" s="23"/>
      <c r="HQ59" s="23"/>
      <c r="HR59" s="23"/>
      <c r="HS59" s="23"/>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row>
    <row r="60" customFormat="false" ht="22.5" hidden="false" customHeight="true" outlineLevel="0" collapsed="false">
      <c r="A60" s="23"/>
      <c r="B60" s="69" t="s">
        <v>213</v>
      </c>
      <c r="C60" s="70" t="s">
        <v>214</v>
      </c>
      <c r="D60" s="32" t="s">
        <v>37</v>
      </c>
      <c r="E60" s="71"/>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row>
    <row r="61" customFormat="false" ht="22.5" hidden="false" customHeight="true" outlineLevel="0" collapsed="false">
      <c r="A61" s="23"/>
      <c r="B61" s="69" t="s">
        <v>215</v>
      </c>
      <c r="C61" s="70" t="s">
        <v>216</v>
      </c>
      <c r="D61" s="32" t="s">
        <v>37</v>
      </c>
      <c r="E61" s="71"/>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row>
    <row r="62" customFormat="false" ht="22.5" hidden="false" customHeight="true" outlineLevel="0" collapsed="false">
      <c r="A62" s="23"/>
      <c r="B62" s="69" t="s">
        <v>217</v>
      </c>
      <c r="C62" s="70" t="s">
        <v>218</v>
      </c>
      <c r="D62" s="32" t="s">
        <v>37</v>
      </c>
      <c r="E62" s="71"/>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row>
    <row r="63" customFormat="false" ht="22.5" hidden="false" customHeight="true" outlineLevel="0" collapsed="false">
      <c r="A63" s="23"/>
      <c r="B63" s="69" t="s">
        <v>219</v>
      </c>
      <c r="C63" s="70" t="s">
        <v>220</v>
      </c>
      <c r="D63" s="32" t="s">
        <v>37</v>
      </c>
      <c r="E63" s="71"/>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row>
    <row r="64" customFormat="false" ht="22.5" hidden="false" customHeight="true" outlineLevel="0" collapsed="false">
      <c r="A64" s="23"/>
      <c r="B64" s="69" t="s">
        <v>221</v>
      </c>
      <c r="C64" s="70" t="s">
        <v>222</v>
      </c>
      <c r="D64" s="32" t="s">
        <v>37</v>
      </c>
      <c r="E64" s="71"/>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3"/>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row>
    <row r="65" customFormat="false" ht="39.6" hidden="false" customHeight="true" outlineLevel="0" collapsed="false">
      <c r="A65" s="66"/>
      <c r="B65" s="67" t="s">
        <v>223</v>
      </c>
      <c r="C65" s="68" t="s">
        <v>224</v>
      </c>
      <c r="D65" s="68"/>
      <c r="E65" s="68"/>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6"/>
      <c r="BZ65" s="66"/>
      <c r="CA65" s="66"/>
      <c r="CB65" s="66"/>
      <c r="CC65" s="66"/>
      <c r="CD65" s="66"/>
      <c r="CE65" s="66"/>
      <c r="CF65" s="66"/>
      <c r="CG65" s="66"/>
      <c r="CH65" s="66"/>
      <c r="CI65" s="66"/>
      <c r="CJ65" s="66"/>
      <c r="CK65" s="66"/>
      <c r="CL65" s="66"/>
      <c r="CM65" s="66"/>
      <c r="CN65" s="66"/>
      <c r="CO65" s="66"/>
      <c r="CP65" s="66"/>
      <c r="CQ65" s="66"/>
      <c r="CR65" s="66"/>
      <c r="CS65" s="66"/>
      <c r="CT65" s="66"/>
      <c r="CU65" s="66"/>
      <c r="CV65" s="66"/>
      <c r="CW65" s="66"/>
      <c r="CX65" s="66"/>
      <c r="CY65" s="66"/>
      <c r="CZ65" s="66"/>
      <c r="DA65" s="66"/>
      <c r="DB65" s="66"/>
      <c r="DC65" s="66"/>
      <c r="DD65" s="66"/>
      <c r="DE65" s="66"/>
      <c r="DF65" s="66"/>
      <c r="DG65" s="66"/>
      <c r="DH65" s="66"/>
      <c r="DI65" s="66"/>
      <c r="DJ65" s="66"/>
      <c r="DK65" s="66"/>
      <c r="DL65" s="66"/>
      <c r="DM65" s="66"/>
      <c r="DN65" s="66"/>
      <c r="DO65" s="66"/>
      <c r="DP65" s="66"/>
      <c r="DQ65" s="66"/>
      <c r="DR65" s="66"/>
      <c r="DS65" s="66"/>
      <c r="DT65" s="66"/>
      <c r="DU65" s="66"/>
      <c r="DV65" s="66"/>
      <c r="DW65" s="66"/>
      <c r="DX65" s="66"/>
      <c r="DY65" s="66"/>
      <c r="DZ65" s="66"/>
      <c r="EA65" s="66"/>
      <c r="EB65" s="66"/>
      <c r="EC65" s="66"/>
      <c r="ED65" s="66"/>
      <c r="EE65" s="66"/>
      <c r="EF65" s="66"/>
      <c r="EG65" s="66"/>
      <c r="EH65" s="66"/>
      <c r="EI65" s="66"/>
      <c r="EJ65" s="66"/>
      <c r="EK65" s="66"/>
      <c r="EL65" s="66"/>
      <c r="EM65" s="66"/>
      <c r="EN65" s="66"/>
      <c r="EO65" s="66"/>
      <c r="EP65" s="66"/>
      <c r="EQ65" s="66"/>
      <c r="ER65" s="66"/>
      <c r="ES65" s="66"/>
      <c r="ET65" s="66"/>
      <c r="EU65" s="66"/>
      <c r="EV65" s="66"/>
      <c r="EW65" s="66"/>
      <c r="EX65" s="66"/>
      <c r="EY65" s="66"/>
      <c r="EZ65" s="66"/>
      <c r="FA65" s="66"/>
      <c r="FB65" s="66"/>
      <c r="FC65" s="66"/>
      <c r="FD65" s="66"/>
      <c r="FE65" s="66"/>
      <c r="FF65" s="66"/>
      <c r="FG65" s="66"/>
      <c r="FH65" s="66"/>
      <c r="FI65" s="66"/>
      <c r="FJ65" s="66"/>
      <c r="FK65" s="66"/>
      <c r="FL65" s="66"/>
      <c r="FM65" s="66"/>
      <c r="FN65" s="66"/>
      <c r="FO65" s="66"/>
      <c r="FP65" s="66"/>
      <c r="FQ65" s="66"/>
      <c r="FR65" s="66"/>
      <c r="FS65" s="66"/>
      <c r="FT65" s="66"/>
      <c r="FU65" s="66"/>
      <c r="FV65" s="66"/>
      <c r="FW65" s="66"/>
      <c r="FX65" s="66"/>
      <c r="FY65" s="66"/>
      <c r="FZ65" s="66"/>
      <c r="GA65" s="66"/>
      <c r="GB65" s="66"/>
      <c r="GC65" s="66"/>
      <c r="GD65" s="66"/>
      <c r="GE65" s="66"/>
      <c r="GF65" s="66"/>
      <c r="GG65" s="66"/>
      <c r="GH65" s="66"/>
      <c r="GI65" s="66"/>
      <c r="GJ65" s="66"/>
      <c r="GK65" s="66"/>
      <c r="GL65" s="66"/>
      <c r="GM65" s="66"/>
      <c r="GN65" s="66"/>
      <c r="GO65" s="66"/>
      <c r="GP65" s="66"/>
      <c r="GQ65" s="66"/>
      <c r="GR65" s="66"/>
      <c r="GS65" s="66"/>
      <c r="GT65" s="66"/>
      <c r="GU65" s="66"/>
      <c r="GV65" s="66"/>
      <c r="GW65" s="66"/>
      <c r="GX65" s="66"/>
      <c r="GY65" s="66"/>
      <c r="GZ65" s="66"/>
      <c r="HA65" s="66"/>
      <c r="HB65" s="66"/>
      <c r="HC65" s="66"/>
      <c r="HD65" s="66"/>
      <c r="HE65" s="66"/>
      <c r="HF65" s="66"/>
      <c r="HG65" s="66"/>
      <c r="HH65" s="66"/>
      <c r="HI65" s="66"/>
      <c r="HJ65" s="66"/>
      <c r="HK65" s="66"/>
      <c r="HL65" s="66"/>
      <c r="HM65" s="66"/>
      <c r="HN65" s="66"/>
      <c r="HO65" s="66"/>
      <c r="HP65" s="66"/>
      <c r="HQ65" s="66"/>
      <c r="HR65" s="66"/>
      <c r="HS65" s="66"/>
      <c r="HT65" s="66"/>
      <c r="HU65" s="66"/>
      <c r="HV65" s="66"/>
      <c r="HW65" s="66"/>
      <c r="HX65" s="66"/>
      <c r="HY65" s="66"/>
      <c r="HZ65" s="66"/>
      <c r="IA65" s="66"/>
      <c r="IB65" s="66"/>
      <c r="IC65" s="66"/>
      <c r="ID65" s="66"/>
      <c r="IE65" s="66"/>
      <c r="IF65" s="66"/>
      <c r="IG65" s="66"/>
      <c r="IH65" s="66"/>
      <c r="II65" s="66"/>
      <c r="IJ65" s="66"/>
      <c r="IK65" s="66"/>
      <c r="IL65" s="66"/>
      <c r="IM65" s="66"/>
      <c r="IN65" s="66"/>
      <c r="IO65" s="66"/>
      <c r="IP65" s="66"/>
      <c r="IQ65" s="66"/>
      <c r="IR65" s="66"/>
    </row>
    <row r="66" customFormat="false" ht="22.5" hidden="false" customHeight="true" outlineLevel="0" collapsed="false">
      <c r="A66" s="23"/>
      <c r="B66" s="69" t="s">
        <v>225</v>
      </c>
      <c r="C66" s="70" t="s">
        <v>226</v>
      </c>
      <c r="D66" s="32" t="s">
        <v>37</v>
      </c>
      <c r="E66" s="71"/>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row>
    <row r="67" customFormat="false" ht="22.5" hidden="false" customHeight="true" outlineLevel="0" collapsed="false">
      <c r="A67" s="23"/>
      <c r="B67" s="69" t="s">
        <v>227</v>
      </c>
      <c r="C67" s="70" t="s">
        <v>228</v>
      </c>
      <c r="D67" s="32" t="s">
        <v>27</v>
      </c>
      <c r="E67" s="71"/>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23"/>
      <c r="FG67" s="23"/>
      <c r="FH67" s="23"/>
      <c r="FI67" s="23"/>
      <c r="FJ67" s="23"/>
      <c r="FK67" s="23"/>
      <c r="FL67" s="23"/>
      <c r="FM67" s="23"/>
      <c r="FN67" s="23"/>
      <c r="FO67" s="23"/>
      <c r="FP67" s="23"/>
      <c r="FQ67" s="23"/>
      <c r="FR67" s="23"/>
      <c r="FS67" s="23"/>
      <c r="FT67" s="23"/>
      <c r="FU67" s="23"/>
      <c r="FV67" s="23"/>
      <c r="FW67" s="23"/>
      <c r="FX67" s="23"/>
      <c r="FY67" s="23"/>
      <c r="FZ67" s="23"/>
      <c r="GA67" s="23"/>
      <c r="GB67" s="23"/>
      <c r="GC67" s="23"/>
      <c r="GD67" s="23"/>
      <c r="GE67" s="23"/>
      <c r="GF67" s="23"/>
      <c r="GG67" s="23"/>
      <c r="GH67" s="23"/>
      <c r="GI67" s="23"/>
      <c r="GJ67" s="23"/>
      <c r="GK67" s="23"/>
      <c r="GL67" s="23"/>
      <c r="GM67" s="23"/>
      <c r="GN67" s="23"/>
      <c r="GO67" s="23"/>
      <c r="GP67" s="23"/>
      <c r="GQ67" s="23"/>
      <c r="GR67" s="23"/>
      <c r="GS67" s="23"/>
      <c r="GT67" s="23"/>
      <c r="GU67" s="23"/>
      <c r="GV67" s="23"/>
      <c r="GW67" s="23"/>
      <c r="GX67" s="23"/>
      <c r="GY67" s="23"/>
      <c r="GZ67" s="23"/>
      <c r="HA67" s="23"/>
      <c r="HB67" s="23"/>
      <c r="HC67" s="23"/>
      <c r="HD67" s="23"/>
      <c r="HE67" s="23"/>
      <c r="HF67" s="23"/>
      <c r="HG67" s="23"/>
      <c r="HH67" s="23"/>
      <c r="HI67" s="23"/>
      <c r="HJ67" s="23"/>
      <c r="HK67" s="23"/>
      <c r="HL67" s="23"/>
      <c r="HM67" s="23"/>
      <c r="HN67" s="23"/>
      <c r="HO67" s="23"/>
      <c r="HP67" s="23"/>
      <c r="HQ67" s="23"/>
      <c r="HR67" s="23"/>
      <c r="HS67" s="23"/>
      <c r="HT67" s="23"/>
      <c r="HU67" s="23"/>
      <c r="HV67" s="23"/>
      <c r="HW67" s="23"/>
      <c r="HX67" s="23"/>
      <c r="HY67" s="23"/>
      <c r="HZ67" s="23"/>
      <c r="IA67" s="23"/>
      <c r="IB67" s="23"/>
      <c r="IC67" s="23"/>
      <c r="ID67" s="23"/>
      <c r="IE67" s="23"/>
      <c r="IF67" s="23"/>
      <c r="IG67" s="23"/>
      <c r="IH67" s="23"/>
      <c r="II67" s="23"/>
      <c r="IJ67" s="23"/>
      <c r="IK67" s="23"/>
      <c r="IL67" s="23"/>
      <c r="IM67" s="23"/>
      <c r="IN67" s="23"/>
      <c r="IO67" s="23"/>
      <c r="IP67" s="23"/>
      <c r="IQ67" s="23"/>
      <c r="IR67" s="23"/>
    </row>
    <row r="68" customFormat="false" ht="22.5" hidden="false" customHeight="true" outlineLevel="0" collapsed="false">
      <c r="A68" s="23"/>
      <c r="B68" s="69" t="s">
        <v>229</v>
      </c>
      <c r="C68" s="70" t="s">
        <v>230</v>
      </c>
      <c r="D68" s="32" t="s">
        <v>27</v>
      </c>
      <c r="E68" s="71"/>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c r="FY68" s="23"/>
      <c r="FZ68" s="23"/>
      <c r="GA68" s="23"/>
      <c r="GB68" s="23"/>
      <c r="GC68" s="23"/>
      <c r="GD68" s="23"/>
      <c r="GE68" s="23"/>
      <c r="GF68" s="23"/>
      <c r="GG68" s="23"/>
      <c r="GH68" s="23"/>
      <c r="GI68" s="23"/>
      <c r="GJ68" s="23"/>
      <c r="GK68" s="23"/>
      <c r="GL68" s="23"/>
      <c r="GM68" s="23"/>
      <c r="GN68" s="23"/>
      <c r="GO68" s="23"/>
      <c r="GP68" s="23"/>
      <c r="GQ68" s="23"/>
      <c r="GR68" s="23"/>
      <c r="GS68" s="23"/>
      <c r="GT68" s="23"/>
      <c r="GU68" s="23"/>
      <c r="GV68" s="23"/>
      <c r="GW68" s="23"/>
      <c r="GX68" s="23"/>
      <c r="GY68" s="23"/>
      <c r="GZ68" s="23"/>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c r="HY68" s="23"/>
      <c r="HZ68" s="23"/>
      <c r="IA68" s="23"/>
      <c r="IB68" s="23"/>
      <c r="IC68" s="23"/>
      <c r="ID68" s="23"/>
      <c r="IE68" s="23"/>
      <c r="IF68" s="23"/>
      <c r="IG68" s="23"/>
      <c r="IH68" s="23"/>
      <c r="II68" s="23"/>
      <c r="IJ68" s="23"/>
      <c r="IK68" s="23"/>
      <c r="IL68" s="23"/>
      <c r="IM68" s="23"/>
      <c r="IN68" s="23"/>
      <c r="IO68" s="23"/>
      <c r="IP68" s="23"/>
      <c r="IQ68" s="23"/>
      <c r="IR68" s="23"/>
    </row>
    <row r="69" customFormat="false" ht="22.5" hidden="false" customHeight="true" outlineLevel="0" collapsed="false">
      <c r="A69" s="23"/>
      <c r="B69" s="69" t="s">
        <v>231</v>
      </c>
      <c r="C69" s="70" t="s">
        <v>232</v>
      </c>
      <c r="D69" s="32" t="s">
        <v>27</v>
      </c>
      <c r="E69" s="71"/>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row>
    <row r="70" customFormat="false" ht="22.5" hidden="false" customHeight="true" outlineLevel="0" collapsed="false">
      <c r="A70" s="23"/>
      <c r="B70" s="69" t="s">
        <v>233</v>
      </c>
      <c r="C70" s="70" t="s">
        <v>234</v>
      </c>
      <c r="D70" s="32" t="s">
        <v>27</v>
      </c>
      <c r="E70" s="71"/>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c r="FY70" s="23"/>
      <c r="FZ70" s="23"/>
      <c r="GA70" s="23"/>
      <c r="GB70" s="23"/>
      <c r="GC70" s="23"/>
      <c r="GD70" s="23"/>
      <c r="GE70" s="23"/>
      <c r="GF70" s="23"/>
      <c r="GG70" s="23"/>
      <c r="GH70" s="23"/>
      <c r="GI70" s="23"/>
      <c r="GJ70" s="23"/>
      <c r="GK70" s="23"/>
      <c r="GL70" s="23"/>
      <c r="GM70" s="23"/>
      <c r="GN70" s="23"/>
      <c r="GO70" s="23"/>
      <c r="GP70" s="23"/>
      <c r="GQ70" s="23"/>
      <c r="GR70" s="23"/>
      <c r="GS70" s="23"/>
      <c r="GT70" s="23"/>
      <c r="GU70" s="23"/>
      <c r="GV70" s="23"/>
      <c r="GW70" s="23"/>
      <c r="GX70" s="23"/>
      <c r="GY70" s="23"/>
      <c r="GZ70" s="23"/>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c r="HY70" s="23"/>
      <c r="HZ70" s="23"/>
      <c r="IA70" s="23"/>
      <c r="IB70" s="23"/>
      <c r="IC70" s="23"/>
      <c r="ID70" s="23"/>
      <c r="IE70" s="23"/>
      <c r="IF70" s="23"/>
      <c r="IG70" s="23"/>
      <c r="IH70" s="23"/>
      <c r="II70" s="23"/>
      <c r="IJ70" s="23"/>
      <c r="IK70" s="23"/>
      <c r="IL70" s="23"/>
      <c r="IM70" s="23"/>
      <c r="IN70" s="23"/>
      <c r="IO70" s="23"/>
      <c r="IP70" s="23"/>
      <c r="IQ70" s="23"/>
      <c r="IR70" s="23"/>
    </row>
    <row r="71" customFormat="false" ht="22.5" hidden="false" customHeight="true" outlineLevel="0" collapsed="false">
      <c r="A71" s="23"/>
      <c r="B71" s="69" t="s">
        <v>235</v>
      </c>
      <c r="C71" s="70" t="s">
        <v>236</v>
      </c>
      <c r="D71" s="32" t="s">
        <v>27</v>
      </c>
      <c r="E71" s="71"/>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23"/>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row>
    <row r="72" customFormat="false" ht="22.5" hidden="false" customHeight="true" outlineLevel="0" collapsed="false">
      <c r="A72" s="23"/>
      <c r="B72" s="69" t="s">
        <v>237</v>
      </c>
      <c r="C72" s="70" t="s">
        <v>238</v>
      </c>
      <c r="D72" s="32" t="s">
        <v>27</v>
      </c>
      <c r="E72" s="71"/>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row>
    <row r="73" customFormat="false" ht="22.5" hidden="false" customHeight="true" outlineLevel="0" collapsed="false">
      <c r="A73" s="23"/>
      <c r="B73" s="69" t="s">
        <v>239</v>
      </c>
      <c r="C73" s="70" t="s">
        <v>240</v>
      </c>
      <c r="D73" s="32" t="s">
        <v>27</v>
      </c>
      <c r="E73" s="71"/>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23"/>
      <c r="FG73" s="23"/>
      <c r="FH73" s="23"/>
      <c r="FI73" s="23"/>
      <c r="FJ73" s="23"/>
      <c r="FK73" s="23"/>
      <c r="FL73" s="23"/>
      <c r="FM73" s="23"/>
      <c r="FN73" s="23"/>
      <c r="FO73" s="23"/>
      <c r="FP73" s="23"/>
      <c r="FQ73" s="23"/>
      <c r="FR73" s="23"/>
      <c r="FS73" s="23"/>
      <c r="FT73" s="23"/>
      <c r="FU73" s="23"/>
      <c r="FV73" s="23"/>
      <c r="FW73" s="23"/>
      <c r="FX73" s="23"/>
      <c r="FY73" s="23"/>
      <c r="FZ73" s="23"/>
      <c r="GA73" s="23"/>
      <c r="GB73" s="23"/>
      <c r="GC73" s="23"/>
      <c r="GD73" s="23"/>
      <c r="GE73" s="23"/>
      <c r="GF73" s="23"/>
      <c r="GG73" s="23"/>
      <c r="GH73" s="23"/>
      <c r="GI73" s="23"/>
      <c r="GJ73" s="23"/>
      <c r="GK73" s="23"/>
      <c r="GL73" s="23"/>
      <c r="GM73" s="23"/>
      <c r="GN73" s="23"/>
      <c r="GO73" s="23"/>
      <c r="GP73" s="23"/>
      <c r="GQ73" s="23"/>
      <c r="GR73" s="23"/>
      <c r="GS73" s="23"/>
      <c r="GT73" s="23"/>
      <c r="GU73" s="23"/>
      <c r="GV73" s="23"/>
      <c r="GW73" s="23"/>
      <c r="GX73" s="23"/>
      <c r="GY73" s="23"/>
      <c r="GZ73" s="23"/>
      <c r="HA73" s="23"/>
      <c r="HB73" s="23"/>
      <c r="HC73" s="23"/>
      <c r="HD73" s="23"/>
      <c r="HE73" s="23"/>
      <c r="HF73" s="23"/>
      <c r="HG73" s="23"/>
      <c r="HH73" s="23"/>
      <c r="HI73" s="23"/>
      <c r="HJ73" s="23"/>
      <c r="HK73" s="23"/>
      <c r="HL73" s="23"/>
      <c r="HM73" s="23"/>
      <c r="HN73" s="23"/>
      <c r="HO73" s="23"/>
      <c r="HP73" s="23"/>
      <c r="HQ73" s="23"/>
      <c r="HR73" s="23"/>
      <c r="HS73" s="23"/>
      <c r="HT73" s="23"/>
      <c r="HU73" s="23"/>
      <c r="HV73" s="23"/>
      <c r="HW73" s="23"/>
      <c r="HX73" s="23"/>
      <c r="HY73" s="23"/>
      <c r="HZ73" s="23"/>
      <c r="IA73" s="23"/>
      <c r="IB73" s="23"/>
      <c r="IC73" s="23"/>
      <c r="ID73" s="23"/>
      <c r="IE73" s="23"/>
      <c r="IF73" s="23"/>
      <c r="IG73" s="23"/>
      <c r="IH73" s="23"/>
      <c r="II73" s="23"/>
      <c r="IJ73" s="23"/>
      <c r="IK73" s="23"/>
      <c r="IL73" s="23"/>
      <c r="IM73" s="23"/>
      <c r="IN73" s="23"/>
      <c r="IO73" s="23"/>
      <c r="IP73" s="23"/>
      <c r="IQ73" s="23"/>
      <c r="IR73" s="23"/>
    </row>
    <row r="74" customFormat="false" ht="22.5" hidden="false" customHeight="true" outlineLevel="0" collapsed="false">
      <c r="A74" s="23"/>
      <c r="B74" s="69" t="s">
        <v>241</v>
      </c>
      <c r="C74" s="70" t="s">
        <v>242</v>
      </c>
      <c r="D74" s="32" t="s">
        <v>37</v>
      </c>
      <c r="E74" s="71"/>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c r="FY74" s="23"/>
      <c r="FZ74" s="23"/>
      <c r="GA74" s="23"/>
      <c r="GB74" s="23"/>
      <c r="GC74" s="23"/>
      <c r="GD74" s="23"/>
      <c r="GE74" s="23"/>
      <c r="GF74" s="23"/>
      <c r="GG74" s="23"/>
      <c r="GH74" s="23"/>
      <c r="GI74" s="23"/>
      <c r="GJ74" s="23"/>
      <c r="GK74" s="23"/>
      <c r="GL74" s="23"/>
      <c r="GM74" s="23"/>
      <c r="GN74" s="23"/>
      <c r="GO74" s="23"/>
      <c r="GP74" s="23"/>
      <c r="GQ74" s="23"/>
      <c r="GR74" s="23"/>
      <c r="GS74" s="23"/>
      <c r="GT74" s="23"/>
      <c r="GU74" s="23"/>
      <c r="GV74" s="23"/>
      <c r="GW74" s="23"/>
      <c r="GX74" s="23"/>
      <c r="GY74" s="23"/>
      <c r="GZ74" s="23"/>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c r="HY74" s="23"/>
      <c r="HZ74" s="23"/>
      <c r="IA74" s="23"/>
      <c r="IB74" s="23"/>
      <c r="IC74" s="23"/>
      <c r="ID74" s="23"/>
      <c r="IE74" s="23"/>
      <c r="IF74" s="23"/>
      <c r="IG74" s="23"/>
      <c r="IH74" s="23"/>
      <c r="II74" s="23"/>
      <c r="IJ74" s="23"/>
      <c r="IK74" s="23"/>
      <c r="IL74" s="23"/>
      <c r="IM74" s="23"/>
      <c r="IN74" s="23"/>
      <c r="IO74" s="23"/>
      <c r="IP74" s="23"/>
      <c r="IQ74" s="23"/>
      <c r="IR74" s="23"/>
    </row>
    <row r="75" customFormat="false" ht="22.5" hidden="false" customHeight="true" outlineLevel="0" collapsed="false">
      <c r="A75" s="23"/>
      <c r="B75" s="69" t="s">
        <v>243</v>
      </c>
      <c r="C75" s="70" t="s">
        <v>244</v>
      </c>
      <c r="D75" s="32" t="s">
        <v>37</v>
      </c>
      <c r="E75" s="71"/>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23"/>
      <c r="FG75" s="23"/>
      <c r="FH75" s="23"/>
      <c r="FI75" s="23"/>
      <c r="FJ75" s="23"/>
      <c r="FK75" s="23"/>
      <c r="FL75" s="23"/>
      <c r="FM75" s="23"/>
      <c r="FN75" s="23"/>
      <c r="FO75" s="23"/>
      <c r="FP75" s="23"/>
      <c r="FQ75" s="23"/>
      <c r="FR75" s="23"/>
      <c r="FS75" s="23"/>
      <c r="FT75" s="23"/>
      <c r="FU75" s="23"/>
      <c r="FV75" s="23"/>
      <c r="FW75" s="23"/>
      <c r="FX75" s="23"/>
      <c r="FY75" s="23"/>
      <c r="FZ75" s="23"/>
      <c r="GA75" s="23"/>
      <c r="GB75" s="23"/>
      <c r="GC75" s="23"/>
      <c r="GD75" s="23"/>
      <c r="GE75" s="23"/>
      <c r="GF75" s="23"/>
      <c r="GG75" s="23"/>
      <c r="GH75" s="23"/>
      <c r="GI75" s="23"/>
      <c r="GJ75" s="23"/>
      <c r="GK75" s="23"/>
      <c r="GL75" s="23"/>
      <c r="GM75" s="23"/>
      <c r="GN75" s="23"/>
      <c r="GO75" s="23"/>
      <c r="GP75" s="23"/>
      <c r="GQ75" s="23"/>
      <c r="GR75" s="23"/>
      <c r="GS75" s="23"/>
      <c r="GT75" s="23"/>
      <c r="GU75" s="23"/>
      <c r="GV75" s="23"/>
      <c r="GW75" s="23"/>
      <c r="GX75" s="23"/>
      <c r="GY75" s="23"/>
      <c r="GZ75" s="23"/>
      <c r="HA75" s="23"/>
      <c r="HB75" s="23"/>
      <c r="HC75" s="23"/>
      <c r="HD75" s="23"/>
      <c r="HE75" s="23"/>
      <c r="HF75" s="23"/>
      <c r="HG75" s="23"/>
      <c r="HH75" s="23"/>
      <c r="HI75" s="23"/>
      <c r="HJ75" s="23"/>
      <c r="HK75" s="23"/>
      <c r="HL75" s="23"/>
      <c r="HM75" s="23"/>
      <c r="HN75" s="23"/>
      <c r="HO75" s="23"/>
      <c r="HP75" s="23"/>
      <c r="HQ75" s="23"/>
      <c r="HR75" s="23"/>
      <c r="HS75" s="23"/>
      <c r="HT75" s="23"/>
      <c r="HU75" s="23"/>
      <c r="HV75" s="23"/>
      <c r="HW75" s="23"/>
      <c r="HX75" s="23"/>
      <c r="HY75" s="23"/>
      <c r="HZ75" s="23"/>
      <c r="IA75" s="23"/>
      <c r="IB75" s="23"/>
      <c r="IC75" s="23"/>
      <c r="ID75" s="23"/>
      <c r="IE75" s="23"/>
      <c r="IF75" s="23"/>
      <c r="IG75" s="23"/>
      <c r="IH75" s="23"/>
      <c r="II75" s="23"/>
      <c r="IJ75" s="23"/>
      <c r="IK75" s="23"/>
      <c r="IL75" s="23"/>
      <c r="IM75" s="23"/>
      <c r="IN75" s="23"/>
      <c r="IO75" s="23"/>
      <c r="IP75" s="23"/>
      <c r="IQ75" s="23"/>
      <c r="IR75" s="23"/>
    </row>
    <row r="76" customFormat="false" ht="22.5" hidden="false" customHeight="true" outlineLevel="0" collapsed="false">
      <c r="A76" s="23"/>
      <c r="B76" s="69" t="s">
        <v>245</v>
      </c>
      <c r="C76" s="70" t="s">
        <v>246</v>
      </c>
      <c r="D76" s="32" t="s">
        <v>27</v>
      </c>
      <c r="E76" s="71"/>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c r="FY76" s="23"/>
      <c r="FZ76" s="23"/>
      <c r="GA76" s="23"/>
      <c r="GB76" s="23"/>
      <c r="GC76" s="23"/>
      <c r="GD76" s="23"/>
      <c r="GE76" s="23"/>
      <c r="GF76" s="23"/>
      <c r="GG76" s="23"/>
      <c r="GH76" s="23"/>
      <c r="GI76" s="23"/>
      <c r="GJ76" s="23"/>
      <c r="GK76" s="23"/>
      <c r="GL76" s="23"/>
      <c r="GM76" s="23"/>
      <c r="GN76" s="23"/>
      <c r="GO76" s="23"/>
      <c r="GP76" s="23"/>
      <c r="GQ76" s="23"/>
      <c r="GR76" s="23"/>
      <c r="GS76" s="23"/>
      <c r="GT76" s="23"/>
      <c r="GU76" s="23"/>
      <c r="GV76" s="23"/>
      <c r="GW76" s="23"/>
      <c r="GX76" s="23"/>
      <c r="GY76" s="23"/>
      <c r="GZ76" s="23"/>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c r="HY76" s="23"/>
      <c r="HZ76" s="23"/>
      <c r="IA76" s="23"/>
      <c r="IB76" s="23"/>
      <c r="IC76" s="23"/>
      <c r="ID76" s="23"/>
      <c r="IE76" s="23"/>
      <c r="IF76" s="23"/>
      <c r="IG76" s="23"/>
      <c r="IH76" s="23"/>
      <c r="II76" s="23"/>
      <c r="IJ76" s="23"/>
      <c r="IK76" s="23"/>
      <c r="IL76" s="23"/>
      <c r="IM76" s="23"/>
      <c r="IN76" s="23"/>
      <c r="IO76" s="23"/>
      <c r="IP76" s="23"/>
      <c r="IQ76" s="23"/>
      <c r="IR76" s="23"/>
    </row>
    <row r="77" customFormat="false" ht="22.5" hidden="false" customHeight="true" outlineLevel="0" collapsed="false">
      <c r="A77" s="23"/>
      <c r="B77" s="69" t="s">
        <v>247</v>
      </c>
      <c r="C77" s="70" t="s">
        <v>248</v>
      </c>
      <c r="D77" s="32" t="s">
        <v>37</v>
      </c>
      <c r="E77" s="71"/>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c r="FT77" s="23"/>
      <c r="FU77" s="23"/>
      <c r="FV77" s="23"/>
      <c r="FW77" s="23"/>
      <c r="FX77" s="23"/>
      <c r="FY77" s="23"/>
      <c r="FZ77" s="23"/>
      <c r="GA77" s="23"/>
      <c r="GB77" s="23"/>
      <c r="GC77" s="23"/>
      <c r="GD77" s="23"/>
      <c r="GE77" s="23"/>
      <c r="GF77" s="23"/>
      <c r="GG77" s="23"/>
      <c r="GH77" s="23"/>
      <c r="GI77" s="23"/>
      <c r="GJ77" s="23"/>
      <c r="GK77" s="23"/>
      <c r="GL77" s="23"/>
      <c r="GM77" s="23"/>
      <c r="GN77" s="23"/>
      <c r="GO77" s="23"/>
      <c r="GP77" s="23"/>
      <c r="GQ77" s="23"/>
      <c r="GR77" s="23"/>
      <c r="GS77" s="23"/>
      <c r="GT77" s="23"/>
      <c r="GU77" s="23"/>
      <c r="GV77" s="23"/>
      <c r="GW77" s="23"/>
      <c r="GX77" s="23"/>
      <c r="GY77" s="23"/>
      <c r="GZ77" s="23"/>
      <c r="HA77" s="23"/>
      <c r="HB77" s="23"/>
      <c r="HC77" s="23"/>
      <c r="HD77" s="23"/>
      <c r="HE77" s="23"/>
      <c r="HF77" s="23"/>
      <c r="HG77" s="23"/>
      <c r="HH77" s="23"/>
      <c r="HI77" s="23"/>
      <c r="HJ77" s="23"/>
      <c r="HK77" s="23"/>
      <c r="HL77" s="23"/>
      <c r="HM77" s="23"/>
      <c r="HN77" s="23"/>
      <c r="HO77" s="23"/>
      <c r="HP77" s="23"/>
      <c r="HQ77" s="23"/>
      <c r="HR77" s="23"/>
      <c r="HS77" s="23"/>
      <c r="HT77" s="23"/>
      <c r="HU77" s="23"/>
      <c r="HV77" s="23"/>
      <c r="HW77" s="23"/>
      <c r="HX77" s="23"/>
      <c r="HY77" s="23"/>
      <c r="HZ77" s="23"/>
      <c r="IA77" s="23"/>
      <c r="IB77" s="23"/>
      <c r="IC77" s="23"/>
      <c r="ID77" s="23"/>
      <c r="IE77" s="23"/>
      <c r="IF77" s="23"/>
      <c r="IG77" s="23"/>
      <c r="IH77" s="23"/>
      <c r="II77" s="23"/>
      <c r="IJ77" s="23"/>
      <c r="IK77" s="23"/>
      <c r="IL77" s="23"/>
      <c r="IM77" s="23"/>
      <c r="IN77" s="23"/>
      <c r="IO77" s="23"/>
      <c r="IP77" s="23"/>
      <c r="IQ77" s="23"/>
      <c r="IR77" s="23"/>
    </row>
    <row r="78" customFormat="false" ht="22.5" hidden="false" customHeight="true" outlineLevel="0" collapsed="false">
      <c r="A78" s="23"/>
      <c r="B78" s="69" t="s">
        <v>249</v>
      </c>
      <c r="C78" s="70" t="s">
        <v>250</v>
      </c>
      <c r="D78" s="32" t="s">
        <v>27</v>
      </c>
      <c r="E78" s="71"/>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c r="FY78" s="23"/>
      <c r="FZ78" s="23"/>
      <c r="GA78" s="23"/>
      <c r="GB78" s="23"/>
      <c r="GC78" s="23"/>
      <c r="GD78" s="23"/>
      <c r="GE78" s="23"/>
      <c r="GF78" s="23"/>
      <c r="GG78" s="23"/>
      <c r="GH78" s="23"/>
      <c r="GI78" s="23"/>
      <c r="GJ78" s="23"/>
      <c r="GK78" s="23"/>
      <c r="GL78" s="23"/>
      <c r="GM78" s="23"/>
      <c r="GN78" s="23"/>
      <c r="GO78" s="23"/>
      <c r="GP78" s="23"/>
      <c r="GQ78" s="23"/>
      <c r="GR78" s="23"/>
      <c r="GS78" s="23"/>
      <c r="GT78" s="23"/>
      <c r="GU78" s="23"/>
      <c r="GV78" s="23"/>
      <c r="GW78" s="23"/>
      <c r="GX78" s="23"/>
      <c r="GY78" s="23"/>
      <c r="GZ78" s="23"/>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c r="HY78" s="23"/>
      <c r="HZ78" s="23"/>
      <c r="IA78" s="23"/>
      <c r="IB78" s="23"/>
      <c r="IC78" s="23"/>
      <c r="ID78" s="23"/>
      <c r="IE78" s="23"/>
      <c r="IF78" s="23"/>
      <c r="IG78" s="23"/>
      <c r="IH78" s="23"/>
      <c r="II78" s="23"/>
      <c r="IJ78" s="23"/>
      <c r="IK78" s="23"/>
      <c r="IL78" s="23"/>
      <c r="IM78" s="23"/>
      <c r="IN78" s="23"/>
      <c r="IO78" s="23"/>
      <c r="IP78" s="23"/>
      <c r="IQ78" s="23"/>
      <c r="IR78" s="23"/>
    </row>
    <row r="79" customFormat="false" ht="22.5" hidden="false" customHeight="true" outlineLevel="0" collapsed="false">
      <c r="A79" s="23"/>
      <c r="B79" s="69" t="s">
        <v>251</v>
      </c>
      <c r="C79" s="70" t="s">
        <v>252</v>
      </c>
      <c r="D79" s="32" t="s">
        <v>37</v>
      </c>
      <c r="E79" s="71"/>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23"/>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N79" s="23"/>
      <c r="HO79" s="23"/>
      <c r="HP79" s="23"/>
      <c r="HQ79" s="23"/>
      <c r="HR79" s="23"/>
      <c r="HS79" s="23"/>
      <c r="HT79" s="23"/>
      <c r="HU79" s="23"/>
      <c r="HV79" s="23"/>
      <c r="HW79" s="23"/>
      <c r="HX79" s="23"/>
      <c r="HY79" s="23"/>
      <c r="HZ79" s="23"/>
      <c r="IA79" s="23"/>
      <c r="IB79" s="23"/>
      <c r="IC79" s="23"/>
      <c r="ID79" s="23"/>
      <c r="IE79" s="23"/>
      <c r="IF79" s="23"/>
      <c r="IG79" s="23"/>
      <c r="IH79" s="23"/>
      <c r="II79" s="23"/>
      <c r="IJ79" s="23"/>
      <c r="IK79" s="23"/>
      <c r="IL79" s="23"/>
      <c r="IM79" s="23"/>
      <c r="IN79" s="23"/>
      <c r="IO79" s="23"/>
      <c r="IP79" s="23"/>
      <c r="IQ79" s="23"/>
      <c r="IR79" s="23"/>
    </row>
    <row r="80" customFormat="false" ht="22.5" hidden="false" customHeight="true" outlineLevel="0" collapsed="false">
      <c r="A80" s="23"/>
      <c r="B80" s="69" t="s">
        <v>253</v>
      </c>
      <c r="C80" s="70" t="s">
        <v>254</v>
      </c>
      <c r="D80" s="32" t="s">
        <v>27</v>
      </c>
      <c r="E80" s="71"/>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c r="FY80" s="23"/>
      <c r="FZ80" s="23"/>
      <c r="GA80" s="23"/>
      <c r="GB80" s="23"/>
      <c r="GC80" s="23"/>
      <c r="GD80" s="23"/>
      <c r="GE80" s="23"/>
      <c r="GF80" s="23"/>
      <c r="GG80" s="23"/>
      <c r="GH80" s="23"/>
      <c r="GI80" s="23"/>
      <c r="GJ80" s="23"/>
      <c r="GK80" s="23"/>
      <c r="GL80" s="23"/>
      <c r="GM80" s="23"/>
      <c r="GN80" s="23"/>
      <c r="GO80" s="23"/>
      <c r="GP80" s="23"/>
      <c r="GQ80" s="23"/>
      <c r="GR80" s="23"/>
      <c r="GS80" s="23"/>
      <c r="GT80" s="23"/>
      <c r="GU80" s="23"/>
      <c r="GV80" s="23"/>
      <c r="GW80" s="23"/>
      <c r="GX80" s="23"/>
      <c r="GY80" s="23"/>
      <c r="GZ80" s="23"/>
      <c r="HA80" s="23"/>
      <c r="HB80" s="23"/>
      <c r="HC80" s="23"/>
      <c r="HD80" s="23"/>
      <c r="HE80" s="23"/>
      <c r="HF80" s="23"/>
      <c r="HG80" s="23"/>
      <c r="HH80" s="23"/>
      <c r="HI80" s="23"/>
      <c r="HJ80" s="23"/>
      <c r="HK80" s="23"/>
      <c r="HL80" s="23"/>
      <c r="HM80" s="23"/>
      <c r="HN80" s="23"/>
      <c r="HO80" s="23"/>
      <c r="HP80" s="23"/>
      <c r="HQ80" s="23"/>
      <c r="HR80" s="23"/>
      <c r="HS80" s="23"/>
      <c r="HT80" s="23"/>
      <c r="HU80" s="23"/>
      <c r="HV80" s="23"/>
      <c r="HW80" s="23"/>
      <c r="HX80" s="23"/>
      <c r="HY80" s="23"/>
      <c r="HZ80" s="23"/>
      <c r="IA80" s="23"/>
      <c r="IB80" s="23"/>
      <c r="IC80" s="23"/>
      <c r="ID80" s="23"/>
      <c r="IE80" s="23"/>
      <c r="IF80" s="23"/>
      <c r="IG80" s="23"/>
      <c r="IH80" s="23"/>
      <c r="II80" s="23"/>
      <c r="IJ80" s="23"/>
      <c r="IK80" s="23"/>
      <c r="IL80" s="23"/>
      <c r="IM80" s="23"/>
      <c r="IN80" s="23"/>
      <c r="IO80" s="23"/>
      <c r="IP80" s="23"/>
      <c r="IQ80" s="23"/>
      <c r="IR80" s="23"/>
    </row>
    <row r="81" customFormat="false" ht="22.5" hidden="false" customHeight="true" outlineLevel="0" collapsed="false">
      <c r="A81" s="23"/>
      <c r="B81" s="69" t="s">
        <v>255</v>
      </c>
      <c r="C81" s="70" t="s">
        <v>256</v>
      </c>
      <c r="D81" s="32" t="s">
        <v>37</v>
      </c>
      <c r="E81" s="71"/>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23"/>
      <c r="FG81" s="23"/>
      <c r="FH81" s="23"/>
      <c r="FI81" s="23"/>
      <c r="FJ81" s="23"/>
      <c r="FK81" s="23"/>
      <c r="FL81" s="23"/>
      <c r="FM81" s="23"/>
      <c r="FN81" s="23"/>
      <c r="FO81" s="23"/>
      <c r="FP81" s="23"/>
      <c r="FQ81" s="23"/>
      <c r="FR81" s="23"/>
      <c r="FS81" s="23"/>
      <c r="FT81" s="23"/>
      <c r="FU81" s="23"/>
      <c r="FV81" s="23"/>
      <c r="FW81" s="23"/>
      <c r="FX81" s="23"/>
      <c r="FY81" s="23"/>
      <c r="FZ81" s="23"/>
      <c r="GA81" s="23"/>
      <c r="GB81" s="23"/>
      <c r="GC81" s="23"/>
      <c r="GD81" s="23"/>
      <c r="GE81" s="23"/>
      <c r="GF81" s="23"/>
      <c r="GG81" s="23"/>
      <c r="GH81" s="23"/>
      <c r="GI81" s="23"/>
      <c r="GJ81" s="23"/>
      <c r="GK81" s="23"/>
      <c r="GL81" s="23"/>
      <c r="GM81" s="23"/>
      <c r="GN81" s="23"/>
      <c r="GO81" s="23"/>
      <c r="GP81" s="23"/>
      <c r="GQ81" s="23"/>
      <c r="GR81" s="23"/>
      <c r="GS81" s="23"/>
      <c r="GT81" s="23"/>
      <c r="GU81" s="23"/>
      <c r="GV81" s="23"/>
      <c r="GW81" s="23"/>
      <c r="GX81" s="23"/>
      <c r="GY81" s="23"/>
      <c r="GZ81" s="23"/>
      <c r="HA81" s="23"/>
      <c r="HB81" s="23"/>
      <c r="HC81" s="23"/>
      <c r="HD81" s="23"/>
      <c r="HE81" s="23"/>
      <c r="HF81" s="23"/>
      <c r="HG81" s="23"/>
      <c r="HH81" s="23"/>
      <c r="HI81" s="23"/>
      <c r="HJ81" s="23"/>
      <c r="HK81" s="23"/>
      <c r="HL81" s="23"/>
      <c r="HM81" s="23"/>
      <c r="HN81" s="23"/>
      <c r="HO81" s="23"/>
      <c r="HP81" s="23"/>
      <c r="HQ81" s="23"/>
      <c r="HR81" s="23"/>
      <c r="HS81" s="23"/>
      <c r="HT81" s="23"/>
      <c r="HU81" s="23"/>
      <c r="HV81" s="23"/>
      <c r="HW81" s="23"/>
      <c r="HX81" s="23"/>
      <c r="HY81" s="23"/>
      <c r="HZ81" s="23"/>
      <c r="IA81" s="23"/>
      <c r="IB81" s="23"/>
      <c r="IC81" s="23"/>
      <c r="ID81" s="23"/>
      <c r="IE81" s="23"/>
      <c r="IF81" s="23"/>
      <c r="IG81" s="23"/>
      <c r="IH81" s="23"/>
      <c r="II81" s="23"/>
      <c r="IJ81" s="23"/>
      <c r="IK81" s="23"/>
      <c r="IL81" s="23"/>
      <c r="IM81" s="23"/>
      <c r="IN81" s="23"/>
      <c r="IO81" s="23"/>
      <c r="IP81" s="23"/>
      <c r="IQ81" s="23"/>
      <c r="IR81" s="23"/>
    </row>
    <row r="82" customFormat="false" ht="22.5" hidden="false" customHeight="true" outlineLevel="0" collapsed="false">
      <c r="A82" s="23"/>
      <c r="B82" s="69" t="s">
        <v>257</v>
      </c>
      <c r="C82" s="70" t="s">
        <v>258</v>
      </c>
      <c r="D82" s="32" t="s">
        <v>37</v>
      </c>
      <c r="E82" s="71"/>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c r="FY82" s="23"/>
      <c r="FZ82" s="23"/>
      <c r="GA82" s="23"/>
      <c r="GB82" s="23"/>
      <c r="GC82" s="23"/>
      <c r="GD82" s="23"/>
      <c r="GE82" s="23"/>
      <c r="GF82" s="23"/>
      <c r="GG82" s="23"/>
      <c r="GH82" s="23"/>
      <c r="GI82" s="23"/>
      <c r="GJ82" s="23"/>
      <c r="GK82" s="23"/>
      <c r="GL82" s="23"/>
      <c r="GM82" s="23"/>
      <c r="GN82" s="23"/>
      <c r="GO82" s="23"/>
      <c r="GP82" s="23"/>
      <c r="GQ82" s="23"/>
      <c r="GR82" s="23"/>
      <c r="GS82" s="23"/>
      <c r="GT82" s="23"/>
      <c r="GU82" s="23"/>
      <c r="GV82" s="23"/>
      <c r="GW82" s="23"/>
      <c r="GX82" s="23"/>
      <c r="GY82" s="23"/>
      <c r="GZ82" s="23"/>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c r="HY82" s="23"/>
      <c r="HZ82" s="23"/>
      <c r="IA82" s="23"/>
      <c r="IB82" s="23"/>
      <c r="IC82" s="23"/>
      <c r="ID82" s="23"/>
      <c r="IE82" s="23"/>
      <c r="IF82" s="23"/>
      <c r="IG82" s="23"/>
      <c r="IH82" s="23"/>
      <c r="II82" s="23"/>
      <c r="IJ82" s="23"/>
      <c r="IK82" s="23"/>
      <c r="IL82" s="23"/>
      <c r="IM82" s="23"/>
      <c r="IN82" s="23"/>
      <c r="IO82" s="23"/>
      <c r="IP82" s="23"/>
      <c r="IQ82" s="23"/>
      <c r="IR82" s="23"/>
    </row>
    <row r="83" customFormat="false" ht="22.5" hidden="false" customHeight="true" outlineLevel="0" collapsed="false">
      <c r="A83" s="23"/>
      <c r="B83" s="69" t="s">
        <v>259</v>
      </c>
      <c r="C83" s="70" t="s">
        <v>260</v>
      </c>
      <c r="D83" s="32" t="s">
        <v>27</v>
      </c>
      <c r="E83" s="71"/>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23"/>
      <c r="FG83" s="23"/>
      <c r="FH83" s="23"/>
      <c r="FI83" s="23"/>
      <c r="FJ83" s="23"/>
      <c r="FK83" s="23"/>
      <c r="FL83" s="23"/>
      <c r="FM83" s="23"/>
      <c r="FN83" s="23"/>
      <c r="FO83" s="23"/>
      <c r="FP83" s="23"/>
      <c r="FQ83" s="23"/>
      <c r="FR83" s="23"/>
      <c r="FS83" s="23"/>
      <c r="FT83" s="23"/>
      <c r="FU83" s="23"/>
      <c r="FV83" s="23"/>
      <c r="FW83" s="23"/>
      <c r="FX83" s="23"/>
      <c r="FY83" s="23"/>
      <c r="FZ83" s="23"/>
      <c r="GA83" s="23"/>
      <c r="GB83" s="23"/>
      <c r="GC83" s="23"/>
      <c r="GD83" s="23"/>
      <c r="GE83" s="23"/>
      <c r="GF83" s="23"/>
      <c r="GG83" s="23"/>
      <c r="GH83" s="23"/>
      <c r="GI83" s="23"/>
      <c r="GJ83" s="23"/>
      <c r="GK83" s="23"/>
      <c r="GL83" s="23"/>
      <c r="GM83" s="23"/>
      <c r="GN83" s="23"/>
      <c r="GO83" s="23"/>
      <c r="GP83" s="23"/>
      <c r="GQ83" s="23"/>
      <c r="GR83" s="23"/>
      <c r="GS83" s="23"/>
      <c r="GT83" s="23"/>
      <c r="GU83" s="23"/>
      <c r="GV83" s="23"/>
      <c r="GW83" s="23"/>
      <c r="GX83" s="23"/>
      <c r="GY83" s="23"/>
      <c r="GZ83" s="23"/>
      <c r="HA83" s="23"/>
      <c r="HB83" s="23"/>
      <c r="HC83" s="23"/>
      <c r="HD83" s="23"/>
      <c r="HE83" s="23"/>
      <c r="HF83" s="23"/>
      <c r="HG83" s="23"/>
      <c r="HH83" s="23"/>
      <c r="HI83" s="23"/>
      <c r="HJ83" s="23"/>
      <c r="HK83" s="23"/>
      <c r="HL83" s="23"/>
      <c r="HM83" s="23"/>
      <c r="HN83" s="23"/>
      <c r="HO83" s="23"/>
      <c r="HP83" s="23"/>
      <c r="HQ83" s="23"/>
      <c r="HR83" s="23"/>
      <c r="HS83" s="23"/>
      <c r="HT83" s="23"/>
      <c r="HU83" s="23"/>
      <c r="HV83" s="23"/>
      <c r="HW83" s="23"/>
      <c r="HX83" s="23"/>
      <c r="HY83" s="23"/>
      <c r="HZ83" s="23"/>
      <c r="IA83" s="23"/>
      <c r="IB83" s="23"/>
      <c r="IC83" s="23"/>
      <c r="ID83" s="23"/>
      <c r="IE83" s="23"/>
      <c r="IF83" s="23"/>
      <c r="IG83" s="23"/>
      <c r="IH83" s="23"/>
      <c r="II83" s="23"/>
      <c r="IJ83" s="23"/>
      <c r="IK83" s="23"/>
      <c r="IL83" s="23"/>
      <c r="IM83" s="23"/>
      <c r="IN83" s="23"/>
      <c r="IO83" s="23"/>
      <c r="IP83" s="23"/>
      <c r="IQ83" s="23"/>
      <c r="IR83" s="23"/>
    </row>
    <row r="84" customFormat="false" ht="22.5" hidden="false" customHeight="true" outlineLevel="0" collapsed="false">
      <c r="A84" s="23"/>
      <c r="B84" s="69" t="s">
        <v>261</v>
      </c>
      <c r="C84" s="70" t="s">
        <v>262</v>
      </c>
      <c r="D84" s="32" t="s">
        <v>27</v>
      </c>
      <c r="E84" s="71"/>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c r="FY84" s="23"/>
      <c r="FZ84" s="23"/>
      <c r="GA84" s="23"/>
      <c r="GB84" s="23"/>
      <c r="GC84" s="23"/>
      <c r="GD84" s="23"/>
      <c r="GE84" s="23"/>
      <c r="GF84" s="23"/>
      <c r="GG84" s="23"/>
      <c r="GH84" s="23"/>
      <c r="GI84" s="23"/>
      <c r="GJ84" s="23"/>
      <c r="GK84" s="23"/>
      <c r="GL84" s="23"/>
      <c r="GM84" s="23"/>
      <c r="GN84" s="23"/>
      <c r="GO84" s="23"/>
      <c r="GP84" s="23"/>
      <c r="GQ84" s="23"/>
      <c r="GR84" s="23"/>
      <c r="GS84" s="23"/>
      <c r="GT84" s="23"/>
      <c r="GU84" s="23"/>
      <c r="GV84" s="23"/>
      <c r="GW84" s="23"/>
      <c r="GX84" s="23"/>
      <c r="GY84" s="23"/>
      <c r="GZ84" s="23"/>
      <c r="HA84" s="23"/>
      <c r="HB84" s="23"/>
      <c r="HC84" s="23"/>
      <c r="HD84" s="23"/>
      <c r="HE84" s="23"/>
      <c r="HF84" s="23"/>
      <c r="HG84" s="23"/>
      <c r="HH84" s="23"/>
      <c r="HI84" s="23"/>
      <c r="HJ84" s="23"/>
      <c r="HK84" s="23"/>
      <c r="HL84" s="23"/>
      <c r="HM84" s="23"/>
      <c r="HN84" s="23"/>
      <c r="HO84" s="23"/>
      <c r="HP84" s="23"/>
      <c r="HQ84" s="23"/>
      <c r="HR84" s="23"/>
      <c r="HS84" s="23"/>
      <c r="HT84" s="23"/>
      <c r="HU84" s="23"/>
      <c r="HV84" s="23"/>
      <c r="HW84" s="23"/>
      <c r="HX84" s="23"/>
      <c r="HY84" s="23"/>
      <c r="HZ84" s="23"/>
      <c r="IA84" s="23"/>
      <c r="IB84" s="23"/>
      <c r="IC84" s="23"/>
      <c r="ID84" s="23"/>
      <c r="IE84" s="23"/>
      <c r="IF84" s="23"/>
      <c r="IG84" s="23"/>
      <c r="IH84" s="23"/>
      <c r="II84" s="23"/>
      <c r="IJ84" s="23"/>
      <c r="IK84" s="23"/>
      <c r="IL84" s="23"/>
      <c r="IM84" s="23"/>
      <c r="IN84" s="23"/>
      <c r="IO84" s="23"/>
      <c r="IP84" s="23"/>
      <c r="IQ84" s="23"/>
      <c r="IR84" s="23"/>
    </row>
    <row r="85" customFormat="false" ht="22.5" hidden="false" customHeight="true" outlineLevel="0" collapsed="false">
      <c r="A85" s="23"/>
      <c r="B85" s="69" t="s">
        <v>263</v>
      </c>
      <c r="C85" s="70" t="s">
        <v>264</v>
      </c>
      <c r="D85" s="32" t="s">
        <v>27</v>
      </c>
      <c r="E85" s="71"/>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23"/>
      <c r="FG85" s="23"/>
      <c r="FH85" s="23"/>
      <c r="FI85" s="23"/>
      <c r="FJ85" s="23"/>
      <c r="FK85" s="23"/>
      <c r="FL85" s="23"/>
      <c r="FM85" s="23"/>
      <c r="FN85" s="23"/>
      <c r="FO85" s="23"/>
      <c r="FP85" s="23"/>
      <c r="FQ85" s="23"/>
      <c r="FR85" s="23"/>
      <c r="FS85" s="23"/>
      <c r="FT85" s="23"/>
      <c r="FU85" s="23"/>
      <c r="FV85" s="23"/>
      <c r="FW85" s="23"/>
      <c r="FX85" s="23"/>
      <c r="FY85" s="23"/>
      <c r="FZ85" s="23"/>
      <c r="GA85" s="23"/>
      <c r="GB85" s="23"/>
      <c r="GC85" s="23"/>
      <c r="GD85" s="23"/>
      <c r="GE85" s="23"/>
      <c r="GF85" s="23"/>
      <c r="GG85" s="23"/>
      <c r="GH85" s="23"/>
      <c r="GI85" s="23"/>
      <c r="GJ85" s="23"/>
      <c r="GK85" s="23"/>
      <c r="GL85" s="23"/>
      <c r="GM85" s="23"/>
      <c r="GN85" s="23"/>
      <c r="GO85" s="23"/>
      <c r="GP85" s="23"/>
      <c r="GQ85" s="23"/>
      <c r="GR85" s="23"/>
      <c r="GS85" s="23"/>
      <c r="GT85" s="23"/>
      <c r="GU85" s="23"/>
      <c r="GV85" s="23"/>
      <c r="GW85" s="23"/>
      <c r="GX85" s="23"/>
      <c r="GY85" s="23"/>
      <c r="GZ85" s="23"/>
      <c r="HA85" s="23"/>
      <c r="HB85" s="23"/>
      <c r="HC85" s="23"/>
      <c r="HD85" s="23"/>
      <c r="HE85" s="23"/>
      <c r="HF85" s="23"/>
      <c r="HG85" s="23"/>
      <c r="HH85" s="23"/>
      <c r="HI85" s="23"/>
      <c r="HJ85" s="23"/>
      <c r="HK85" s="23"/>
      <c r="HL85" s="23"/>
      <c r="HM85" s="23"/>
      <c r="HN85" s="23"/>
      <c r="HO85" s="23"/>
      <c r="HP85" s="23"/>
      <c r="HQ85" s="23"/>
      <c r="HR85" s="23"/>
      <c r="HS85" s="23"/>
      <c r="HT85" s="23"/>
      <c r="HU85" s="23"/>
      <c r="HV85" s="23"/>
      <c r="HW85" s="23"/>
      <c r="HX85" s="23"/>
      <c r="HY85" s="23"/>
      <c r="HZ85" s="23"/>
      <c r="IA85" s="23"/>
      <c r="IB85" s="23"/>
      <c r="IC85" s="23"/>
      <c r="ID85" s="23"/>
      <c r="IE85" s="23"/>
      <c r="IF85" s="23"/>
      <c r="IG85" s="23"/>
      <c r="IH85" s="23"/>
      <c r="II85" s="23"/>
      <c r="IJ85" s="23"/>
      <c r="IK85" s="23"/>
      <c r="IL85" s="23"/>
      <c r="IM85" s="23"/>
      <c r="IN85" s="23"/>
      <c r="IO85" s="23"/>
      <c r="IP85" s="23"/>
      <c r="IQ85" s="23"/>
      <c r="IR85" s="23"/>
    </row>
    <row r="86" customFormat="false" ht="22.5" hidden="false" customHeight="true" outlineLevel="0" collapsed="false">
      <c r="A86" s="23"/>
      <c r="B86" s="69" t="s">
        <v>265</v>
      </c>
      <c r="C86" s="70" t="s">
        <v>266</v>
      </c>
      <c r="D86" s="32" t="s">
        <v>27</v>
      </c>
      <c r="E86" s="71"/>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c r="FV86" s="23"/>
      <c r="FW86" s="23"/>
      <c r="FX86" s="23"/>
      <c r="FY86" s="23"/>
      <c r="FZ86" s="23"/>
      <c r="GA86" s="23"/>
      <c r="GB86" s="23"/>
      <c r="GC86" s="23"/>
      <c r="GD86" s="23"/>
      <c r="GE86" s="23"/>
      <c r="GF86" s="23"/>
      <c r="GG86" s="23"/>
      <c r="GH86" s="23"/>
      <c r="GI86" s="23"/>
      <c r="GJ86" s="23"/>
      <c r="GK86" s="23"/>
      <c r="GL86" s="23"/>
      <c r="GM86" s="23"/>
      <c r="GN86" s="23"/>
      <c r="GO86" s="23"/>
      <c r="GP86" s="23"/>
      <c r="GQ86" s="23"/>
      <c r="GR86" s="23"/>
      <c r="GS86" s="23"/>
      <c r="GT86" s="23"/>
      <c r="GU86" s="23"/>
      <c r="GV86" s="23"/>
      <c r="GW86" s="23"/>
      <c r="GX86" s="23"/>
      <c r="GY86" s="23"/>
      <c r="GZ86" s="23"/>
      <c r="HA86" s="23"/>
      <c r="HB86" s="23"/>
      <c r="HC86" s="23"/>
      <c r="HD86" s="23"/>
      <c r="HE86" s="23"/>
      <c r="HF86" s="23"/>
      <c r="HG86" s="23"/>
      <c r="HH86" s="23"/>
      <c r="HI86" s="23"/>
      <c r="HJ86" s="23"/>
      <c r="HK86" s="23"/>
      <c r="HL86" s="23"/>
      <c r="HM86" s="23"/>
      <c r="HN86" s="23"/>
      <c r="HO86" s="23"/>
      <c r="HP86" s="23"/>
      <c r="HQ86" s="23"/>
      <c r="HR86" s="23"/>
      <c r="HS86" s="23"/>
      <c r="HT86" s="23"/>
      <c r="HU86" s="23"/>
      <c r="HV86" s="23"/>
      <c r="HW86" s="23"/>
      <c r="HX86" s="23"/>
      <c r="HY86" s="23"/>
      <c r="HZ86" s="23"/>
      <c r="IA86" s="23"/>
      <c r="IB86" s="23"/>
      <c r="IC86" s="23"/>
      <c r="ID86" s="23"/>
      <c r="IE86" s="23"/>
      <c r="IF86" s="23"/>
      <c r="IG86" s="23"/>
      <c r="IH86" s="23"/>
      <c r="II86" s="23"/>
      <c r="IJ86" s="23"/>
      <c r="IK86" s="23"/>
      <c r="IL86" s="23"/>
      <c r="IM86" s="23"/>
      <c r="IN86" s="23"/>
      <c r="IO86" s="23"/>
      <c r="IP86" s="23"/>
      <c r="IQ86" s="23"/>
      <c r="IR86" s="23"/>
    </row>
    <row r="87" customFormat="false" ht="22.5" hidden="false" customHeight="true" outlineLevel="0" collapsed="false">
      <c r="A87" s="23"/>
      <c r="B87" s="69" t="s">
        <v>267</v>
      </c>
      <c r="C87" s="70" t="s">
        <v>268</v>
      </c>
      <c r="D87" s="32" t="s">
        <v>27</v>
      </c>
      <c r="E87" s="71"/>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23"/>
      <c r="FG87" s="23"/>
      <c r="FH87" s="23"/>
      <c r="FI87" s="23"/>
      <c r="FJ87" s="23"/>
      <c r="FK87" s="23"/>
      <c r="FL87" s="23"/>
      <c r="FM87" s="23"/>
      <c r="FN87" s="23"/>
      <c r="FO87" s="23"/>
      <c r="FP87" s="23"/>
      <c r="FQ87" s="23"/>
      <c r="FR87" s="23"/>
      <c r="FS87" s="23"/>
      <c r="FT87" s="23"/>
      <c r="FU87" s="23"/>
      <c r="FV87" s="23"/>
      <c r="FW87" s="23"/>
      <c r="FX87" s="23"/>
      <c r="FY87" s="23"/>
      <c r="FZ87" s="23"/>
      <c r="GA87" s="23"/>
      <c r="GB87" s="23"/>
      <c r="GC87" s="23"/>
      <c r="GD87" s="23"/>
      <c r="GE87" s="23"/>
      <c r="GF87" s="23"/>
      <c r="GG87" s="23"/>
      <c r="GH87" s="23"/>
      <c r="GI87" s="23"/>
      <c r="GJ87" s="23"/>
      <c r="GK87" s="23"/>
      <c r="GL87" s="23"/>
      <c r="GM87" s="23"/>
      <c r="GN87" s="23"/>
      <c r="GO87" s="23"/>
      <c r="GP87" s="23"/>
      <c r="GQ87" s="23"/>
      <c r="GR87" s="23"/>
      <c r="GS87" s="23"/>
      <c r="GT87" s="23"/>
      <c r="GU87" s="23"/>
      <c r="GV87" s="23"/>
      <c r="GW87" s="23"/>
      <c r="GX87" s="23"/>
      <c r="GY87" s="23"/>
      <c r="GZ87" s="23"/>
      <c r="HA87" s="23"/>
      <c r="HB87" s="23"/>
      <c r="HC87" s="23"/>
      <c r="HD87" s="23"/>
      <c r="HE87" s="23"/>
      <c r="HF87" s="23"/>
      <c r="HG87" s="23"/>
      <c r="HH87" s="23"/>
      <c r="HI87" s="23"/>
      <c r="HJ87" s="23"/>
      <c r="HK87" s="23"/>
      <c r="HL87" s="23"/>
      <c r="HM87" s="23"/>
      <c r="HN87" s="23"/>
      <c r="HO87" s="23"/>
      <c r="HP87" s="23"/>
      <c r="HQ87" s="23"/>
      <c r="HR87" s="23"/>
      <c r="HS87" s="23"/>
      <c r="HT87" s="23"/>
      <c r="HU87" s="23"/>
      <c r="HV87" s="23"/>
      <c r="HW87" s="23"/>
      <c r="HX87" s="23"/>
      <c r="HY87" s="23"/>
      <c r="HZ87" s="23"/>
      <c r="IA87" s="23"/>
      <c r="IB87" s="23"/>
      <c r="IC87" s="23"/>
      <c r="ID87" s="23"/>
      <c r="IE87" s="23"/>
      <c r="IF87" s="23"/>
      <c r="IG87" s="23"/>
      <c r="IH87" s="23"/>
      <c r="II87" s="23"/>
      <c r="IJ87" s="23"/>
      <c r="IK87" s="23"/>
      <c r="IL87" s="23"/>
      <c r="IM87" s="23"/>
      <c r="IN87" s="23"/>
      <c r="IO87" s="23"/>
      <c r="IP87" s="23"/>
      <c r="IQ87" s="23"/>
      <c r="IR87" s="23"/>
    </row>
    <row r="88" customFormat="false" ht="22.5" hidden="false" customHeight="true" outlineLevel="0" collapsed="false">
      <c r="A88" s="23"/>
      <c r="B88" s="69" t="s">
        <v>269</v>
      </c>
      <c r="C88" s="70" t="s">
        <v>270</v>
      </c>
      <c r="D88" s="32" t="s">
        <v>27</v>
      </c>
      <c r="E88" s="71"/>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c r="FV88" s="23"/>
      <c r="FW88" s="23"/>
      <c r="FX88" s="23"/>
      <c r="FY88" s="23"/>
      <c r="FZ88" s="23"/>
      <c r="GA88" s="23"/>
      <c r="GB88" s="23"/>
      <c r="GC88" s="23"/>
      <c r="GD88" s="23"/>
      <c r="GE88" s="23"/>
      <c r="GF88" s="23"/>
      <c r="GG88" s="23"/>
      <c r="GH88" s="23"/>
      <c r="GI88" s="23"/>
      <c r="GJ88" s="23"/>
      <c r="GK88" s="23"/>
      <c r="GL88" s="23"/>
      <c r="GM88" s="23"/>
      <c r="GN88" s="23"/>
      <c r="GO88" s="23"/>
      <c r="GP88" s="23"/>
      <c r="GQ88" s="23"/>
      <c r="GR88" s="23"/>
      <c r="GS88" s="23"/>
      <c r="GT88" s="23"/>
      <c r="GU88" s="23"/>
      <c r="GV88" s="23"/>
      <c r="GW88" s="23"/>
      <c r="GX88" s="23"/>
      <c r="GY88" s="23"/>
      <c r="GZ88" s="23"/>
      <c r="HA88" s="23"/>
      <c r="HB88" s="23"/>
      <c r="HC88" s="23"/>
      <c r="HD88" s="23"/>
      <c r="HE88" s="23"/>
      <c r="HF88" s="23"/>
      <c r="HG88" s="23"/>
      <c r="HH88" s="23"/>
      <c r="HI88" s="23"/>
      <c r="HJ88" s="23"/>
      <c r="HK88" s="23"/>
      <c r="HL88" s="23"/>
      <c r="HM88" s="23"/>
      <c r="HN88" s="23"/>
      <c r="HO88" s="23"/>
      <c r="HP88" s="23"/>
      <c r="HQ88" s="23"/>
      <c r="HR88" s="23"/>
      <c r="HS88" s="23"/>
      <c r="HT88" s="23"/>
      <c r="HU88" s="23"/>
      <c r="HV88" s="23"/>
      <c r="HW88" s="23"/>
      <c r="HX88" s="23"/>
      <c r="HY88" s="23"/>
      <c r="HZ88" s="23"/>
      <c r="IA88" s="23"/>
      <c r="IB88" s="23"/>
      <c r="IC88" s="23"/>
      <c r="ID88" s="23"/>
      <c r="IE88" s="23"/>
      <c r="IF88" s="23"/>
      <c r="IG88" s="23"/>
      <c r="IH88" s="23"/>
      <c r="II88" s="23"/>
      <c r="IJ88" s="23"/>
      <c r="IK88" s="23"/>
      <c r="IL88" s="23"/>
      <c r="IM88" s="23"/>
      <c r="IN88" s="23"/>
      <c r="IO88" s="23"/>
      <c r="IP88" s="23"/>
      <c r="IQ88" s="23"/>
      <c r="IR88" s="23"/>
    </row>
    <row r="89" customFormat="false" ht="22.5" hidden="false" customHeight="true" outlineLevel="0" collapsed="false">
      <c r="A89" s="23"/>
      <c r="B89" s="69" t="s">
        <v>271</v>
      </c>
      <c r="C89" s="70" t="s">
        <v>272</v>
      </c>
      <c r="D89" s="32" t="s">
        <v>37</v>
      </c>
      <c r="E89" s="71"/>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23"/>
      <c r="FC89" s="23"/>
      <c r="FD89" s="23"/>
      <c r="FE89" s="23"/>
      <c r="FF89" s="23"/>
      <c r="FG89" s="23"/>
      <c r="FH89" s="23"/>
      <c r="FI89" s="23"/>
      <c r="FJ89" s="23"/>
      <c r="FK89" s="23"/>
      <c r="FL89" s="23"/>
      <c r="FM89" s="23"/>
      <c r="FN89" s="23"/>
      <c r="FO89" s="23"/>
      <c r="FP89" s="23"/>
      <c r="FQ89" s="23"/>
      <c r="FR89" s="23"/>
      <c r="FS89" s="23"/>
      <c r="FT89" s="23"/>
      <c r="FU89" s="23"/>
      <c r="FV89" s="23"/>
      <c r="FW89" s="23"/>
      <c r="FX89" s="23"/>
      <c r="FY89" s="23"/>
      <c r="FZ89" s="23"/>
      <c r="GA89" s="23"/>
      <c r="GB89" s="23"/>
      <c r="GC89" s="23"/>
      <c r="GD89" s="23"/>
      <c r="GE89" s="23"/>
      <c r="GF89" s="23"/>
      <c r="GG89" s="23"/>
      <c r="GH89" s="23"/>
      <c r="GI89" s="23"/>
      <c r="GJ89" s="23"/>
      <c r="GK89" s="23"/>
      <c r="GL89" s="23"/>
      <c r="GM89" s="23"/>
      <c r="GN89" s="23"/>
      <c r="GO89" s="23"/>
      <c r="GP89" s="23"/>
      <c r="GQ89" s="23"/>
      <c r="GR89" s="23"/>
      <c r="GS89" s="23"/>
      <c r="GT89" s="23"/>
      <c r="GU89" s="23"/>
      <c r="GV89" s="23"/>
      <c r="GW89" s="23"/>
      <c r="GX89" s="23"/>
      <c r="GY89" s="23"/>
      <c r="GZ89" s="23"/>
      <c r="HA89" s="23"/>
      <c r="HB89" s="23"/>
      <c r="HC89" s="23"/>
      <c r="HD89" s="23"/>
      <c r="HE89" s="23"/>
      <c r="HF89" s="23"/>
      <c r="HG89" s="23"/>
      <c r="HH89" s="23"/>
      <c r="HI89" s="23"/>
      <c r="HJ89" s="23"/>
      <c r="HK89" s="23"/>
      <c r="HL89" s="23"/>
      <c r="HM89" s="23"/>
      <c r="HN89" s="23"/>
      <c r="HO89" s="23"/>
      <c r="HP89" s="23"/>
      <c r="HQ89" s="23"/>
      <c r="HR89" s="23"/>
      <c r="HS89" s="23"/>
      <c r="HT89" s="23"/>
      <c r="HU89" s="23"/>
      <c r="HV89" s="23"/>
      <c r="HW89" s="23"/>
      <c r="HX89" s="23"/>
      <c r="HY89" s="23"/>
      <c r="HZ89" s="23"/>
      <c r="IA89" s="23"/>
      <c r="IB89" s="23"/>
      <c r="IC89" s="23"/>
      <c r="ID89" s="23"/>
      <c r="IE89" s="23"/>
      <c r="IF89" s="23"/>
      <c r="IG89" s="23"/>
      <c r="IH89" s="23"/>
      <c r="II89" s="23"/>
      <c r="IJ89" s="23"/>
      <c r="IK89" s="23"/>
      <c r="IL89" s="23"/>
      <c r="IM89" s="23"/>
      <c r="IN89" s="23"/>
      <c r="IO89" s="23"/>
      <c r="IP89" s="23"/>
      <c r="IQ89" s="23"/>
      <c r="IR89" s="23"/>
    </row>
    <row r="90" customFormat="false" ht="22.5" hidden="false" customHeight="true" outlineLevel="0" collapsed="false">
      <c r="A90" s="23"/>
      <c r="B90" s="69" t="s">
        <v>273</v>
      </c>
      <c r="C90" s="70" t="s">
        <v>274</v>
      </c>
      <c r="D90" s="32" t="s">
        <v>37</v>
      </c>
      <c r="E90" s="71"/>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c r="FY90" s="23"/>
      <c r="FZ90" s="23"/>
      <c r="GA90" s="23"/>
      <c r="GB90" s="23"/>
      <c r="GC90" s="23"/>
      <c r="GD90" s="23"/>
      <c r="GE90" s="23"/>
      <c r="GF90" s="23"/>
      <c r="GG90" s="23"/>
      <c r="GH90" s="23"/>
      <c r="GI90" s="23"/>
      <c r="GJ90" s="23"/>
      <c r="GK90" s="23"/>
      <c r="GL90" s="23"/>
      <c r="GM90" s="23"/>
      <c r="GN90" s="23"/>
      <c r="GO90" s="23"/>
      <c r="GP90" s="23"/>
      <c r="GQ90" s="23"/>
      <c r="GR90" s="23"/>
      <c r="GS90" s="23"/>
      <c r="GT90" s="23"/>
      <c r="GU90" s="23"/>
      <c r="GV90" s="23"/>
      <c r="GW90" s="23"/>
      <c r="GX90" s="23"/>
      <c r="GY90" s="23"/>
      <c r="GZ90" s="23"/>
      <c r="HA90" s="23"/>
      <c r="HB90" s="23"/>
      <c r="HC90" s="23"/>
      <c r="HD90" s="23"/>
      <c r="HE90" s="23"/>
      <c r="HF90" s="23"/>
      <c r="HG90" s="23"/>
      <c r="HH90" s="23"/>
      <c r="HI90" s="23"/>
      <c r="HJ90" s="23"/>
      <c r="HK90" s="23"/>
      <c r="HL90" s="23"/>
      <c r="HM90" s="23"/>
      <c r="HN90" s="23"/>
      <c r="HO90" s="23"/>
      <c r="HP90" s="23"/>
      <c r="HQ90" s="23"/>
      <c r="HR90" s="23"/>
      <c r="HS90" s="23"/>
      <c r="HT90" s="23"/>
      <c r="HU90" s="23"/>
      <c r="HV90" s="23"/>
      <c r="HW90" s="23"/>
      <c r="HX90" s="23"/>
      <c r="HY90" s="23"/>
      <c r="HZ90" s="23"/>
      <c r="IA90" s="23"/>
      <c r="IB90" s="23"/>
      <c r="IC90" s="23"/>
      <c r="ID90" s="23"/>
      <c r="IE90" s="23"/>
      <c r="IF90" s="23"/>
      <c r="IG90" s="23"/>
      <c r="IH90" s="23"/>
      <c r="II90" s="23"/>
      <c r="IJ90" s="23"/>
      <c r="IK90" s="23"/>
      <c r="IL90" s="23"/>
      <c r="IM90" s="23"/>
      <c r="IN90" s="23"/>
      <c r="IO90" s="23"/>
      <c r="IP90" s="23"/>
      <c r="IQ90" s="23"/>
      <c r="IR90" s="23"/>
    </row>
    <row r="91" customFormat="false" ht="22.5" hidden="false" customHeight="true" outlineLevel="0" collapsed="false">
      <c r="A91" s="23"/>
      <c r="B91" s="69" t="s">
        <v>275</v>
      </c>
      <c r="C91" s="70" t="s">
        <v>276</v>
      </c>
      <c r="D91" s="32" t="s">
        <v>37</v>
      </c>
      <c r="E91" s="71"/>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23"/>
      <c r="FC91" s="23"/>
      <c r="FD91" s="23"/>
      <c r="FE91" s="23"/>
      <c r="FF91" s="23"/>
      <c r="FG91" s="23"/>
      <c r="FH91" s="23"/>
      <c r="FI91" s="23"/>
      <c r="FJ91" s="23"/>
      <c r="FK91" s="23"/>
      <c r="FL91" s="23"/>
      <c r="FM91" s="23"/>
      <c r="FN91" s="23"/>
      <c r="FO91" s="23"/>
      <c r="FP91" s="23"/>
      <c r="FQ91" s="23"/>
      <c r="FR91" s="23"/>
      <c r="FS91" s="23"/>
      <c r="FT91" s="23"/>
      <c r="FU91" s="23"/>
      <c r="FV91" s="23"/>
      <c r="FW91" s="23"/>
      <c r="FX91" s="23"/>
      <c r="FY91" s="23"/>
      <c r="FZ91" s="23"/>
      <c r="GA91" s="23"/>
      <c r="GB91" s="23"/>
      <c r="GC91" s="23"/>
      <c r="GD91" s="23"/>
      <c r="GE91" s="23"/>
      <c r="GF91" s="23"/>
      <c r="GG91" s="23"/>
      <c r="GH91" s="23"/>
      <c r="GI91" s="23"/>
      <c r="GJ91" s="23"/>
      <c r="GK91" s="23"/>
      <c r="GL91" s="23"/>
      <c r="GM91" s="23"/>
      <c r="GN91" s="23"/>
      <c r="GO91" s="23"/>
      <c r="GP91" s="23"/>
      <c r="GQ91" s="23"/>
      <c r="GR91" s="23"/>
      <c r="GS91" s="23"/>
      <c r="GT91" s="23"/>
      <c r="GU91" s="23"/>
      <c r="GV91" s="23"/>
      <c r="GW91" s="23"/>
      <c r="GX91" s="23"/>
      <c r="GY91" s="23"/>
      <c r="GZ91" s="23"/>
      <c r="HA91" s="23"/>
      <c r="HB91" s="23"/>
      <c r="HC91" s="23"/>
      <c r="HD91" s="23"/>
      <c r="HE91" s="23"/>
      <c r="HF91" s="23"/>
      <c r="HG91" s="23"/>
      <c r="HH91" s="23"/>
      <c r="HI91" s="23"/>
      <c r="HJ91" s="23"/>
      <c r="HK91" s="23"/>
      <c r="HL91" s="23"/>
      <c r="HM91" s="23"/>
      <c r="HN91" s="23"/>
      <c r="HO91" s="23"/>
      <c r="HP91" s="23"/>
      <c r="HQ91" s="23"/>
      <c r="HR91" s="23"/>
      <c r="HS91" s="23"/>
      <c r="HT91" s="23"/>
      <c r="HU91" s="23"/>
      <c r="HV91" s="23"/>
      <c r="HW91" s="23"/>
      <c r="HX91" s="23"/>
      <c r="HY91" s="23"/>
      <c r="HZ91" s="23"/>
      <c r="IA91" s="23"/>
      <c r="IB91" s="23"/>
      <c r="IC91" s="23"/>
      <c r="ID91" s="23"/>
      <c r="IE91" s="23"/>
      <c r="IF91" s="23"/>
      <c r="IG91" s="23"/>
      <c r="IH91" s="23"/>
      <c r="II91" s="23"/>
      <c r="IJ91" s="23"/>
      <c r="IK91" s="23"/>
      <c r="IL91" s="23"/>
      <c r="IM91" s="23"/>
      <c r="IN91" s="23"/>
      <c r="IO91" s="23"/>
      <c r="IP91" s="23"/>
      <c r="IQ91" s="23"/>
      <c r="IR91" s="23"/>
    </row>
    <row r="92" customFormat="false" ht="22.5" hidden="false" customHeight="true" outlineLevel="0" collapsed="false">
      <c r="A92" s="23"/>
      <c r="B92" s="69" t="s">
        <v>277</v>
      </c>
      <c r="C92" s="70" t="s">
        <v>278</v>
      </c>
      <c r="D92" s="32" t="s">
        <v>37</v>
      </c>
      <c r="E92" s="71"/>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c r="FV92" s="23"/>
      <c r="FW92" s="23"/>
      <c r="FX92" s="23"/>
      <c r="FY92" s="23"/>
      <c r="FZ92" s="23"/>
      <c r="GA92" s="23"/>
      <c r="GB92" s="23"/>
      <c r="GC92" s="23"/>
      <c r="GD92" s="23"/>
      <c r="GE92" s="23"/>
      <c r="GF92" s="23"/>
      <c r="GG92" s="23"/>
      <c r="GH92" s="23"/>
      <c r="GI92" s="23"/>
      <c r="GJ92" s="23"/>
      <c r="GK92" s="23"/>
      <c r="GL92" s="23"/>
      <c r="GM92" s="23"/>
      <c r="GN92" s="23"/>
      <c r="GO92" s="23"/>
      <c r="GP92" s="23"/>
      <c r="GQ92" s="23"/>
      <c r="GR92" s="23"/>
      <c r="GS92" s="23"/>
      <c r="GT92" s="23"/>
      <c r="GU92" s="23"/>
      <c r="GV92" s="23"/>
      <c r="GW92" s="23"/>
      <c r="GX92" s="23"/>
      <c r="GY92" s="23"/>
      <c r="GZ92" s="23"/>
      <c r="HA92" s="23"/>
      <c r="HB92" s="23"/>
      <c r="HC92" s="23"/>
      <c r="HD92" s="23"/>
      <c r="HE92" s="23"/>
      <c r="HF92" s="23"/>
      <c r="HG92" s="23"/>
      <c r="HH92" s="23"/>
      <c r="HI92" s="23"/>
      <c r="HJ92" s="23"/>
      <c r="HK92" s="23"/>
      <c r="HL92" s="23"/>
      <c r="HM92" s="23"/>
      <c r="HN92" s="23"/>
      <c r="HO92" s="23"/>
      <c r="HP92" s="23"/>
      <c r="HQ92" s="23"/>
      <c r="HR92" s="23"/>
      <c r="HS92" s="23"/>
      <c r="HT92" s="23"/>
      <c r="HU92" s="23"/>
      <c r="HV92" s="23"/>
      <c r="HW92" s="23"/>
      <c r="HX92" s="23"/>
      <c r="HY92" s="23"/>
      <c r="HZ92" s="23"/>
      <c r="IA92" s="23"/>
      <c r="IB92" s="23"/>
      <c r="IC92" s="23"/>
      <c r="ID92" s="23"/>
      <c r="IE92" s="23"/>
      <c r="IF92" s="23"/>
      <c r="IG92" s="23"/>
      <c r="IH92" s="23"/>
      <c r="II92" s="23"/>
      <c r="IJ92" s="23"/>
      <c r="IK92" s="23"/>
      <c r="IL92" s="23"/>
      <c r="IM92" s="23"/>
      <c r="IN92" s="23"/>
      <c r="IO92" s="23"/>
      <c r="IP92" s="23"/>
      <c r="IQ92" s="23"/>
      <c r="IR92" s="23"/>
    </row>
    <row r="93" customFormat="false" ht="22.5" hidden="false" customHeight="true" outlineLevel="0" collapsed="false">
      <c r="A93" s="23"/>
      <c r="B93" s="69" t="s">
        <v>279</v>
      </c>
      <c r="C93" s="70" t="s">
        <v>280</v>
      </c>
      <c r="D93" s="32" t="s">
        <v>37</v>
      </c>
      <c r="E93" s="71"/>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23"/>
      <c r="FC93" s="23"/>
      <c r="FD93" s="23"/>
      <c r="FE93" s="23"/>
      <c r="FF93" s="23"/>
      <c r="FG93" s="23"/>
      <c r="FH93" s="23"/>
      <c r="FI93" s="23"/>
      <c r="FJ93" s="23"/>
      <c r="FK93" s="23"/>
      <c r="FL93" s="23"/>
      <c r="FM93" s="23"/>
      <c r="FN93" s="23"/>
      <c r="FO93" s="23"/>
      <c r="FP93" s="23"/>
      <c r="FQ93" s="23"/>
      <c r="FR93" s="23"/>
      <c r="FS93" s="23"/>
      <c r="FT93" s="23"/>
      <c r="FU93" s="23"/>
      <c r="FV93" s="23"/>
      <c r="FW93" s="23"/>
      <c r="FX93" s="23"/>
      <c r="FY93" s="23"/>
      <c r="FZ93" s="23"/>
      <c r="GA93" s="23"/>
      <c r="GB93" s="23"/>
      <c r="GC93" s="23"/>
      <c r="GD93" s="23"/>
      <c r="GE93" s="23"/>
      <c r="GF93" s="23"/>
      <c r="GG93" s="23"/>
      <c r="GH93" s="23"/>
      <c r="GI93" s="23"/>
      <c r="GJ93" s="23"/>
      <c r="GK93" s="23"/>
      <c r="GL93" s="23"/>
      <c r="GM93" s="23"/>
      <c r="GN93" s="23"/>
      <c r="GO93" s="23"/>
      <c r="GP93" s="23"/>
      <c r="GQ93" s="23"/>
      <c r="GR93" s="23"/>
      <c r="GS93" s="23"/>
      <c r="GT93" s="23"/>
      <c r="GU93" s="23"/>
      <c r="GV93" s="23"/>
      <c r="GW93" s="23"/>
      <c r="GX93" s="23"/>
      <c r="GY93" s="23"/>
      <c r="GZ93" s="23"/>
      <c r="HA93" s="23"/>
      <c r="HB93" s="23"/>
      <c r="HC93" s="23"/>
      <c r="HD93" s="23"/>
      <c r="HE93" s="23"/>
      <c r="HF93" s="23"/>
      <c r="HG93" s="23"/>
      <c r="HH93" s="23"/>
      <c r="HI93" s="23"/>
      <c r="HJ93" s="23"/>
      <c r="HK93" s="23"/>
      <c r="HL93" s="23"/>
      <c r="HM93" s="23"/>
      <c r="HN93" s="23"/>
      <c r="HO93" s="23"/>
      <c r="HP93" s="23"/>
      <c r="HQ93" s="23"/>
      <c r="HR93" s="23"/>
      <c r="HS93" s="23"/>
      <c r="HT93" s="23"/>
      <c r="HU93" s="23"/>
      <c r="HV93" s="23"/>
      <c r="HW93" s="23"/>
      <c r="HX93" s="23"/>
      <c r="HY93" s="23"/>
      <c r="HZ93" s="23"/>
      <c r="IA93" s="23"/>
      <c r="IB93" s="23"/>
      <c r="IC93" s="23"/>
      <c r="ID93" s="23"/>
      <c r="IE93" s="23"/>
      <c r="IF93" s="23"/>
      <c r="IG93" s="23"/>
      <c r="IH93" s="23"/>
      <c r="II93" s="23"/>
      <c r="IJ93" s="23"/>
      <c r="IK93" s="23"/>
      <c r="IL93" s="23"/>
      <c r="IM93" s="23"/>
      <c r="IN93" s="23"/>
      <c r="IO93" s="23"/>
      <c r="IP93" s="23"/>
      <c r="IQ93" s="23"/>
      <c r="IR93" s="23"/>
    </row>
    <row r="94" customFormat="false" ht="22.5" hidden="false" customHeight="true" outlineLevel="0" collapsed="false">
      <c r="A94" s="23"/>
      <c r="B94" s="69" t="s">
        <v>281</v>
      </c>
      <c r="C94" s="70" t="s">
        <v>282</v>
      </c>
      <c r="D94" s="32" t="s">
        <v>27</v>
      </c>
      <c r="E94" s="71"/>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23"/>
      <c r="FC94" s="23"/>
      <c r="FD94" s="23"/>
      <c r="FE94" s="23"/>
      <c r="FF94" s="23"/>
      <c r="FG94" s="23"/>
      <c r="FH94" s="23"/>
      <c r="FI94" s="23"/>
      <c r="FJ94" s="23"/>
      <c r="FK94" s="23"/>
      <c r="FL94" s="23"/>
      <c r="FM94" s="23"/>
      <c r="FN94" s="23"/>
      <c r="FO94" s="23"/>
      <c r="FP94" s="23"/>
      <c r="FQ94" s="23"/>
      <c r="FR94" s="23"/>
      <c r="FS94" s="23"/>
      <c r="FT94" s="23"/>
      <c r="FU94" s="23"/>
      <c r="FV94" s="23"/>
      <c r="FW94" s="23"/>
      <c r="FX94" s="23"/>
      <c r="FY94" s="23"/>
      <c r="FZ94" s="23"/>
      <c r="GA94" s="23"/>
      <c r="GB94" s="23"/>
      <c r="GC94" s="23"/>
      <c r="GD94" s="23"/>
      <c r="GE94" s="23"/>
      <c r="GF94" s="23"/>
      <c r="GG94" s="23"/>
      <c r="GH94" s="23"/>
      <c r="GI94" s="23"/>
      <c r="GJ94" s="23"/>
      <c r="GK94" s="23"/>
      <c r="GL94" s="23"/>
      <c r="GM94" s="23"/>
      <c r="GN94" s="23"/>
      <c r="GO94" s="23"/>
      <c r="GP94" s="23"/>
      <c r="GQ94" s="23"/>
      <c r="GR94" s="23"/>
      <c r="GS94" s="23"/>
      <c r="GT94" s="23"/>
      <c r="GU94" s="23"/>
      <c r="GV94" s="23"/>
      <c r="GW94" s="23"/>
      <c r="GX94" s="23"/>
      <c r="GY94" s="23"/>
      <c r="GZ94" s="23"/>
      <c r="HA94" s="23"/>
      <c r="HB94" s="23"/>
      <c r="HC94" s="23"/>
      <c r="HD94" s="23"/>
      <c r="HE94" s="23"/>
      <c r="HF94" s="23"/>
      <c r="HG94" s="23"/>
      <c r="HH94" s="23"/>
      <c r="HI94" s="23"/>
      <c r="HJ94" s="23"/>
      <c r="HK94" s="23"/>
      <c r="HL94" s="23"/>
      <c r="HM94" s="23"/>
      <c r="HN94" s="23"/>
      <c r="HO94" s="23"/>
      <c r="HP94" s="23"/>
      <c r="HQ94" s="23"/>
      <c r="HR94" s="23"/>
      <c r="HS94" s="23"/>
      <c r="HT94" s="23"/>
      <c r="HU94" s="23"/>
      <c r="HV94" s="23"/>
      <c r="HW94" s="23"/>
      <c r="HX94" s="23"/>
      <c r="HY94" s="23"/>
      <c r="HZ94" s="23"/>
      <c r="IA94" s="23"/>
      <c r="IB94" s="23"/>
      <c r="IC94" s="23"/>
      <c r="ID94" s="23"/>
      <c r="IE94" s="23"/>
      <c r="IF94" s="23"/>
      <c r="IG94" s="23"/>
      <c r="IH94" s="23"/>
      <c r="II94" s="23"/>
      <c r="IJ94" s="23"/>
      <c r="IK94" s="23"/>
      <c r="IL94" s="23"/>
      <c r="IM94" s="23"/>
      <c r="IN94" s="23"/>
      <c r="IO94" s="23"/>
      <c r="IP94" s="23"/>
      <c r="IQ94" s="23"/>
      <c r="IR94" s="23"/>
    </row>
    <row r="95" customFormat="false" ht="22.5" hidden="false" customHeight="true" outlineLevel="0" collapsed="false">
      <c r="A95" s="23"/>
      <c r="B95" s="69" t="s">
        <v>283</v>
      </c>
      <c r="C95" s="70" t="s">
        <v>284</v>
      </c>
      <c r="D95" s="32" t="s">
        <v>37</v>
      </c>
      <c r="E95" s="71"/>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23"/>
      <c r="FC95" s="23"/>
      <c r="FD95" s="23"/>
      <c r="FE95" s="23"/>
      <c r="FF95" s="23"/>
      <c r="FG95" s="23"/>
      <c r="FH95" s="23"/>
      <c r="FI95" s="23"/>
      <c r="FJ95" s="23"/>
      <c r="FK95" s="23"/>
      <c r="FL95" s="23"/>
      <c r="FM95" s="23"/>
      <c r="FN95" s="23"/>
      <c r="FO95" s="23"/>
      <c r="FP95" s="23"/>
      <c r="FQ95" s="23"/>
      <c r="FR95" s="23"/>
      <c r="FS95" s="23"/>
      <c r="FT95" s="23"/>
      <c r="FU95" s="23"/>
      <c r="FV95" s="23"/>
      <c r="FW95" s="23"/>
      <c r="FX95" s="23"/>
      <c r="FY95" s="23"/>
      <c r="FZ95" s="23"/>
      <c r="GA95" s="23"/>
      <c r="GB95" s="23"/>
      <c r="GC95" s="23"/>
      <c r="GD95" s="23"/>
      <c r="GE95" s="23"/>
      <c r="GF95" s="23"/>
      <c r="GG95" s="23"/>
      <c r="GH95" s="23"/>
      <c r="GI95" s="23"/>
      <c r="GJ95" s="23"/>
      <c r="GK95" s="23"/>
      <c r="GL95" s="23"/>
      <c r="GM95" s="23"/>
      <c r="GN95" s="23"/>
      <c r="GO95" s="23"/>
      <c r="GP95" s="23"/>
      <c r="GQ95" s="23"/>
      <c r="GR95" s="23"/>
      <c r="GS95" s="23"/>
      <c r="GT95" s="23"/>
      <c r="GU95" s="23"/>
      <c r="GV95" s="23"/>
      <c r="GW95" s="23"/>
      <c r="GX95" s="23"/>
      <c r="GY95" s="23"/>
      <c r="GZ95" s="23"/>
      <c r="HA95" s="23"/>
      <c r="HB95" s="23"/>
      <c r="HC95" s="23"/>
      <c r="HD95" s="23"/>
      <c r="HE95" s="23"/>
      <c r="HF95" s="23"/>
      <c r="HG95" s="23"/>
      <c r="HH95" s="23"/>
      <c r="HI95" s="23"/>
      <c r="HJ95" s="23"/>
      <c r="HK95" s="23"/>
      <c r="HL95" s="23"/>
      <c r="HM95" s="23"/>
      <c r="HN95" s="23"/>
      <c r="HO95" s="23"/>
      <c r="HP95" s="23"/>
      <c r="HQ95" s="23"/>
      <c r="HR95" s="23"/>
      <c r="HS95" s="23"/>
      <c r="HT95" s="23"/>
      <c r="HU95" s="23"/>
      <c r="HV95" s="23"/>
      <c r="HW95" s="23"/>
      <c r="HX95" s="23"/>
      <c r="HY95" s="23"/>
      <c r="HZ95" s="23"/>
      <c r="IA95" s="23"/>
      <c r="IB95" s="23"/>
      <c r="IC95" s="23"/>
      <c r="ID95" s="23"/>
      <c r="IE95" s="23"/>
      <c r="IF95" s="23"/>
      <c r="IG95" s="23"/>
      <c r="IH95" s="23"/>
      <c r="II95" s="23"/>
      <c r="IJ95" s="23"/>
      <c r="IK95" s="23"/>
      <c r="IL95" s="23"/>
      <c r="IM95" s="23"/>
      <c r="IN95" s="23"/>
      <c r="IO95" s="23"/>
      <c r="IP95" s="23"/>
      <c r="IQ95" s="23"/>
      <c r="IR95" s="23"/>
    </row>
    <row r="96" customFormat="false" ht="22.5" hidden="false" customHeight="true" outlineLevel="0" collapsed="false">
      <c r="A96" s="23"/>
      <c r="B96" s="69" t="s">
        <v>285</v>
      </c>
      <c r="C96" s="70" t="s">
        <v>286</v>
      </c>
      <c r="D96" s="32" t="s">
        <v>37</v>
      </c>
      <c r="E96" s="71"/>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23"/>
      <c r="FC96" s="23"/>
      <c r="FD96" s="23"/>
      <c r="FE96" s="23"/>
      <c r="FF96" s="23"/>
      <c r="FG96" s="23"/>
      <c r="FH96" s="23"/>
      <c r="FI96" s="23"/>
      <c r="FJ96" s="23"/>
      <c r="FK96" s="23"/>
      <c r="FL96" s="23"/>
      <c r="FM96" s="23"/>
      <c r="FN96" s="23"/>
      <c r="FO96" s="23"/>
      <c r="FP96" s="23"/>
      <c r="FQ96" s="23"/>
      <c r="FR96" s="23"/>
      <c r="FS96" s="23"/>
      <c r="FT96" s="23"/>
      <c r="FU96" s="23"/>
      <c r="FV96" s="23"/>
      <c r="FW96" s="23"/>
      <c r="FX96" s="23"/>
      <c r="FY96" s="23"/>
      <c r="FZ96" s="23"/>
      <c r="GA96" s="23"/>
      <c r="GB96" s="23"/>
      <c r="GC96" s="23"/>
      <c r="GD96" s="23"/>
      <c r="GE96" s="23"/>
      <c r="GF96" s="23"/>
      <c r="GG96" s="23"/>
      <c r="GH96" s="23"/>
      <c r="GI96" s="23"/>
      <c r="GJ96" s="23"/>
      <c r="GK96" s="23"/>
      <c r="GL96" s="23"/>
      <c r="GM96" s="23"/>
      <c r="GN96" s="23"/>
      <c r="GO96" s="23"/>
      <c r="GP96" s="23"/>
      <c r="GQ96" s="23"/>
      <c r="GR96" s="23"/>
      <c r="GS96" s="23"/>
      <c r="GT96" s="23"/>
      <c r="GU96" s="23"/>
      <c r="GV96" s="23"/>
      <c r="GW96" s="23"/>
      <c r="GX96" s="23"/>
      <c r="GY96" s="23"/>
      <c r="GZ96" s="23"/>
      <c r="HA96" s="23"/>
      <c r="HB96" s="23"/>
      <c r="HC96" s="23"/>
      <c r="HD96" s="23"/>
      <c r="HE96" s="23"/>
      <c r="HF96" s="23"/>
      <c r="HG96" s="23"/>
      <c r="HH96" s="23"/>
      <c r="HI96" s="23"/>
      <c r="HJ96" s="23"/>
      <c r="HK96" s="23"/>
      <c r="HL96" s="23"/>
      <c r="HM96" s="23"/>
      <c r="HN96" s="23"/>
      <c r="HO96" s="23"/>
      <c r="HP96" s="23"/>
      <c r="HQ96" s="23"/>
      <c r="HR96" s="23"/>
      <c r="HS96" s="23"/>
      <c r="HT96" s="23"/>
      <c r="HU96" s="23"/>
      <c r="HV96" s="23"/>
      <c r="HW96" s="23"/>
      <c r="HX96" s="23"/>
      <c r="HY96" s="23"/>
      <c r="HZ96" s="23"/>
      <c r="IA96" s="23"/>
      <c r="IB96" s="23"/>
      <c r="IC96" s="23"/>
      <c r="ID96" s="23"/>
      <c r="IE96" s="23"/>
      <c r="IF96" s="23"/>
      <c r="IG96" s="23"/>
      <c r="IH96" s="23"/>
      <c r="II96" s="23"/>
      <c r="IJ96" s="23"/>
      <c r="IK96" s="23"/>
      <c r="IL96" s="23"/>
      <c r="IM96" s="23"/>
      <c r="IN96" s="23"/>
      <c r="IO96" s="23"/>
      <c r="IP96" s="23"/>
      <c r="IQ96" s="23"/>
      <c r="IR96" s="23"/>
    </row>
    <row r="97" customFormat="false" ht="22.5" hidden="false" customHeight="true" outlineLevel="0" collapsed="false">
      <c r="A97" s="23"/>
      <c r="B97" s="69" t="s">
        <v>287</v>
      </c>
      <c r="C97" s="70" t="s">
        <v>288</v>
      </c>
      <c r="D97" s="32" t="s">
        <v>37</v>
      </c>
      <c r="E97" s="71"/>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23"/>
      <c r="FC97" s="23"/>
      <c r="FD97" s="23"/>
      <c r="FE97" s="23"/>
      <c r="FF97" s="23"/>
      <c r="FG97" s="23"/>
      <c r="FH97" s="23"/>
      <c r="FI97" s="23"/>
      <c r="FJ97" s="23"/>
      <c r="FK97" s="23"/>
      <c r="FL97" s="23"/>
      <c r="FM97" s="23"/>
      <c r="FN97" s="23"/>
      <c r="FO97" s="23"/>
      <c r="FP97" s="23"/>
      <c r="FQ97" s="23"/>
      <c r="FR97" s="23"/>
      <c r="FS97" s="23"/>
      <c r="FT97" s="23"/>
      <c r="FU97" s="23"/>
      <c r="FV97" s="23"/>
      <c r="FW97" s="23"/>
      <c r="FX97" s="23"/>
      <c r="FY97" s="23"/>
      <c r="FZ97" s="23"/>
      <c r="GA97" s="23"/>
      <c r="GB97" s="23"/>
      <c r="GC97" s="23"/>
      <c r="GD97" s="23"/>
      <c r="GE97" s="23"/>
      <c r="GF97" s="23"/>
      <c r="GG97" s="23"/>
      <c r="GH97" s="23"/>
      <c r="GI97" s="23"/>
      <c r="GJ97" s="23"/>
      <c r="GK97" s="23"/>
      <c r="GL97" s="23"/>
      <c r="GM97" s="23"/>
      <c r="GN97" s="23"/>
      <c r="GO97" s="23"/>
      <c r="GP97" s="23"/>
      <c r="GQ97" s="23"/>
      <c r="GR97" s="23"/>
      <c r="GS97" s="23"/>
      <c r="GT97" s="23"/>
      <c r="GU97" s="23"/>
      <c r="GV97" s="23"/>
      <c r="GW97" s="23"/>
      <c r="GX97" s="23"/>
      <c r="GY97" s="23"/>
      <c r="GZ97" s="23"/>
      <c r="HA97" s="23"/>
      <c r="HB97" s="23"/>
      <c r="HC97" s="23"/>
      <c r="HD97" s="23"/>
      <c r="HE97" s="23"/>
      <c r="HF97" s="23"/>
      <c r="HG97" s="23"/>
      <c r="HH97" s="23"/>
      <c r="HI97" s="23"/>
      <c r="HJ97" s="23"/>
      <c r="HK97" s="23"/>
      <c r="HL97" s="23"/>
      <c r="HM97" s="23"/>
      <c r="HN97" s="23"/>
      <c r="HO97" s="23"/>
      <c r="HP97" s="23"/>
      <c r="HQ97" s="23"/>
      <c r="HR97" s="23"/>
      <c r="HS97" s="23"/>
      <c r="HT97" s="23"/>
      <c r="HU97" s="23"/>
      <c r="HV97" s="23"/>
      <c r="HW97" s="23"/>
      <c r="HX97" s="23"/>
      <c r="HY97" s="23"/>
      <c r="HZ97" s="23"/>
      <c r="IA97" s="23"/>
      <c r="IB97" s="23"/>
      <c r="IC97" s="23"/>
      <c r="ID97" s="23"/>
      <c r="IE97" s="23"/>
      <c r="IF97" s="23"/>
      <c r="IG97" s="23"/>
      <c r="IH97" s="23"/>
      <c r="II97" s="23"/>
      <c r="IJ97" s="23"/>
      <c r="IK97" s="23"/>
      <c r="IL97" s="23"/>
      <c r="IM97" s="23"/>
      <c r="IN97" s="23"/>
      <c r="IO97" s="23"/>
      <c r="IP97" s="23"/>
      <c r="IQ97" s="23"/>
      <c r="IR97" s="23"/>
    </row>
    <row r="98" customFormat="false" ht="22.5" hidden="false" customHeight="true" outlineLevel="0" collapsed="false">
      <c r="A98" s="23"/>
      <c r="B98" s="69" t="s">
        <v>289</v>
      </c>
      <c r="C98" s="70" t="s">
        <v>290</v>
      </c>
      <c r="D98" s="32" t="s">
        <v>37</v>
      </c>
      <c r="E98" s="71"/>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23"/>
      <c r="FC98" s="23"/>
      <c r="FD98" s="23"/>
      <c r="FE98" s="23"/>
      <c r="FF98" s="23"/>
      <c r="FG98" s="23"/>
      <c r="FH98" s="23"/>
      <c r="FI98" s="23"/>
      <c r="FJ98" s="23"/>
      <c r="FK98" s="23"/>
      <c r="FL98" s="23"/>
      <c r="FM98" s="23"/>
      <c r="FN98" s="23"/>
      <c r="FO98" s="23"/>
      <c r="FP98" s="23"/>
      <c r="FQ98" s="23"/>
      <c r="FR98" s="23"/>
      <c r="FS98" s="23"/>
      <c r="FT98" s="23"/>
      <c r="FU98" s="23"/>
      <c r="FV98" s="23"/>
      <c r="FW98" s="23"/>
      <c r="FX98" s="23"/>
      <c r="FY98" s="23"/>
      <c r="FZ98" s="23"/>
      <c r="GA98" s="23"/>
      <c r="GB98" s="23"/>
      <c r="GC98" s="23"/>
      <c r="GD98" s="23"/>
      <c r="GE98" s="23"/>
      <c r="GF98" s="23"/>
      <c r="GG98" s="23"/>
      <c r="GH98" s="23"/>
      <c r="GI98" s="23"/>
      <c r="GJ98" s="23"/>
      <c r="GK98" s="23"/>
      <c r="GL98" s="23"/>
      <c r="GM98" s="23"/>
      <c r="GN98" s="23"/>
      <c r="GO98" s="23"/>
      <c r="GP98" s="23"/>
      <c r="GQ98" s="23"/>
      <c r="GR98" s="23"/>
      <c r="GS98" s="23"/>
      <c r="GT98" s="23"/>
      <c r="GU98" s="23"/>
      <c r="GV98" s="23"/>
      <c r="GW98" s="23"/>
      <c r="GX98" s="23"/>
      <c r="GY98" s="23"/>
      <c r="GZ98" s="23"/>
      <c r="HA98" s="23"/>
      <c r="HB98" s="23"/>
      <c r="HC98" s="23"/>
      <c r="HD98" s="23"/>
      <c r="HE98" s="23"/>
      <c r="HF98" s="23"/>
      <c r="HG98" s="23"/>
      <c r="HH98" s="23"/>
      <c r="HI98" s="23"/>
      <c r="HJ98" s="23"/>
      <c r="HK98" s="23"/>
      <c r="HL98" s="23"/>
      <c r="HM98" s="23"/>
      <c r="HN98" s="23"/>
      <c r="HO98" s="23"/>
      <c r="HP98" s="23"/>
      <c r="HQ98" s="23"/>
      <c r="HR98" s="23"/>
      <c r="HS98" s="23"/>
      <c r="HT98" s="23"/>
      <c r="HU98" s="23"/>
      <c r="HV98" s="23"/>
      <c r="HW98" s="23"/>
      <c r="HX98" s="23"/>
      <c r="HY98" s="23"/>
      <c r="HZ98" s="23"/>
      <c r="IA98" s="23"/>
      <c r="IB98" s="23"/>
      <c r="IC98" s="23"/>
      <c r="ID98" s="23"/>
      <c r="IE98" s="23"/>
      <c r="IF98" s="23"/>
      <c r="IG98" s="23"/>
      <c r="IH98" s="23"/>
      <c r="II98" s="23"/>
      <c r="IJ98" s="23"/>
      <c r="IK98" s="23"/>
      <c r="IL98" s="23"/>
      <c r="IM98" s="23"/>
      <c r="IN98" s="23"/>
      <c r="IO98" s="23"/>
      <c r="IP98" s="23"/>
      <c r="IQ98" s="23"/>
      <c r="IR98" s="23"/>
    </row>
    <row r="99" customFormat="false" ht="22.5" hidden="false" customHeight="true" outlineLevel="0" collapsed="false">
      <c r="A99" s="23"/>
      <c r="B99" s="69" t="s">
        <v>291</v>
      </c>
      <c r="C99" s="70" t="s">
        <v>292</v>
      </c>
      <c r="D99" s="32" t="s">
        <v>37</v>
      </c>
      <c r="E99" s="71"/>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23"/>
      <c r="FC99" s="23"/>
      <c r="FD99" s="23"/>
      <c r="FE99" s="23"/>
      <c r="FF99" s="23"/>
      <c r="FG99" s="23"/>
      <c r="FH99" s="23"/>
      <c r="FI99" s="23"/>
      <c r="FJ99" s="23"/>
      <c r="FK99" s="23"/>
      <c r="FL99" s="23"/>
      <c r="FM99" s="23"/>
      <c r="FN99" s="23"/>
      <c r="FO99" s="23"/>
      <c r="FP99" s="23"/>
      <c r="FQ99" s="23"/>
      <c r="FR99" s="23"/>
      <c r="FS99" s="23"/>
      <c r="FT99" s="23"/>
      <c r="FU99" s="23"/>
      <c r="FV99" s="23"/>
      <c r="FW99" s="23"/>
      <c r="FX99" s="23"/>
      <c r="FY99" s="23"/>
      <c r="FZ99" s="23"/>
      <c r="GA99" s="23"/>
      <c r="GB99" s="23"/>
      <c r="GC99" s="23"/>
      <c r="GD99" s="23"/>
      <c r="GE99" s="23"/>
      <c r="GF99" s="23"/>
      <c r="GG99" s="23"/>
      <c r="GH99" s="23"/>
      <c r="GI99" s="23"/>
      <c r="GJ99" s="23"/>
      <c r="GK99" s="23"/>
      <c r="GL99" s="23"/>
      <c r="GM99" s="23"/>
      <c r="GN99" s="23"/>
      <c r="GO99" s="23"/>
      <c r="GP99" s="23"/>
      <c r="GQ99" s="23"/>
      <c r="GR99" s="23"/>
      <c r="GS99" s="23"/>
      <c r="GT99" s="23"/>
      <c r="GU99" s="23"/>
      <c r="GV99" s="23"/>
      <c r="GW99" s="23"/>
      <c r="GX99" s="23"/>
      <c r="GY99" s="23"/>
      <c r="GZ99" s="23"/>
      <c r="HA99" s="23"/>
      <c r="HB99" s="23"/>
      <c r="HC99" s="23"/>
      <c r="HD99" s="23"/>
      <c r="HE99" s="23"/>
      <c r="HF99" s="23"/>
      <c r="HG99" s="23"/>
      <c r="HH99" s="23"/>
      <c r="HI99" s="23"/>
      <c r="HJ99" s="23"/>
      <c r="HK99" s="23"/>
      <c r="HL99" s="23"/>
      <c r="HM99" s="23"/>
      <c r="HN99" s="23"/>
      <c r="HO99" s="23"/>
      <c r="HP99" s="23"/>
      <c r="HQ99" s="23"/>
      <c r="HR99" s="23"/>
      <c r="HS99" s="23"/>
      <c r="HT99" s="23"/>
      <c r="HU99" s="23"/>
      <c r="HV99" s="23"/>
      <c r="HW99" s="23"/>
      <c r="HX99" s="23"/>
      <c r="HY99" s="23"/>
      <c r="HZ99" s="23"/>
      <c r="IA99" s="23"/>
      <c r="IB99" s="23"/>
      <c r="IC99" s="23"/>
      <c r="ID99" s="23"/>
      <c r="IE99" s="23"/>
      <c r="IF99" s="23"/>
      <c r="IG99" s="23"/>
      <c r="IH99" s="23"/>
      <c r="II99" s="23"/>
      <c r="IJ99" s="23"/>
      <c r="IK99" s="23"/>
      <c r="IL99" s="23"/>
      <c r="IM99" s="23"/>
      <c r="IN99" s="23"/>
      <c r="IO99" s="23"/>
      <c r="IP99" s="23"/>
      <c r="IQ99" s="23"/>
      <c r="IR99" s="23"/>
    </row>
    <row r="100" customFormat="false" ht="15" hidden="false" customHeight="false" outlineLevel="0" collapsed="false">
      <c r="A100" s="73"/>
      <c r="B100" s="74"/>
      <c r="C100" s="75"/>
      <c r="D100" s="43" t="n">
        <f aca="false">COUNTA(D3:D99)</f>
        <v>93</v>
      </c>
      <c r="E100" s="76" t="s">
        <v>293</v>
      </c>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7"/>
      <c r="CD100" s="77"/>
      <c r="CE100" s="77"/>
      <c r="CF100" s="77"/>
      <c r="CG100" s="77"/>
      <c r="CH100" s="77"/>
      <c r="CI100" s="77"/>
      <c r="CJ100" s="77"/>
      <c r="CK100" s="77"/>
      <c r="CL100" s="77"/>
      <c r="CM100" s="77"/>
      <c r="CN100" s="77"/>
      <c r="CO100" s="77"/>
      <c r="CP100" s="77"/>
      <c r="CQ100" s="77"/>
      <c r="CR100" s="77"/>
      <c r="CS100" s="77"/>
      <c r="CT100" s="77"/>
      <c r="CU100" s="77"/>
      <c r="CV100" s="77"/>
      <c r="CW100" s="77"/>
      <c r="CX100" s="77"/>
      <c r="CY100" s="77"/>
      <c r="CZ100" s="77"/>
      <c r="DA100" s="77"/>
      <c r="DB100" s="77"/>
      <c r="DC100" s="77"/>
      <c r="DD100" s="77"/>
      <c r="DE100" s="77"/>
      <c r="DF100" s="77"/>
      <c r="DG100" s="77"/>
      <c r="DH100" s="77"/>
      <c r="DI100" s="77"/>
      <c r="DJ100" s="77"/>
      <c r="DK100" s="77"/>
      <c r="DL100" s="77"/>
      <c r="DM100" s="77"/>
      <c r="DN100" s="77"/>
      <c r="DO100" s="77"/>
      <c r="DP100" s="77"/>
      <c r="DQ100" s="77"/>
      <c r="DR100" s="77"/>
      <c r="DS100" s="77"/>
      <c r="DT100" s="77"/>
      <c r="DU100" s="77"/>
      <c r="DV100" s="77"/>
      <c r="DW100" s="77"/>
      <c r="DX100" s="77"/>
      <c r="DY100" s="77"/>
      <c r="DZ100" s="77"/>
      <c r="EA100" s="77"/>
      <c r="EB100" s="77"/>
      <c r="EC100" s="77"/>
      <c r="ED100" s="77"/>
      <c r="EE100" s="77"/>
      <c r="EF100" s="77"/>
      <c r="EG100" s="77"/>
      <c r="EH100" s="77"/>
      <c r="EI100" s="77"/>
      <c r="EJ100" s="77"/>
      <c r="EK100" s="77"/>
      <c r="EL100" s="77"/>
      <c r="EM100" s="77"/>
      <c r="EN100" s="77"/>
      <c r="EO100" s="77"/>
      <c r="EP100" s="77"/>
      <c r="EQ100" s="77"/>
      <c r="ER100" s="77"/>
      <c r="ES100" s="77"/>
      <c r="ET100" s="77"/>
      <c r="EU100" s="77"/>
      <c r="EV100" s="77"/>
      <c r="EW100" s="77"/>
      <c r="EX100" s="77"/>
      <c r="EY100" s="77"/>
      <c r="EZ100" s="77"/>
      <c r="FA100" s="77"/>
      <c r="FB100" s="77"/>
      <c r="FC100" s="77"/>
      <c r="FD100" s="77"/>
      <c r="FE100" s="77"/>
      <c r="FF100" s="77"/>
      <c r="FG100" s="77"/>
      <c r="FH100" s="77"/>
      <c r="FI100" s="77"/>
      <c r="FJ100" s="77"/>
      <c r="FK100" s="77"/>
      <c r="FL100" s="77"/>
      <c r="FM100" s="77"/>
      <c r="FN100" s="77"/>
      <c r="FO100" s="77"/>
      <c r="FP100" s="77"/>
      <c r="FQ100" s="77"/>
      <c r="FR100" s="77"/>
      <c r="FS100" s="77"/>
      <c r="FT100" s="77"/>
      <c r="FU100" s="77"/>
      <c r="FV100" s="77"/>
      <c r="FW100" s="77"/>
      <c r="FX100" s="77"/>
      <c r="FY100" s="77"/>
      <c r="FZ100" s="77"/>
      <c r="GA100" s="77"/>
      <c r="GB100" s="77"/>
      <c r="GC100" s="77"/>
      <c r="GD100" s="77"/>
      <c r="GE100" s="77"/>
      <c r="GF100" s="77"/>
      <c r="GG100" s="77"/>
      <c r="GH100" s="77"/>
      <c r="GI100" s="77"/>
      <c r="GJ100" s="77"/>
      <c r="GK100" s="77"/>
      <c r="GL100" s="77"/>
      <c r="GM100" s="77"/>
      <c r="GN100" s="77"/>
      <c r="GO100" s="77"/>
      <c r="GP100" s="77"/>
      <c r="GQ100" s="77"/>
      <c r="GR100" s="77"/>
      <c r="GS100" s="77"/>
      <c r="GT100" s="77"/>
      <c r="GU100" s="77"/>
      <c r="GV100" s="77"/>
      <c r="GW100" s="77"/>
      <c r="GX100" s="77"/>
      <c r="GY100" s="77"/>
      <c r="GZ100" s="77"/>
      <c r="HA100" s="77"/>
      <c r="HB100" s="77"/>
      <c r="HC100" s="77"/>
      <c r="HD100" s="77"/>
      <c r="HE100" s="77"/>
      <c r="HF100" s="77"/>
      <c r="HG100" s="77"/>
      <c r="HH100" s="77"/>
      <c r="HI100" s="77"/>
      <c r="HJ100" s="77"/>
      <c r="HK100" s="77"/>
      <c r="HL100" s="77"/>
      <c r="HM100" s="77"/>
      <c r="HN100" s="77"/>
      <c r="HO100" s="77"/>
      <c r="HP100" s="77"/>
      <c r="HQ100" s="77"/>
      <c r="HR100" s="77"/>
      <c r="HS100" s="77"/>
      <c r="HT100" s="77"/>
      <c r="HU100" s="77"/>
      <c r="HV100" s="77"/>
      <c r="HW100" s="77"/>
      <c r="HX100" s="77"/>
      <c r="HY100" s="77"/>
      <c r="HZ100" s="77"/>
      <c r="IA100" s="77"/>
      <c r="IB100" s="77"/>
      <c r="IC100" s="77"/>
      <c r="ID100" s="77"/>
      <c r="IE100" s="77"/>
      <c r="IF100" s="77"/>
      <c r="IG100" s="77"/>
      <c r="IH100" s="77"/>
      <c r="II100" s="77"/>
      <c r="IJ100" s="77"/>
      <c r="IK100" s="77"/>
      <c r="IL100" s="77"/>
      <c r="IM100" s="77"/>
      <c r="IN100" s="77"/>
      <c r="IO100" s="77"/>
      <c r="IP100" s="77"/>
      <c r="IQ100" s="77"/>
      <c r="IR100" s="77"/>
    </row>
    <row r="101" customFormat="false" ht="15" hidden="false" customHeight="false" outlineLevel="0" collapsed="false">
      <c r="A101" s="78"/>
      <c r="B101" s="78"/>
      <c r="C101" s="79"/>
      <c r="D101" s="80"/>
      <c r="E101" s="78"/>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7"/>
      <c r="CD101" s="77"/>
      <c r="CE101" s="77"/>
      <c r="CF101" s="77"/>
      <c r="CG101" s="77"/>
      <c r="CH101" s="77"/>
      <c r="CI101" s="77"/>
      <c r="CJ101" s="77"/>
      <c r="CK101" s="77"/>
      <c r="CL101" s="77"/>
      <c r="CM101" s="77"/>
      <c r="CN101" s="77"/>
      <c r="CO101" s="77"/>
      <c r="CP101" s="77"/>
      <c r="CQ101" s="77"/>
      <c r="CR101" s="77"/>
      <c r="CS101" s="77"/>
      <c r="CT101" s="77"/>
      <c r="CU101" s="77"/>
      <c r="CV101" s="77"/>
      <c r="CW101" s="77"/>
      <c r="CX101" s="77"/>
      <c r="CY101" s="77"/>
      <c r="CZ101" s="77"/>
      <c r="DA101" s="77"/>
      <c r="DB101" s="77"/>
      <c r="DC101" s="77"/>
      <c r="DD101" s="77"/>
      <c r="DE101" s="77"/>
      <c r="DF101" s="77"/>
      <c r="DG101" s="77"/>
      <c r="DH101" s="77"/>
      <c r="DI101" s="77"/>
      <c r="DJ101" s="77"/>
      <c r="DK101" s="77"/>
      <c r="DL101" s="77"/>
      <c r="DM101" s="77"/>
      <c r="DN101" s="77"/>
      <c r="DO101" s="77"/>
      <c r="DP101" s="77"/>
      <c r="DQ101" s="77"/>
      <c r="DR101" s="77"/>
      <c r="DS101" s="77"/>
      <c r="DT101" s="77"/>
      <c r="DU101" s="77"/>
      <c r="DV101" s="77"/>
      <c r="DW101" s="77"/>
      <c r="DX101" s="77"/>
      <c r="DY101" s="77"/>
      <c r="DZ101" s="77"/>
      <c r="EA101" s="77"/>
      <c r="EB101" s="77"/>
      <c r="EC101" s="77"/>
      <c r="ED101" s="77"/>
      <c r="EE101" s="77"/>
      <c r="EF101" s="77"/>
      <c r="EG101" s="77"/>
      <c r="EH101" s="77"/>
      <c r="EI101" s="77"/>
      <c r="EJ101" s="77"/>
      <c r="EK101" s="77"/>
      <c r="EL101" s="77"/>
      <c r="EM101" s="77"/>
      <c r="EN101" s="77"/>
      <c r="EO101" s="77"/>
      <c r="EP101" s="77"/>
      <c r="EQ101" s="77"/>
      <c r="ER101" s="77"/>
      <c r="ES101" s="77"/>
      <c r="ET101" s="77"/>
      <c r="EU101" s="77"/>
      <c r="EV101" s="77"/>
      <c r="EW101" s="77"/>
      <c r="EX101" s="77"/>
      <c r="EY101" s="77"/>
      <c r="EZ101" s="77"/>
      <c r="FA101" s="77"/>
      <c r="FB101" s="77"/>
      <c r="FC101" s="77"/>
      <c r="FD101" s="77"/>
      <c r="FE101" s="77"/>
      <c r="FF101" s="77"/>
      <c r="FG101" s="77"/>
      <c r="FH101" s="77"/>
      <c r="FI101" s="77"/>
      <c r="FJ101" s="77"/>
      <c r="FK101" s="77"/>
      <c r="FL101" s="77"/>
      <c r="FM101" s="77"/>
      <c r="FN101" s="77"/>
      <c r="FO101" s="77"/>
      <c r="FP101" s="77"/>
      <c r="FQ101" s="77"/>
      <c r="FR101" s="77"/>
      <c r="FS101" s="77"/>
      <c r="FT101" s="77"/>
      <c r="FU101" s="77"/>
      <c r="FV101" s="77"/>
      <c r="FW101" s="77"/>
      <c r="FX101" s="77"/>
      <c r="FY101" s="77"/>
      <c r="FZ101" s="77"/>
      <c r="GA101" s="77"/>
      <c r="GB101" s="77"/>
      <c r="GC101" s="77"/>
      <c r="GD101" s="77"/>
      <c r="GE101" s="77"/>
      <c r="GF101" s="77"/>
      <c r="GG101" s="77"/>
      <c r="GH101" s="77"/>
      <c r="GI101" s="77"/>
      <c r="GJ101" s="77"/>
      <c r="GK101" s="77"/>
      <c r="GL101" s="77"/>
      <c r="GM101" s="77"/>
      <c r="GN101" s="77"/>
      <c r="GO101" s="77"/>
      <c r="GP101" s="77"/>
      <c r="GQ101" s="77"/>
      <c r="GR101" s="77"/>
      <c r="GS101" s="77"/>
      <c r="GT101" s="77"/>
      <c r="GU101" s="77"/>
      <c r="GV101" s="77"/>
      <c r="GW101" s="77"/>
      <c r="GX101" s="77"/>
      <c r="GY101" s="77"/>
      <c r="GZ101" s="77"/>
      <c r="HA101" s="77"/>
      <c r="HB101" s="77"/>
      <c r="HC101" s="77"/>
      <c r="HD101" s="77"/>
      <c r="HE101" s="77"/>
      <c r="HF101" s="77"/>
      <c r="HG101" s="77"/>
      <c r="HH101" s="77"/>
      <c r="HI101" s="77"/>
      <c r="HJ101" s="77"/>
      <c r="HK101" s="77"/>
      <c r="HL101" s="77"/>
      <c r="HM101" s="77"/>
      <c r="HN101" s="77"/>
      <c r="HO101" s="77"/>
      <c r="HP101" s="77"/>
      <c r="HQ101" s="77"/>
      <c r="HR101" s="77"/>
      <c r="HS101" s="77"/>
      <c r="HT101" s="77"/>
      <c r="HU101" s="77"/>
      <c r="HV101" s="77"/>
      <c r="HW101" s="77"/>
      <c r="HX101" s="77"/>
      <c r="HY101" s="77"/>
      <c r="HZ101" s="77"/>
      <c r="IA101" s="77"/>
      <c r="IB101" s="77"/>
      <c r="IC101" s="77"/>
      <c r="ID101" s="77"/>
      <c r="IE101" s="77"/>
      <c r="IF101" s="77"/>
      <c r="IG101" s="77"/>
      <c r="IH101" s="77"/>
      <c r="II101" s="77"/>
      <c r="IJ101" s="77"/>
      <c r="IK101" s="77"/>
      <c r="IL101" s="77"/>
      <c r="IM101" s="77"/>
      <c r="IN101" s="77"/>
      <c r="IO101" s="77"/>
      <c r="IP101" s="77"/>
      <c r="IQ101" s="77"/>
      <c r="IR101" s="77"/>
    </row>
    <row r="102" customFormat="false" ht="15" hidden="false" customHeight="false" outlineLevel="0" collapsed="false">
      <c r="A102" s="78"/>
      <c r="B102" s="78"/>
      <c r="C102" s="79"/>
      <c r="D102" s="80"/>
      <c r="E102" s="78"/>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77"/>
      <c r="BJ102" s="77"/>
      <c r="BK102" s="77"/>
      <c r="BL102" s="77"/>
      <c r="BM102" s="77"/>
      <c r="BN102" s="77"/>
      <c r="BO102" s="77"/>
      <c r="BP102" s="77"/>
      <c r="BQ102" s="77"/>
      <c r="BR102" s="77"/>
      <c r="BS102" s="77"/>
      <c r="BT102" s="77"/>
      <c r="BU102" s="77"/>
      <c r="BV102" s="77"/>
      <c r="BW102" s="77"/>
      <c r="BX102" s="77"/>
      <c r="BY102" s="77"/>
      <c r="BZ102" s="77"/>
      <c r="CA102" s="77"/>
      <c r="CB102" s="77"/>
      <c r="CC102" s="77"/>
      <c r="CD102" s="77"/>
      <c r="CE102" s="77"/>
      <c r="CF102" s="77"/>
      <c r="CG102" s="77"/>
      <c r="CH102" s="77"/>
      <c r="CI102" s="77"/>
      <c r="CJ102" s="77"/>
      <c r="CK102" s="77"/>
      <c r="CL102" s="77"/>
      <c r="CM102" s="77"/>
      <c r="CN102" s="77"/>
      <c r="CO102" s="77"/>
      <c r="CP102" s="77"/>
      <c r="CQ102" s="77"/>
      <c r="CR102" s="77"/>
      <c r="CS102" s="77"/>
      <c r="CT102" s="77"/>
      <c r="CU102" s="77"/>
      <c r="CV102" s="77"/>
      <c r="CW102" s="77"/>
      <c r="CX102" s="77"/>
      <c r="CY102" s="77"/>
      <c r="CZ102" s="77"/>
      <c r="DA102" s="77"/>
      <c r="DB102" s="77"/>
      <c r="DC102" s="77"/>
      <c r="DD102" s="77"/>
      <c r="DE102" s="77"/>
      <c r="DF102" s="77"/>
      <c r="DG102" s="77"/>
      <c r="DH102" s="77"/>
      <c r="DI102" s="77"/>
      <c r="DJ102" s="77"/>
      <c r="DK102" s="77"/>
      <c r="DL102" s="77"/>
      <c r="DM102" s="77"/>
      <c r="DN102" s="77"/>
      <c r="DO102" s="77"/>
      <c r="DP102" s="77"/>
      <c r="DQ102" s="77"/>
      <c r="DR102" s="77"/>
      <c r="DS102" s="77"/>
      <c r="DT102" s="77"/>
      <c r="DU102" s="77"/>
      <c r="DV102" s="77"/>
      <c r="DW102" s="77"/>
      <c r="DX102" s="77"/>
      <c r="DY102" s="77"/>
      <c r="DZ102" s="77"/>
      <c r="EA102" s="77"/>
      <c r="EB102" s="77"/>
      <c r="EC102" s="77"/>
      <c r="ED102" s="77"/>
      <c r="EE102" s="77"/>
      <c r="EF102" s="77"/>
      <c r="EG102" s="77"/>
      <c r="EH102" s="77"/>
      <c r="EI102" s="77"/>
      <c r="EJ102" s="77"/>
      <c r="EK102" s="77"/>
      <c r="EL102" s="77"/>
      <c r="EM102" s="77"/>
      <c r="EN102" s="77"/>
      <c r="EO102" s="77"/>
      <c r="EP102" s="77"/>
      <c r="EQ102" s="77"/>
      <c r="ER102" s="77"/>
      <c r="ES102" s="77"/>
      <c r="ET102" s="77"/>
      <c r="EU102" s="77"/>
      <c r="EV102" s="77"/>
      <c r="EW102" s="77"/>
      <c r="EX102" s="77"/>
      <c r="EY102" s="77"/>
      <c r="EZ102" s="77"/>
      <c r="FA102" s="77"/>
      <c r="FB102" s="77"/>
      <c r="FC102" s="77"/>
      <c r="FD102" s="77"/>
      <c r="FE102" s="77"/>
      <c r="FF102" s="77"/>
      <c r="FG102" s="77"/>
      <c r="FH102" s="77"/>
      <c r="FI102" s="77"/>
      <c r="FJ102" s="77"/>
      <c r="FK102" s="77"/>
      <c r="FL102" s="77"/>
      <c r="FM102" s="77"/>
      <c r="FN102" s="77"/>
      <c r="FO102" s="77"/>
      <c r="FP102" s="77"/>
      <c r="FQ102" s="77"/>
      <c r="FR102" s="77"/>
      <c r="FS102" s="77"/>
      <c r="FT102" s="77"/>
      <c r="FU102" s="77"/>
      <c r="FV102" s="77"/>
      <c r="FW102" s="77"/>
      <c r="FX102" s="77"/>
      <c r="FY102" s="77"/>
      <c r="FZ102" s="77"/>
      <c r="GA102" s="77"/>
      <c r="GB102" s="77"/>
      <c r="GC102" s="77"/>
      <c r="GD102" s="77"/>
      <c r="GE102" s="77"/>
      <c r="GF102" s="77"/>
      <c r="GG102" s="77"/>
      <c r="GH102" s="77"/>
      <c r="GI102" s="77"/>
      <c r="GJ102" s="77"/>
      <c r="GK102" s="77"/>
      <c r="GL102" s="77"/>
      <c r="GM102" s="77"/>
      <c r="GN102" s="77"/>
      <c r="GO102" s="77"/>
      <c r="GP102" s="77"/>
      <c r="GQ102" s="77"/>
      <c r="GR102" s="77"/>
      <c r="GS102" s="77"/>
      <c r="GT102" s="77"/>
      <c r="GU102" s="77"/>
      <c r="GV102" s="77"/>
      <c r="GW102" s="77"/>
      <c r="GX102" s="77"/>
      <c r="GY102" s="77"/>
      <c r="GZ102" s="77"/>
      <c r="HA102" s="77"/>
      <c r="HB102" s="77"/>
      <c r="HC102" s="77"/>
      <c r="HD102" s="77"/>
      <c r="HE102" s="77"/>
      <c r="HF102" s="77"/>
      <c r="HG102" s="77"/>
      <c r="HH102" s="77"/>
      <c r="HI102" s="77"/>
      <c r="HJ102" s="77"/>
      <c r="HK102" s="77"/>
      <c r="HL102" s="77"/>
      <c r="HM102" s="77"/>
      <c r="HN102" s="77"/>
      <c r="HO102" s="77"/>
      <c r="HP102" s="77"/>
      <c r="HQ102" s="77"/>
      <c r="HR102" s="77"/>
      <c r="HS102" s="77"/>
      <c r="HT102" s="77"/>
      <c r="HU102" s="77"/>
      <c r="HV102" s="77"/>
      <c r="HW102" s="77"/>
      <c r="HX102" s="77"/>
      <c r="HY102" s="77"/>
      <c r="HZ102" s="77"/>
      <c r="IA102" s="77"/>
      <c r="IB102" s="77"/>
      <c r="IC102" s="77"/>
      <c r="ID102" s="77"/>
      <c r="IE102" s="77"/>
      <c r="IF102" s="77"/>
      <c r="IG102" s="77"/>
      <c r="IH102" s="77"/>
      <c r="II102" s="77"/>
      <c r="IJ102" s="77"/>
      <c r="IK102" s="77"/>
      <c r="IL102" s="77"/>
      <c r="IM102" s="77"/>
      <c r="IN102" s="77"/>
      <c r="IO102" s="77"/>
      <c r="IP102" s="77"/>
      <c r="IQ102" s="77"/>
      <c r="IR102" s="77"/>
    </row>
    <row r="103" customFormat="false" ht="15" hidden="false" customHeight="false" outlineLevel="0" collapsed="false">
      <c r="A103" s="78"/>
      <c r="B103" s="78"/>
      <c r="C103" s="79"/>
      <c r="D103" s="80"/>
      <c r="E103" s="78"/>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77"/>
      <c r="BJ103" s="77"/>
      <c r="BK103" s="77"/>
      <c r="BL103" s="77"/>
      <c r="BM103" s="77"/>
      <c r="BN103" s="77"/>
      <c r="BO103" s="77"/>
      <c r="BP103" s="77"/>
      <c r="BQ103" s="77"/>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c r="DA103" s="77"/>
      <c r="DB103" s="77"/>
      <c r="DC103" s="77"/>
      <c r="DD103" s="77"/>
      <c r="DE103" s="77"/>
      <c r="DF103" s="77"/>
      <c r="DG103" s="77"/>
      <c r="DH103" s="77"/>
      <c r="DI103" s="77"/>
      <c r="DJ103" s="77"/>
      <c r="DK103" s="77"/>
      <c r="DL103" s="77"/>
      <c r="DM103" s="77"/>
      <c r="DN103" s="77"/>
      <c r="DO103" s="77"/>
      <c r="DP103" s="77"/>
      <c r="DQ103" s="77"/>
      <c r="DR103" s="77"/>
      <c r="DS103" s="77"/>
      <c r="DT103" s="77"/>
      <c r="DU103" s="77"/>
      <c r="DV103" s="77"/>
      <c r="DW103" s="77"/>
      <c r="DX103" s="77"/>
      <c r="DY103" s="77"/>
      <c r="DZ103" s="77"/>
      <c r="EA103" s="77"/>
      <c r="EB103" s="77"/>
      <c r="EC103" s="77"/>
      <c r="ED103" s="77"/>
      <c r="EE103" s="77"/>
      <c r="EF103" s="77"/>
      <c r="EG103" s="77"/>
      <c r="EH103" s="77"/>
      <c r="EI103" s="77"/>
      <c r="EJ103" s="77"/>
      <c r="EK103" s="77"/>
      <c r="EL103" s="77"/>
      <c r="EM103" s="77"/>
      <c r="EN103" s="77"/>
      <c r="EO103" s="77"/>
      <c r="EP103" s="77"/>
      <c r="EQ103" s="77"/>
      <c r="ER103" s="77"/>
      <c r="ES103" s="77"/>
      <c r="ET103" s="77"/>
      <c r="EU103" s="77"/>
      <c r="EV103" s="77"/>
      <c r="EW103" s="77"/>
      <c r="EX103" s="77"/>
      <c r="EY103" s="77"/>
      <c r="EZ103" s="77"/>
      <c r="FA103" s="77"/>
      <c r="FB103" s="77"/>
      <c r="FC103" s="77"/>
      <c r="FD103" s="77"/>
      <c r="FE103" s="77"/>
      <c r="FF103" s="77"/>
      <c r="FG103" s="77"/>
      <c r="FH103" s="77"/>
      <c r="FI103" s="77"/>
      <c r="FJ103" s="77"/>
      <c r="FK103" s="77"/>
      <c r="FL103" s="77"/>
      <c r="FM103" s="77"/>
      <c r="FN103" s="77"/>
      <c r="FO103" s="77"/>
      <c r="FP103" s="77"/>
      <c r="FQ103" s="77"/>
      <c r="FR103" s="77"/>
      <c r="FS103" s="77"/>
      <c r="FT103" s="77"/>
      <c r="FU103" s="77"/>
      <c r="FV103" s="77"/>
      <c r="FW103" s="77"/>
      <c r="FX103" s="77"/>
      <c r="FY103" s="77"/>
      <c r="FZ103" s="77"/>
      <c r="GA103" s="77"/>
      <c r="GB103" s="77"/>
      <c r="GC103" s="77"/>
      <c r="GD103" s="77"/>
      <c r="GE103" s="77"/>
      <c r="GF103" s="77"/>
      <c r="GG103" s="77"/>
      <c r="GH103" s="77"/>
      <c r="GI103" s="77"/>
      <c r="GJ103" s="77"/>
      <c r="GK103" s="77"/>
      <c r="GL103" s="77"/>
      <c r="GM103" s="77"/>
      <c r="GN103" s="77"/>
      <c r="GO103" s="77"/>
      <c r="GP103" s="77"/>
      <c r="GQ103" s="77"/>
      <c r="GR103" s="77"/>
      <c r="GS103" s="77"/>
      <c r="GT103" s="77"/>
      <c r="GU103" s="77"/>
      <c r="GV103" s="77"/>
      <c r="GW103" s="77"/>
      <c r="GX103" s="77"/>
      <c r="GY103" s="77"/>
      <c r="GZ103" s="77"/>
      <c r="HA103" s="77"/>
      <c r="HB103" s="77"/>
      <c r="HC103" s="77"/>
      <c r="HD103" s="77"/>
      <c r="HE103" s="77"/>
      <c r="HF103" s="77"/>
      <c r="HG103" s="77"/>
      <c r="HH103" s="77"/>
      <c r="HI103" s="77"/>
      <c r="HJ103" s="77"/>
      <c r="HK103" s="77"/>
      <c r="HL103" s="77"/>
      <c r="HM103" s="77"/>
      <c r="HN103" s="77"/>
      <c r="HO103" s="77"/>
      <c r="HP103" s="77"/>
      <c r="HQ103" s="77"/>
      <c r="HR103" s="77"/>
      <c r="HS103" s="77"/>
      <c r="HT103" s="77"/>
      <c r="HU103" s="77"/>
      <c r="HV103" s="77"/>
      <c r="HW103" s="77"/>
      <c r="HX103" s="77"/>
      <c r="HY103" s="77"/>
      <c r="HZ103" s="77"/>
      <c r="IA103" s="77"/>
      <c r="IB103" s="77"/>
      <c r="IC103" s="77"/>
      <c r="ID103" s="77"/>
      <c r="IE103" s="77"/>
      <c r="IF103" s="77"/>
      <c r="IG103" s="77"/>
      <c r="IH103" s="77"/>
      <c r="II103" s="77"/>
      <c r="IJ103" s="77"/>
      <c r="IK103" s="77"/>
      <c r="IL103" s="77"/>
      <c r="IM103" s="77"/>
      <c r="IN103" s="77"/>
      <c r="IO103" s="77"/>
      <c r="IP103" s="77"/>
      <c r="IQ103" s="77"/>
      <c r="IR103" s="77"/>
    </row>
    <row r="104" customFormat="false" ht="15" hidden="false" customHeight="false" outlineLevel="0" collapsed="false">
      <c r="A104" s="78"/>
      <c r="B104" s="78"/>
      <c r="C104" s="79"/>
      <c r="D104" s="80"/>
      <c r="E104" s="78"/>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c r="BH104" s="77"/>
      <c r="BI104" s="77"/>
      <c r="BJ104" s="77"/>
      <c r="BK104" s="77"/>
      <c r="BL104" s="77"/>
      <c r="BM104" s="77"/>
      <c r="BN104" s="77"/>
      <c r="BO104" s="77"/>
      <c r="BP104" s="77"/>
      <c r="BQ104" s="77"/>
      <c r="BR104" s="77"/>
      <c r="BS104" s="77"/>
      <c r="BT104" s="77"/>
      <c r="BU104" s="77"/>
      <c r="BV104" s="77"/>
      <c r="BW104" s="77"/>
      <c r="BX104" s="77"/>
      <c r="BY104" s="77"/>
      <c r="BZ104" s="77"/>
      <c r="CA104" s="77"/>
      <c r="CB104" s="77"/>
      <c r="CC104" s="77"/>
      <c r="CD104" s="77"/>
      <c r="CE104" s="77"/>
      <c r="CF104" s="77"/>
      <c r="CG104" s="77"/>
      <c r="CH104" s="77"/>
      <c r="CI104" s="77"/>
      <c r="CJ104" s="77"/>
      <c r="CK104" s="77"/>
      <c r="CL104" s="77"/>
      <c r="CM104" s="77"/>
      <c r="CN104" s="77"/>
      <c r="CO104" s="77"/>
      <c r="CP104" s="77"/>
      <c r="CQ104" s="77"/>
      <c r="CR104" s="77"/>
      <c r="CS104" s="77"/>
      <c r="CT104" s="77"/>
      <c r="CU104" s="77"/>
      <c r="CV104" s="77"/>
      <c r="CW104" s="77"/>
      <c r="CX104" s="77"/>
      <c r="CY104" s="77"/>
      <c r="CZ104" s="77"/>
      <c r="DA104" s="77"/>
      <c r="DB104" s="77"/>
      <c r="DC104" s="77"/>
      <c r="DD104" s="77"/>
      <c r="DE104" s="77"/>
      <c r="DF104" s="77"/>
      <c r="DG104" s="77"/>
      <c r="DH104" s="77"/>
      <c r="DI104" s="77"/>
      <c r="DJ104" s="77"/>
      <c r="DK104" s="77"/>
      <c r="DL104" s="77"/>
      <c r="DM104" s="77"/>
      <c r="DN104" s="77"/>
      <c r="DO104" s="77"/>
      <c r="DP104" s="77"/>
      <c r="DQ104" s="77"/>
      <c r="DR104" s="77"/>
      <c r="DS104" s="77"/>
      <c r="DT104" s="77"/>
      <c r="DU104" s="77"/>
      <c r="DV104" s="77"/>
      <c r="DW104" s="77"/>
      <c r="DX104" s="77"/>
      <c r="DY104" s="77"/>
      <c r="DZ104" s="77"/>
      <c r="EA104" s="77"/>
      <c r="EB104" s="77"/>
      <c r="EC104" s="77"/>
      <c r="ED104" s="77"/>
      <c r="EE104" s="77"/>
      <c r="EF104" s="77"/>
      <c r="EG104" s="77"/>
      <c r="EH104" s="77"/>
      <c r="EI104" s="77"/>
      <c r="EJ104" s="77"/>
      <c r="EK104" s="77"/>
      <c r="EL104" s="77"/>
      <c r="EM104" s="77"/>
      <c r="EN104" s="77"/>
      <c r="EO104" s="77"/>
      <c r="EP104" s="77"/>
      <c r="EQ104" s="77"/>
      <c r="ER104" s="77"/>
      <c r="ES104" s="77"/>
      <c r="ET104" s="77"/>
      <c r="EU104" s="77"/>
      <c r="EV104" s="77"/>
      <c r="EW104" s="77"/>
      <c r="EX104" s="77"/>
      <c r="EY104" s="77"/>
      <c r="EZ104" s="77"/>
      <c r="FA104" s="77"/>
      <c r="FB104" s="77"/>
      <c r="FC104" s="77"/>
      <c r="FD104" s="77"/>
      <c r="FE104" s="77"/>
      <c r="FF104" s="77"/>
      <c r="FG104" s="77"/>
      <c r="FH104" s="77"/>
      <c r="FI104" s="77"/>
      <c r="FJ104" s="77"/>
      <c r="FK104" s="77"/>
      <c r="FL104" s="77"/>
      <c r="FM104" s="77"/>
      <c r="FN104" s="77"/>
      <c r="FO104" s="77"/>
      <c r="FP104" s="77"/>
      <c r="FQ104" s="77"/>
      <c r="FR104" s="77"/>
      <c r="FS104" s="77"/>
      <c r="FT104" s="77"/>
      <c r="FU104" s="77"/>
      <c r="FV104" s="77"/>
      <c r="FW104" s="77"/>
      <c r="FX104" s="77"/>
      <c r="FY104" s="77"/>
      <c r="FZ104" s="77"/>
      <c r="GA104" s="77"/>
      <c r="GB104" s="77"/>
      <c r="GC104" s="77"/>
      <c r="GD104" s="77"/>
      <c r="GE104" s="77"/>
      <c r="GF104" s="77"/>
      <c r="GG104" s="77"/>
      <c r="GH104" s="77"/>
      <c r="GI104" s="77"/>
      <c r="GJ104" s="77"/>
      <c r="GK104" s="77"/>
      <c r="GL104" s="77"/>
      <c r="GM104" s="77"/>
      <c r="GN104" s="77"/>
      <c r="GO104" s="77"/>
      <c r="GP104" s="77"/>
      <c r="GQ104" s="77"/>
      <c r="GR104" s="77"/>
      <c r="GS104" s="77"/>
      <c r="GT104" s="77"/>
      <c r="GU104" s="77"/>
      <c r="GV104" s="77"/>
      <c r="GW104" s="77"/>
      <c r="GX104" s="77"/>
      <c r="GY104" s="77"/>
      <c r="GZ104" s="77"/>
      <c r="HA104" s="77"/>
      <c r="HB104" s="77"/>
      <c r="HC104" s="77"/>
      <c r="HD104" s="77"/>
      <c r="HE104" s="77"/>
      <c r="HF104" s="77"/>
      <c r="HG104" s="77"/>
      <c r="HH104" s="77"/>
      <c r="HI104" s="77"/>
      <c r="HJ104" s="77"/>
      <c r="HK104" s="77"/>
      <c r="HL104" s="77"/>
      <c r="HM104" s="77"/>
      <c r="HN104" s="77"/>
      <c r="HO104" s="77"/>
      <c r="HP104" s="77"/>
      <c r="HQ104" s="77"/>
      <c r="HR104" s="77"/>
      <c r="HS104" s="77"/>
      <c r="HT104" s="77"/>
      <c r="HU104" s="77"/>
      <c r="HV104" s="77"/>
      <c r="HW104" s="77"/>
      <c r="HX104" s="77"/>
      <c r="HY104" s="77"/>
      <c r="HZ104" s="77"/>
      <c r="IA104" s="77"/>
      <c r="IB104" s="77"/>
      <c r="IC104" s="77"/>
      <c r="ID104" s="77"/>
      <c r="IE104" s="77"/>
      <c r="IF104" s="77"/>
      <c r="IG104" s="77"/>
      <c r="IH104" s="77"/>
      <c r="II104" s="77"/>
      <c r="IJ104" s="77"/>
      <c r="IK104" s="77"/>
      <c r="IL104" s="77"/>
      <c r="IM104" s="77"/>
      <c r="IN104" s="77"/>
      <c r="IO104" s="77"/>
      <c r="IP104" s="77"/>
      <c r="IQ104" s="77"/>
      <c r="IR104" s="77"/>
    </row>
    <row r="105" customFormat="false" ht="15" hidden="false" customHeight="false" outlineLevel="0" collapsed="false">
      <c r="A105" s="78"/>
      <c r="B105" s="78"/>
      <c r="C105" s="79"/>
      <c r="D105" s="80"/>
      <c r="E105" s="78"/>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7"/>
      <c r="BI105" s="77"/>
      <c r="BJ105" s="77"/>
      <c r="BK105" s="77"/>
      <c r="BL105" s="77"/>
      <c r="BM105" s="77"/>
      <c r="BN105" s="77"/>
      <c r="BO105" s="77"/>
      <c r="BP105" s="77"/>
      <c r="BQ105" s="77"/>
      <c r="BR105" s="77"/>
      <c r="BS105" s="77"/>
      <c r="BT105" s="77"/>
      <c r="BU105" s="77"/>
      <c r="BV105" s="77"/>
      <c r="BW105" s="77"/>
      <c r="BX105" s="77"/>
      <c r="BY105" s="77"/>
      <c r="BZ105" s="77"/>
      <c r="CA105" s="77"/>
      <c r="CB105" s="77"/>
      <c r="CC105" s="77"/>
      <c r="CD105" s="77"/>
      <c r="CE105" s="77"/>
      <c r="CF105" s="77"/>
      <c r="CG105" s="77"/>
      <c r="CH105" s="77"/>
      <c r="CI105" s="77"/>
      <c r="CJ105" s="77"/>
      <c r="CK105" s="77"/>
      <c r="CL105" s="77"/>
      <c r="CM105" s="77"/>
      <c r="CN105" s="77"/>
      <c r="CO105" s="77"/>
      <c r="CP105" s="77"/>
      <c r="CQ105" s="77"/>
      <c r="CR105" s="77"/>
      <c r="CS105" s="77"/>
      <c r="CT105" s="77"/>
      <c r="CU105" s="77"/>
      <c r="CV105" s="77"/>
      <c r="CW105" s="77"/>
      <c r="CX105" s="77"/>
      <c r="CY105" s="77"/>
      <c r="CZ105" s="77"/>
      <c r="DA105" s="77"/>
      <c r="DB105" s="77"/>
      <c r="DC105" s="77"/>
      <c r="DD105" s="77"/>
      <c r="DE105" s="77"/>
      <c r="DF105" s="77"/>
      <c r="DG105" s="77"/>
      <c r="DH105" s="77"/>
      <c r="DI105" s="77"/>
      <c r="DJ105" s="77"/>
      <c r="DK105" s="77"/>
      <c r="DL105" s="77"/>
      <c r="DM105" s="77"/>
      <c r="DN105" s="77"/>
      <c r="DO105" s="77"/>
      <c r="DP105" s="77"/>
      <c r="DQ105" s="77"/>
      <c r="DR105" s="77"/>
      <c r="DS105" s="77"/>
      <c r="DT105" s="77"/>
      <c r="DU105" s="77"/>
      <c r="DV105" s="77"/>
      <c r="DW105" s="77"/>
      <c r="DX105" s="77"/>
      <c r="DY105" s="77"/>
      <c r="DZ105" s="77"/>
      <c r="EA105" s="77"/>
      <c r="EB105" s="77"/>
      <c r="EC105" s="77"/>
      <c r="ED105" s="77"/>
      <c r="EE105" s="77"/>
      <c r="EF105" s="77"/>
      <c r="EG105" s="77"/>
      <c r="EH105" s="77"/>
      <c r="EI105" s="77"/>
      <c r="EJ105" s="77"/>
      <c r="EK105" s="77"/>
      <c r="EL105" s="77"/>
      <c r="EM105" s="77"/>
      <c r="EN105" s="77"/>
      <c r="EO105" s="77"/>
      <c r="EP105" s="77"/>
      <c r="EQ105" s="77"/>
      <c r="ER105" s="77"/>
      <c r="ES105" s="77"/>
      <c r="ET105" s="77"/>
      <c r="EU105" s="77"/>
      <c r="EV105" s="77"/>
      <c r="EW105" s="77"/>
      <c r="EX105" s="77"/>
      <c r="EY105" s="77"/>
      <c r="EZ105" s="77"/>
      <c r="FA105" s="77"/>
      <c r="FB105" s="77"/>
      <c r="FC105" s="77"/>
      <c r="FD105" s="77"/>
      <c r="FE105" s="77"/>
      <c r="FF105" s="77"/>
      <c r="FG105" s="77"/>
      <c r="FH105" s="77"/>
      <c r="FI105" s="77"/>
      <c r="FJ105" s="77"/>
      <c r="FK105" s="77"/>
      <c r="FL105" s="77"/>
      <c r="FM105" s="77"/>
      <c r="FN105" s="77"/>
      <c r="FO105" s="77"/>
      <c r="FP105" s="77"/>
      <c r="FQ105" s="77"/>
      <c r="FR105" s="77"/>
      <c r="FS105" s="77"/>
      <c r="FT105" s="77"/>
      <c r="FU105" s="77"/>
      <c r="FV105" s="77"/>
      <c r="FW105" s="77"/>
      <c r="FX105" s="77"/>
      <c r="FY105" s="77"/>
      <c r="FZ105" s="77"/>
      <c r="GA105" s="77"/>
      <c r="GB105" s="77"/>
      <c r="GC105" s="77"/>
      <c r="GD105" s="77"/>
      <c r="GE105" s="77"/>
      <c r="GF105" s="77"/>
      <c r="GG105" s="77"/>
      <c r="GH105" s="77"/>
      <c r="GI105" s="77"/>
      <c r="GJ105" s="77"/>
      <c r="GK105" s="77"/>
      <c r="GL105" s="77"/>
      <c r="GM105" s="77"/>
      <c r="GN105" s="77"/>
      <c r="GO105" s="77"/>
      <c r="GP105" s="77"/>
      <c r="GQ105" s="77"/>
      <c r="GR105" s="77"/>
      <c r="GS105" s="77"/>
      <c r="GT105" s="77"/>
      <c r="GU105" s="77"/>
      <c r="GV105" s="77"/>
      <c r="GW105" s="77"/>
      <c r="GX105" s="77"/>
      <c r="GY105" s="77"/>
      <c r="GZ105" s="77"/>
      <c r="HA105" s="77"/>
      <c r="HB105" s="77"/>
      <c r="HC105" s="77"/>
      <c r="HD105" s="77"/>
      <c r="HE105" s="77"/>
      <c r="HF105" s="77"/>
      <c r="HG105" s="77"/>
      <c r="HH105" s="77"/>
      <c r="HI105" s="77"/>
      <c r="HJ105" s="77"/>
      <c r="HK105" s="77"/>
      <c r="HL105" s="77"/>
      <c r="HM105" s="77"/>
      <c r="HN105" s="77"/>
      <c r="HO105" s="77"/>
      <c r="HP105" s="77"/>
      <c r="HQ105" s="77"/>
      <c r="HR105" s="77"/>
      <c r="HS105" s="77"/>
      <c r="HT105" s="77"/>
      <c r="HU105" s="77"/>
      <c r="HV105" s="77"/>
      <c r="HW105" s="77"/>
      <c r="HX105" s="77"/>
      <c r="HY105" s="77"/>
      <c r="HZ105" s="77"/>
      <c r="IA105" s="77"/>
      <c r="IB105" s="77"/>
      <c r="IC105" s="77"/>
      <c r="ID105" s="77"/>
      <c r="IE105" s="77"/>
      <c r="IF105" s="77"/>
      <c r="IG105" s="77"/>
      <c r="IH105" s="77"/>
      <c r="II105" s="77"/>
      <c r="IJ105" s="77"/>
      <c r="IK105" s="77"/>
      <c r="IL105" s="77"/>
      <c r="IM105" s="77"/>
      <c r="IN105" s="77"/>
      <c r="IO105" s="77"/>
      <c r="IP105" s="77"/>
      <c r="IQ105" s="77"/>
      <c r="IR105" s="77"/>
    </row>
    <row r="106" customFormat="false" ht="15" hidden="false" customHeight="false" outlineLevel="0" collapsed="false">
      <c r="A106" s="78"/>
      <c r="B106" s="78"/>
      <c r="C106" s="79"/>
      <c r="D106" s="80"/>
      <c r="E106" s="78"/>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7"/>
      <c r="BI106" s="77"/>
      <c r="BJ106" s="77"/>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7"/>
      <c r="DU106" s="77"/>
      <c r="DV106" s="77"/>
      <c r="DW106" s="77"/>
      <c r="DX106" s="77"/>
      <c r="DY106" s="77"/>
      <c r="DZ106" s="77"/>
      <c r="EA106" s="77"/>
      <c r="EB106" s="77"/>
      <c r="EC106" s="77"/>
      <c r="ED106" s="77"/>
      <c r="EE106" s="77"/>
      <c r="EF106" s="77"/>
      <c r="EG106" s="77"/>
      <c r="EH106" s="77"/>
      <c r="EI106" s="77"/>
      <c r="EJ106" s="77"/>
      <c r="EK106" s="77"/>
      <c r="EL106" s="77"/>
      <c r="EM106" s="77"/>
      <c r="EN106" s="77"/>
      <c r="EO106" s="77"/>
      <c r="EP106" s="77"/>
      <c r="EQ106" s="77"/>
      <c r="ER106" s="77"/>
      <c r="ES106" s="77"/>
      <c r="ET106" s="77"/>
      <c r="EU106" s="77"/>
      <c r="EV106" s="77"/>
      <c r="EW106" s="77"/>
      <c r="EX106" s="77"/>
      <c r="EY106" s="77"/>
      <c r="EZ106" s="77"/>
      <c r="FA106" s="77"/>
      <c r="FB106" s="77"/>
      <c r="FC106" s="77"/>
      <c r="FD106" s="77"/>
      <c r="FE106" s="77"/>
      <c r="FF106" s="77"/>
      <c r="FG106" s="77"/>
      <c r="FH106" s="77"/>
      <c r="FI106" s="77"/>
      <c r="FJ106" s="77"/>
      <c r="FK106" s="77"/>
      <c r="FL106" s="77"/>
      <c r="FM106" s="77"/>
      <c r="FN106" s="77"/>
      <c r="FO106" s="77"/>
      <c r="FP106" s="77"/>
      <c r="FQ106" s="77"/>
      <c r="FR106" s="77"/>
      <c r="FS106" s="77"/>
      <c r="FT106" s="77"/>
      <c r="FU106" s="77"/>
      <c r="FV106" s="77"/>
      <c r="FW106" s="77"/>
      <c r="FX106" s="77"/>
      <c r="FY106" s="77"/>
      <c r="FZ106" s="77"/>
      <c r="GA106" s="77"/>
      <c r="GB106" s="77"/>
      <c r="GC106" s="77"/>
      <c r="GD106" s="77"/>
      <c r="GE106" s="77"/>
      <c r="GF106" s="77"/>
      <c r="GG106" s="77"/>
      <c r="GH106" s="77"/>
      <c r="GI106" s="77"/>
      <c r="GJ106" s="77"/>
      <c r="GK106" s="77"/>
      <c r="GL106" s="77"/>
      <c r="GM106" s="77"/>
      <c r="GN106" s="77"/>
      <c r="GO106" s="77"/>
      <c r="GP106" s="77"/>
      <c r="GQ106" s="77"/>
      <c r="GR106" s="77"/>
      <c r="GS106" s="77"/>
      <c r="GT106" s="77"/>
      <c r="GU106" s="77"/>
      <c r="GV106" s="77"/>
      <c r="GW106" s="77"/>
      <c r="GX106" s="77"/>
      <c r="GY106" s="77"/>
      <c r="GZ106" s="77"/>
      <c r="HA106" s="77"/>
      <c r="HB106" s="77"/>
      <c r="HC106" s="77"/>
      <c r="HD106" s="77"/>
      <c r="HE106" s="77"/>
      <c r="HF106" s="77"/>
      <c r="HG106" s="77"/>
      <c r="HH106" s="77"/>
      <c r="HI106" s="77"/>
      <c r="HJ106" s="77"/>
      <c r="HK106" s="77"/>
      <c r="HL106" s="77"/>
      <c r="HM106" s="77"/>
      <c r="HN106" s="77"/>
      <c r="HO106" s="77"/>
      <c r="HP106" s="77"/>
      <c r="HQ106" s="77"/>
      <c r="HR106" s="77"/>
      <c r="HS106" s="77"/>
      <c r="HT106" s="77"/>
      <c r="HU106" s="77"/>
      <c r="HV106" s="77"/>
      <c r="HW106" s="77"/>
      <c r="HX106" s="77"/>
      <c r="HY106" s="77"/>
      <c r="HZ106" s="77"/>
      <c r="IA106" s="77"/>
      <c r="IB106" s="77"/>
      <c r="IC106" s="77"/>
      <c r="ID106" s="77"/>
      <c r="IE106" s="77"/>
      <c r="IF106" s="77"/>
      <c r="IG106" s="77"/>
      <c r="IH106" s="77"/>
      <c r="II106" s="77"/>
      <c r="IJ106" s="77"/>
      <c r="IK106" s="77"/>
      <c r="IL106" s="77"/>
      <c r="IM106" s="77"/>
      <c r="IN106" s="77"/>
      <c r="IO106" s="77"/>
      <c r="IP106" s="77"/>
      <c r="IQ106" s="77"/>
      <c r="IR106" s="77"/>
    </row>
    <row r="107" customFormat="false" ht="15" hidden="false" customHeight="false" outlineLevel="0" collapsed="false">
      <c r="A107" s="78"/>
      <c r="B107" s="78"/>
      <c r="C107" s="79"/>
      <c r="D107" s="80"/>
      <c r="E107" s="78"/>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c r="BH107" s="77"/>
      <c r="BI107" s="77"/>
      <c r="BJ107" s="77"/>
      <c r="BK107" s="77"/>
      <c r="BL107" s="77"/>
      <c r="BM107" s="77"/>
      <c r="BN107" s="77"/>
      <c r="BO107" s="77"/>
      <c r="BP107" s="77"/>
      <c r="BQ107" s="77"/>
      <c r="BR107" s="77"/>
      <c r="BS107" s="77"/>
      <c r="BT107" s="77"/>
      <c r="BU107" s="77"/>
      <c r="BV107" s="77"/>
      <c r="BW107" s="77"/>
      <c r="BX107" s="77"/>
      <c r="BY107" s="77"/>
      <c r="BZ107" s="77"/>
      <c r="CA107" s="77"/>
      <c r="CB107" s="77"/>
      <c r="CC107" s="77"/>
      <c r="CD107" s="77"/>
      <c r="CE107" s="77"/>
      <c r="CF107" s="77"/>
      <c r="CG107" s="77"/>
      <c r="CH107" s="77"/>
      <c r="CI107" s="77"/>
      <c r="CJ107" s="77"/>
      <c r="CK107" s="77"/>
      <c r="CL107" s="77"/>
      <c r="CM107" s="77"/>
      <c r="CN107" s="77"/>
      <c r="CO107" s="77"/>
      <c r="CP107" s="77"/>
      <c r="CQ107" s="77"/>
      <c r="CR107" s="77"/>
      <c r="CS107" s="77"/>
      <c r="CT107" s="77"/>
      <c r="CU107" s="77"/>
      <c r="CV107" s="77"/>
      <c r="CW107" s="77"/>
      <c r="CX107" s="77"/>
      <c r="CY107" s="77"/>
      <c r="CZ107" s="77"/>
      <c r="DA107" s="77"/>
      <c r="DB107" s="77"/>
      <c r="DC107" s="77"/>
      <c r="DD107" s="77"/>
      <c r="DE107" s="77"/>
      <c r="DF107" s="77"/>
      <c r="DG107" s="77"/>
      <c r="DH107" s="77"/>
      <c r="DI107" s="77"/>
      <c r="DJ107" s="77"/>
      <c r="DK107" s="77"/>
      <c r="DL107" s="77"/>
      <c r="DM107" s="77"/>
      <c r="DN107" s="77"/>
      <c r="DO107" s="77"/>
      <c r="DP107" s="77"/>
      <c r="DQ107" s="77"/>
      <c r="DR107" s="77"/>
      <c r="DS107" s="77"/>
      <c r="DT107" s="77"/>
      <c r="DU107" s="77"/>
      <c r="DV107" s="77"/>
      <c r="DW107" s="77"/>
      <c r="DX107" s="77"/>
      <c r="DY107" s="77"/>
      <c r="DZ107" s="77"/>
      <c r="EA107" s="77"/>
      <c r="EB107" s="77"/>
      <c r="EC107" s="77"/>
      <c r="ED107" s="77"/>
      <c r="EE107" s="77"/>
      <c r="EF107" s="77"/>
      <c r="EG107" s="77"/>
      <c r="EH107" s="77"/>
      <c r="EI107" s="77"/>
      <c r="EJ107" s="77"/>
      <c r="EK107" s="77"/>
      <c r="EL107" s="77"/>
      <c r="EM107" s="77"/>
      <c r="EN107" s="77"/>
      <c r="EO107" s="77"/>
      <c r="EP107" s="77"/>
      <c r="EQ107" s="77"/>
      <c r="ER107" s="77"/>
      <c r="ES107" s="77"/>
      <c r="ET107" s="77"/>
      <c r="EU107" s="77"/>
      <c r="EV107" s="77"/>
      <c r="EW107" s="77"/>
      <c r="EX107" s="77"/>
      <c r="EY107" s="77"/>
      <c r="EZ107" s="77"/>
      <c r="FA107" s="77"/>
      <c r="FB107" s="77"/>
      <c r="FC107" s="77"/>
      <c r="FD107" s="77"/>
      <c r="FE107" s="77"/>
      <c r="FF107" s="77"/>
      <c r="FG107" s="77"/>
      <c r="FH107" s="77"/>
      <c r="FI107" s="77"/>
      <c r="FJ107" s="77"/>
      <c r="FK107" s="77"/>
      <c r="FL107" s="77"/>
      <c r="FM107" s="77"/>
      <c r="FN107" s="77"/>
      <c r="FO107" s="77"/>
      <c r="FP107" s="77"/>
      <c r="FQ107" s="77"/>
      <c r="FR107" s="77"/>
      <c r="FS107" s="77"/>
      <c r="FT107" s="77"/>
      <c r="FU107" s="77"/>
      <c r="FV107" s="77"/>
      <c r="FW107" s="77"/>
      <c r="FX107" s="77"/>
      <c r="FY107" s="77"/>
      <c r="FZ107" s="77"/>
      <c r="GA107" s="77"/>
      <c r="GB107" s="77"/>
      <c r="GC107" s="77"/>
      <c r="GD107" s="77"/>
      <c r="GE107" s="77"/>
      <c r="GF107" s="77"/>
      <c r="GG107" s="77"/>
      <c r="GH107" s="77"/>
      <c r="GI107" s="77"/>
      <c r="GJ107" s="77"/>
      <c r="GK107" s="77"/>
      <c r="GL107" s="77"/>
      <c r="GM107" s="77"/>
      <c r="GN107" s="77"/>
      <c r="GO107" s="77"/>
      <c r="GP107" s="77"/>
      <c r="GQ107" s="77"/>
      <c r="GR107" s="77"/>
      <c r="GS107" s="77"/>
      <c r="GT107" s="77"/>
      <c r="GU107" s="77"/>
      <c r="GV107" s="77"/>
      <c r="GW107" s="77"/>
      <c r="GX107" s="77"/>
      <c r="GY107" s="77"/>
      <c r="GZ107" s="77"/>
      <c r="HA107" s="77"/>
      <c r="HB107" s="77"/>
      <c r="HC107" s="77"/>
      <c r="HD107" s="77"/>
      <c r="HE107" s="77"/>
      <c r="HF107" s="77"/>
      <c r="HG107" s="77"/>
      <c r="HH107" s="77"/>
      <c r="HI107" s="77"/>
      <c r="HJ107" s="77"/>
      <c r="HK107" s="77"/>
      <c r="HL107" s="77"/>
      <c r="HM107" s="77"/>
      <c r="HN107" s="77"/>
      <c r="HO107" s="77"/>
      <c r="HP107" s="77"/>
      <c r="HQ107" s="77"/>
      <c r="HR107" s="77"/>
      <c r="HS107" s="77"/>
      <c r="HT107" s="77"/>
      <c r="HU107" s="77"/>
      <c r="HV107" s="77"/>
      <c r="HW107" s="77"/>
      <c r="HX107" s="77"/>
      <c r="HY107" s="77"/>
      <c r="HZ107" s="77"/>
      <c r="IA107" s="77"/>
      <c r="IB107" s="77"/>
      <c r="IC107" s="77"/>
      <c r="ID107" s="77"/>
      <c r="IE107" s="77"/>
      <c r="IF107" s="77"/>
      <c r="IG107" s="77"/>
      <c r="IH107" s="77"/>
      <c r="II107" s="77"/>
      <c r="IJ107" s="77"/>
      <c r="IK107" s="77"/>
      <c r="IL107" s="77"/>
      <c r="IM107" s="77"/>
      <c r="IN107" s="77"/>
      <c r="IO107" s="77"/>
      <c r="IP107" s="77"/>
      <c r="IQ107" s="77"/>
      <c r="IR107" s="77"/>
    </row>
    <row r="108" customFormat="false" ht="15" hidden="false" customHeight="false" outlineLevel="0" collapsed="false">
      <c r="A108" s="78"/>
      <c r="B108" s="78"/>
      <c r="C108" s="79"/>
      <c r="D108" s="80"/>
      <c r="E108" s="78"/>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c r="BH108" s="77"/>
      <c r="BI108" s="77"/>
      <c r="BJ108" s="77"/>
      <c r="BK108" s="77"/>
      <c r="BL108" s="77"/>
      <c r="BM108" s="77"/>
      <c r="BN108" s="77"/>
      <c r="BO108" s="77"/>
      <c r="BP108" s="77"/>
      <c r="BQ108" s="77"/>
      <c r="BR108" s="77"/>
      <c r="BS108" s="77"/>
      <c r="BT108" s="77"/>
      <c r="BU108" s="77"/>
      <c r="BV108" s="77"/>
      <c r="BW108" s="77"/>
      <c r="BX108" s="77"/>
      <c r="BY108" s="77"/>
      <c r="BZ108" s="77"/>
      <c r="CA108" s="77"/>
      <c r="CB108" s="77"/>
      <c r="CC108" s="77"/>
      <c r="CD108" s="77"/>
      <c r="CE108" s="77"/>
      <c r="CF108" s="77"/>
      <c r="CG108" s="77"/>
      <c r="CH108" s="77"/>
      <c r="CI108" s="77"/>
      <c r="CJ108" s="77"/>
      <c r="CK108" s="77"/>
      <c r="CL108" s="77"/>
      <c r="CM108" s="77"/>
      <c r="CN108" s="77"/>
      <c r="CO108" s="77"/>
      <c r="CP108" s="77"/>
      <c r="CQ108" s="77"/>
      <c r="CR108" s="77"/>
      <c r="CS108" s="77"/>
      <c r="CT108" s="77"/>
      <c r="CU108" s="77"/>
      <c r="CV108" s="77"/>
      <c r="CW108" s="77"/>
      <c r="CX108" s="77"/>
      <c r="CY108" s="77"/>
      <c r="CZ108" s="77"/>
      <c r="DA108" s="77"/>
      <c r="DB108" s="77"/>
      <c r="DC108" s="77"/>
      <c r="DD108" s="77"/>
      <c r="DE108" s="77"/>
      <c r="DF108" s="77"/>
      <c r="DG108" s="77"/>
      <c r="DH108" s="77"/>
      <c r="DI108" s="77"/>
      <c r="DJ108" s="77"/>
      <c r="DK108" s="77"/>
      <c r="DL108" s="77"/>
      <c r="DM108" s="77"/>
      <c r="DN108" s="77"/>
      <c r="DO108" s="77"/>
      <c r="DP108" s="77"/>
      <c r="DQ108" s="77"/>
      <c r="DR108" s="77"/>
      <c r="DS108" s="77"/>
      <c r="DT108" s="77"/>
      <c r="DU108" s="77"/>
      <c r="DV108" s="77"/>
      <c r="DW108" s="77"/>
      <c r="DX108" s="77"/>
      <c r="DY108" s="77"/>
      <c r="DZ108" s="77"/>
      <c r="EA108" s="77"/>
      <c r="EB108" s="77"/>
      <c r="EC108" s="77"/>
      <c r="ED108" s="77"/>
      <c r="EE108" s="77"/>
      <c r="EF108" s="77"/>
      <c r="EG108" s="77"/>
      <c r="EH108" s="77"/>
      <c r="EI108" s="77"/>
      <c r="EJ108" s="77"/>
      <c r="EK108" s="77"/>
      <c r="EL108" s="77"/>
      <c r="EM108" s="77"/>
      <c r="EN108" s="77"/>
      <c r="EO108" s="77"/>
      <c r="EP108" s="77"/>
      <c r="EQ108" s="77"/>
      <c r="ER108" s="77"/>
      <c r="ES108" s="77"/>
      <c r="ET108" s="77"/>
      <c r="EU108" s="77"/>
      <c r="EV108" s="77"/>
      <c r="EW108" s="77"/>
      <c r="EX108" s="77"/>
      <c r="EY108" s="77"/>
      <c r="EZ108" s="77"/>
      <c r="FA108" s="77"/>
      <c r="FB108" s="77"/>
      <c r="FC108" s="77"/>
      <c r="FD108" s="77"/>
      <c r="FE108" s="77"/>
      <c r="FF108" s="77"/>
      <c r="FG108" s="77"/>
      <c r="FH108" s="77"/>
      <c r="FI108" s="77"/>
      <c r="FJ108" s="77"/>
      <c r="FK108" s="77"/>
      <c r="FL108" s="77"/>
      <c r="FM108" s="77"/>
      <c r="FN108" s="77"/>
      <c r="FO108" s="77"/>
      <c r="FP108" s="77"/>
      <c r="FQ108" s="77"/>
      <c r="FR108" s="77"/>
      <c r="FS108" s="77"/>
      <c r="FT108" s="77"/>
      <c r="FU108" s="77"/>
      <c r="FV108" s="77"/>
      <c r="FW108" s="77"/>
      <c r="FX108" s="77"/>
      <c r="FY108" s="77"/>
      <c r="FZ108" s="77"/>
      <c r="GA108" s="77"/>
      <c r="GB108" s="77"/>
      <c r="GC108" s="77"/>
      <c r="GD108" s="77"/>
      <c r="GE108" s="77"/>
      <c r="GF108" s="77"/>
      <c r="GG108" s="77"/>
      <c r="GH108" s="77"/>
      <c r="GI108" s="77"/>
      <c r="GJ108" s="77"/>
      <c r="GK108" s="77"/>
      <c r="GL108" s="77"/>
      <c r="GM108" s="77"/>
      <c r="GN108" s="77"/>
      <c r="GO108" s="77"/>
      <c r="GP108" s="77"/>
      <c r="GQ108" s="77"/>
      <c r="GR108" s="77"/>
      <c r="GS108" s="77"/>
      <c r="GT108" s="77"/>
      <c r="GU108" s="77"/>
      <c r="GV108" s="77"/>
      <c r="GW108" s="77"/>
      <c r="GX108" s="77"/>
      <c r="GY108" s="77"/>
      <c r="GZ108" s="77"/>
      <c r="HA108" s="77"/>
      <c r="HB108" s="77"/>
      <c r="HC108" s="77"/>
      <c r="HD108" s="77"/>
      <c r="HE108" s="77"/>
      <c r="HF108" s="77"/>
      <c r="HG108" s="77"/>
      <c r="HH108" s="77"/>
      <c r="HI108" s="77"/>
      <c r="HJ108" s="77"/>
      <c r="HK108" s="77"/>
      <c r="HL108" s="77"/>
      <c r="HM108" s="77"/>
      <c r="HN108" s="77"/>
      <c r="HO108" s="77"/>
      <c r="HP108" s="77"/>
      <c r="HQ108" s="77"/>
      <c r="HR108" s="77"/>
      <c r="HS108" s="77"/>
      <c r="HT108" s="77"/>
      <c r="HU108" s="77"/>
      <c r="HV108" s="77"/>
      <c r="HW108" s="77"/>
      <c r="HX108" s="77"/>
      <c r="HY108" s="77"/>
      <c r="HZ108" s="77"/>
      <c r="IA108" s="77"/>
      <c r="IB108" s="77"/>
      <c r="IC108" s="77"/>
      <c r="ID108" s="77"/>
      <c r="IE108" s="77"/>
      <c r="IF108" s="77"/>
      <c r="IG108" s="77"/>
      <c r="IH108" s="77"/>
      <c r="II108" s="77"/>
      <c r="IJ108" s="77"/>
      <c r="IK108" s="77"/>
      <c r="IL108" s="77"/>
      <c r="IM108" s="77"/>
      <c r="IN108" s="77"/>
      <c r="IO108" s="77"/>
      <c r="IP108" s="77"/>
      <c r="IQ108" s="77"/>
      <c r="IR108" s="77"/>
    </row>
    <row r="109" customFormat="false" ht="15" hidden="false" customHeight="false" outlineLevel="0" collapsed="false">
      <c r="A109" s="78"/>
      <c r="B109" s="78"/>
      <c r="C109" s="79"/>
      <c r="D109" s="80"/>
      <c r="E109" s="78"/>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c r="BH109" s="77"/>
      <c r="BI109" s="77"/>
      <c r="BJ109" s="77"/>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7"/>
      <c r="DU109" s="77"/>
      <c r="DV109" s="77"/>
      <c r="DW109" s="77"/>
      <c r="DX109" s="77"/>
      <c r="DY109" s="77"/>
      <c r="DZ109" s="77"/>
      <c r="EA109" s="77"/>
      <c r="EB109" s="77"/>
      <c r="EC109" s="77"/>
      <c r="ED109" s="77"/>
      <c r="EE109" s="77"/>
      <c r="EF109" s="77"/>
      <c r="EG109" s="77"/>
      <c r="EH109" s="77"/>
      <c r="EI109" s="77"/>
      <c r="EJ109" s="77"/>
      <c r="EK109" s="77"/>
      <c r="EL109" s="77"/>
      <c r="EM109" s="77"/>
      <c r="EN109" s="77"/>
      <c r="EO109" s="77"/>
      <c r="EP109" s="77"/>
      <c r="EQ109" s="77"/>
      <c r="ER109" s="77"/>
      <c r="ES109" s="77"/>
      <c r="ET109" s="77"/>
      <c r="EU109" s="77"/>
      <c r="EV109" s="77"/>
      <c r="EW109" s="77"/>
      <c r="EX109" s="77"/>
      <c r="EY109" s="77"/>
      <c r="EZ109" s="77"/>
      <c r="FA109" s="77"/>
      <c r="FB109" s="77"/>
      <c r="FC109" s="77"/>
      <c r="FD109" s="77"/>
      <c r="FE109" s="77"/>
      <c r="FF109" s="77"/>
      <c r="FG109" s="77"/>
      <c r="FH109" s="77"/>
      <c r="FI109" s="77"/>
      <c r="FJ109" s="77"/>
      <c r="FK109" s="77"/>
      <c r="FL109" s="77"/>
      <c r="FM109" s="77"/>
      <c r="FN109" s="77"/>
      <c r="FO109" s="77"/>
      <c r="FP109" s="77"/>
      <c r="FQ109" s="77"/>
      <c r="FR109" s="77"/>
      <c r="FS109" s="77"/>
      <c r="FT109" s="77"/>
      <c r="FU109" s="77"/>
      <c r="FV109" s="77"/>
      <c r="FW109" s="77"/>
      <c r="FX109" s="77"/>
      <c r="FY109" s="77"/>
      <c r="FZ109" s="77"/>
      <c r="GA109" s="77"/>
      <c r="GB109" s="77"/>
      <c r="GC109" s="77"/>
      <c r="GD109" s="77"/>
      <c r="GE109" s="77"/>
      <c r="GF109" s="77"/>
      <c r="GG109" s="77"/>
      <c r="GH109" s="77"/>
      <c r="GI109" s="77"/>
      <c r="GJ109" s="77"/>
      <c r="GK109" s="77"/>
      <c r="GL109" s="77"/>
      <c r="GM109" s="77"/>
      <c r="GN109" s="77"/>
      <c r="GO109" s="77"/>
      <c r="GP109" s="77"/>
      <c r="GQ109" s="77"/>
      <c r="GR109" s="77"/>
      <c r="GS109" s="77"/>
      <c r="GT109" s="77"/>
      <c r="GU109" s="77"/>
      <c r="GV109" s="77"/>
      <c r="GW109" s="77"/>
      <c r="GX109" s="77"/>
      <c r="GY109" s="77"/>
      <c r="GZ109" s="77"/>
      <c r="HA109" s="77"/>
      <c r="HB109" s="77"/>
      <c r="HC109" s="77"/>
      <c r="HD109" s="77"/>
      <c r="HE109" s="77"/>
      <c r="HF109" s="77"/>
      <c r="HG109" s="77"/>
      <c r="HH109" s="77"/>
      <c r="HI109" s="77"/>
      <c r="HJ109" s="77"/>
      <c r="HK109" s="77"/>
      <c r="HL109" s="77"/>
      <c r="HM109" s="77"/>
      <c r="HN109" s="77"/>
      <c r="HO109" s="77"/>
      <c r="HP109" s="77"/>
      <c r="HQ109" s="77"/>
      <c r="HR109" s="77"/>
      <c r="HS109" s="77"/>
      <c r="HT109" s="77"/>
      <c r="HU109" s="77"/>
      <c r="HV109" s="77"/>
      <c r="HW109" s="77"/>
      <c r="HX109" s="77"/>
      <c r="HY109" s="77"/>
      <c r="HZ109" s="77"/>
      <c r="IA109" s="77"/>
      <c r="IB109" s="77"/>
      <c r="IC109" s="77"/>
      <c r="ID109" s="77"/>
      <c r="IE109" s="77"/>
      <c r="IF109" s="77"/>
      <c r="IG109" s="77"/>
      <c r="IH109" s="77"/>
      <c r="II109" s="77"/>
      <c r="IJ109" s="77"/>
      <c r="IK109" s="77"/>
      <c r="IL109" s="77"/>
      <c r="IM109" s="77"/>
      <c r="IN109" s="77"/>
      <c r="IO109" s="77"/>
      <c r="IP109" s="77"/>
      <c r="IQ109" s="77"/>
      <c r="IR109" s="77"/>
    </row>
    <row r="110" customFormat="false" ht="15" hidden="false" customHeight="false" outlineLevel="0" collapsed="false">
      <c r="A110" s="78"/>
      <c r="B110" s="78"/>
      <c r="C110" s="79"/>
      <c r="D110" s="80"/>
      <c r="E110" s="78"/>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c r="BH110" s="77"/>
      <c r="BI110" s="77"/>
      <c r="BJ110" s="77"/>
      <c r="BK110" s="77"/>
      <c r="BL110" s="77"/>
      <c r="BM110" s="77"/>
      <c r="BN110" s="77"/>
      <c r="BO110" s="77"/>
      <c r="BP110" s="77"/>
      <c r="BQ110" s="77"/>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7"/>
      <c r="DU110" s="77"/>
      <c r="DV110" s="77"/>
      <c r="DW110" s="77"/>
      <c r="DX110" s="77"/>
      <c r="DY110" s="77"/>
      <c r="DZ110" s="77"/>
      <c r="EA110" s="77"/>
      <c r="EB110" s="77"/>
      <c r="EC110" s="77"/>
      <c r="ED110" s="77"/>
      <c r="EE110" s="77"/>
      <c r="EF110" s="77"/>
      <c r="EG110" s="77"/>
      <c r="EH110" s="77"/>
      <c r="EI110" s="77"/>
      <c r="EJ110" s="77"/>
      <c r="EK110" s="77"/>
      <c r="EL110" s="77"/>
      <c r="EM110" s="77"/>
      <c r="EN110" s="77"/>
      <c r="EO110" s="77"/>
      <c r="EP110" s="77"/>
      <c r="EQ110" s="77"/>
      <c r="ER110" s="77"/>
      <c r="ES110" s="77"/>
      <c r="ET110" s="77"/>
      <c r="EU110" s="77"/>
      <c r="EV110" s="77"/>
      <c r="EW110" s="77"/>
      <c r="EX110" s="77"/>
      <c r="EY110" s="77"/>
      <c r="EZ110" s="77"/>
      <c r="FA110" s="77"/>
      <c r="FB110" s="77"/>
      <c r="FC110" s="77"/>
      <c r="FD110" s="77"/>
      <c r="FE110" s="77"/>
      <c r="FF110" s="77"/>
      <c r="FG110" s="77"/>
      <c r="FH110" s="77"/>
      <c r="FI110" s="77"/>
      <c r="FJ110" s="77"/>
      <c r="FK110" s="77"/>
      <c r="FL110" s="77"/>
      <c r="FM110" s="77"/>
      <c r="FN110" s="77"/>
      <c r="FO110" s="77"/>
      <c r="FP110" s="77"/>
      <c r="FQ110" s="77"/>
      <c r="FR110" s="77"/>
      <c r="FS110" s="77"/>
      <c r="FT110" s="77"/>
      <c r="FU110" s="77"/>
      <c r="FV110" s="77"/>
      <c r="FW110" s="77"/>
      <c r="FX110" s="77"/>
      <c r="FY110" s="77"/>
      <c r="FZ110" s="77"/>
      <c r="GA110" s="77"/>
      <c r="GB110" s="77"/>
      <c r="GC110" s="77"/>
      <c r="GD110" s="77"/>
      <c r="GE110" s="77"/>
      <c r="GF110" s="77"/>
      <c r="GG110" s="77"/>
      <c r="GH110" s="77"/>
      <c r="GI110" s="77"/>
      <c r="GJ110" s="77"/>
      <c r="GK110" s="77"/>
      <c r="GL110" s="77"/>
      <c r="GM110" s="77"/>
      <c r="GN110" s="77"/>
      <c r="GO110" s="77"/>
      <c r="GP110" s="77"/>
      <c r="GQ110" s="77"/>
      <c r="GR110" s="77"/>
      <c r="GS110" s="77"/>
      <c r="GT110" s="77"/>
      <c r="GU110" s="77"/>
      <c r="GV110" s="77"/>
      <c r="GW110" s="77"/>
      <c r="GX110" s="77"/>
      <c r="GY110" s="77"/>
      <c r="GZ110" s="77"/>
      <c r="HA110" s="77"/>
      <c r="HB110" s="77"/>
      <c r="HC110" s="77"/>
      <c r="HD110" s="77"/>
      <c r="HE110" s="77"/>
      <c r="HF110" s="77"/>
      <c r="HG110" s="77"/>
      <c r="HH110" s="77"/>
      <c r="HI110" s="77"/>
      <c r="HJ110" s="77"/>
      <c r="HK110" s="77"/>
      <c r="HL110" s="77"/>
      <c r="HM110" s="77"/>
      <c r="HN110" s="77"/>
      <c r="HO110" s="77"/>
      <c r="HP110" s="77"/>
      <c r="HQ110" s="77"/>
      <c r="HR110" s="77"/>
      <c r="HS110" s="77"/>
      <c r="HT110" s="77"/>
      <c r="HU110" s="77"/>
      <c r="HV110" s="77"/>
      <c r="HW110" s="77"/>
      <c r="HX110" s="77"/>
      <c r="HY110" s="77"/>
      <c r="HZ110" s="77"/>
      <c r="IA110" s="77"/>
      <c r="IB110" s="77"/>
      <c r="IC110" s="77"/>
      <c r="ID110" s="77"/>
      <c r="IE110" s="77"/>
      <c r="IF110" s="77"/>
      <c r="IG110" s="77"/>
      <c r="IH110" s="77"/>
      <c r="II110" s="77"/>
      <c r="IJ110" s="77"/>
      <c r="IK110" s="77"/>
      <c r="IL110" s="77"/>
      <c r="IM110" s="77"/>
      <c r="IN110" s="77"/>
      <c r="IO110" s="77"/>
      <c r="IP110" s="77"/>
      <c r="IQ110" s="77"/>
      <c r="IR110" s="77"/>
    </row>
  </sheetData>
  <mergeCells count="5">
    <mergeCell ref="B1:E1"/>
    <mergeCell ref="C3:E3"/>
    <mergeCell ref="C41:E41"/>
    <mergeCell ref="C50:E50"/>
    <mergeCell ref="C65:E65"/>
  </mergeCells>
  <conditionalFormatting sqref="D66:D99">
    <cfRule type="containsText" priority="10" operator="containsText" aboveAverage="0" equalAverage="0" bottom="0" percent="0" rank="0" text="Initial" dxfId="262">
      <formula>NOT(ISERROR(SEARCH("Initial",D66)))</formula>
    </cfRule>
    <cfRule type="containsText" priority="11" operator="containsText" aboveAverage="0" equalAverage="0" bottom="0" percent="0" rank="0" text="Nonexistent" dxfId="263">
      <formula>NOT(ISERROR(SEARCH("Nonexistent",D66)))</formula>
    </cfRule>
    <cfRule type="expression" priority="12" aboveAverage="0" equalAverage="0" bottom="0" percent="0" rank="0" text="" dxfId="264">
      <formula>_xlfn.ORG.OPENOFFICE.STYLE(VLOOKUP(D66,#ref!,2,0))</formula>
    </cfRule>
  </conditionalFormatting>
  <conditionalFormatting sqref="D51:D64">
    <cfRule type="containsText" priority="21" operator="containsText" aboveAverage="0" equalAverage="0" bottom="0" percent="0" rank="0" text="Initial" dxfId="273">
      <formula>NOT(ISERROR(SEARCH("Initial",D51)))</formula>
    </cfRule>
    <cfRule type="containsText" priority="22" operator="containsText" aboveAverage="0" equalAverage="0" bottom="0" percent="0" rank="0" text="Nonexistent" dxfId="274">
      <formula>NOT(ISERROR(SEARCH("Nonexistent",D51)))</formula>
    </cfRule>
    <cfRule type="expression" priority="23" aboveAverage="0" equalAverage="0" bottom="0" percent="0" rank="0" text="" dxfId="275">
      <formula>_xlfn.ORG.OPENOFFICE.STYLE(VLOOKUP(D51,#ref!,2,0))</formula>
    </cfRule>
  </conditionalFormatting>
  <conditionalFormatting sqref="D4:D40">
    <cfRule type="containsText" priority="32" operator="containsText" aboveAverage="0" equalAverage="0" bottom="0" percent="0" rank="0" text="Initial" dxfId="284">
      <formula>NOT(ISERROR(SEARCH("Initial",D4)))</formula>
    </cfRule>
    <cfRule type="containsText" priority="33" operator="containsText" aboveAverage="0" equalAverage="0" bottom="0" percent="0" rank="0" text="Nonexistent" dxfId="285">
      <formula>NOT(ISERROR(SEARCH("Nonexistent",D4)))</formula>
    </cfRule>
    <cfRule type="expression" priority="34" aboveAverage="0" equalAverage="0" bottom="0" percent="0" rank="0" text="" dxfId="286">
      <formula>_xlfn.ORG.OPENOFFICE.STYLE(VLOOKUP(D4,#ref!,2,0))</formula>
    </cfRule>
  </conditionalFormatting>
  <conditionalFormatting sqref="D42:D49">
    <cfRule type="containsText" priority="43" operator="containsText" aboveAverage="0" equalAverage="0" bottom="0" percent="0" rank="0" text="Initial" dxfId="295">
      <formula>NOT(ISERROR(SEARCH("Initial",D42)))</formula>
    </cfRule>
    <cfRule type="containsText" priority="44" operator="containsText" aboveAverage="0" equalAverage="0" bottom="0" percent="0" rank="0" text="Nonexistent" dxfId="296">
      <formula>NOT(ISERROR(SEARCH("Nonexistent",D42)))</formula>
    </cfRule>
    <cfRule type="expression" priority="45" aboveAverage="0" equalAverage="0" bottom="0" percent="0" rank="0" text="" dxfId="297">
      <formula>_xlfn.ORG.OPENOFFICE.STYLE(VLOOKUP(D42,#ref!,2,0))</formula>
    </cfRule>
  </conditionalFormatting>
  <dataValidations count="1">
    <dataValidation allowBlank="true" errorStyle="stop" operator="equal" promptTitle="Select status" showDropDown="false" showErrorMessage="true" showInputMessage="true" sqref="D4:D40 D42:D49 D51:D64 D66:D99" type="list">
      <formula1>Metrics!$B$3:$B$10</formula1>
      <formula2>0</formula2>
    </dataValidation>
  </dataValidations>
  <printOptions headings="false" gridLines="true" gridLinesSet="true" horizontalCentered="false" verticalCentered="false"/>
  <pageMargins left="0.39375" right="0.295138888888889" top="0.295138888888889" bottom="0.315972222222222" header="0.511811023622047" footer="0.177083333333333"/>
  <pageSetup paperSize="9" scale="100" fitToWidth="1" fitToHeight="15" pageOrder="downThenOver" orientation="portrait" blackAndWhite="false" draft="false" cellComments="none" horizontalDpi="300" verticalDpi="300" copies="1"/>
  <headerFooter differentFirst="false" differentOddEven="false">
    <oddHeader/>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2" operator="equal" id="{2AC34D23-A92F-4CFD-9AFB-F420AD5F1987}">
            <xm:f>NCA!$B$10</xm:f>
            <x14:dxf>
              <font>
                <color rgb="FFFFFFFF"/>
              </font>
              <fill>
                <patternFill>
                  <bgColor theme="0" tint="-0.35"/>
                </patternFill>
              </fill>
            </x14:dxf>
          </x14:cfRule>
          <x14:cfRule type="cellIs" priority="3" operator="equal" id="{B76E30E0-28C9-4BE3-A1C7-3AEDB7004646}">
            <xm:f>NCA!$B$3</xm:f>
            <x14:dxf>
              <font>
                <color rgb="FFD9D9D9"/>
              </font>
              <fill>
                <patternFill>
                  <bgColor theme="0"/>
                </patternFill>
              </fill>
            </x14:dxf>
          </x14:cfRule>
          <x14:cfRule type="cellIs" priority="4" operator="equal" id="{8FE3D398-3A96-44B3-A575-B2343D8C89DA}">
            <xm:f>NCA!$B$4</xm:f>
            <x14:dxf>
              <font>
                <color rgb="FFFFFFFF"/>
              </font>
              <fill>
                <patternFill>
                  <bgColor rgb="FFFF0000"/>
                </patternFill>
              </fill>
            </x14:dxf>
          </x14:cfRule>
          <x14:cfRule type="cellIs" priority="5" operator="equal" id="{CAC62F41-66A6-445E-A8BF-1E9EB3D1C08C}">
            <xm:f>NCA!$B$5</xm:f>
            <x14:dxf>
              <font>
                <color rgb="FFFFFFFF"/>
              </font>
              <fill>
                <patternFill>
                  <bgColor rgb="FFC00000"/>
                </patternFill>
              </fill>
            </x14:dxf>
          </x14:cfRule>
          <x14:cfRule type="cellIs" priority="6" operator="equal" id="{73B96214-799D-4F1B-8432-E3413DF7CFAD}">
            <xm:f>NCA!$B$6</xm:f>
            <x14:dxf>
              <font>
                <color rgb="FFFFFFFF"/>
              </font>
              <fill>
                <patternFill>
                  <bgColor theme="2" tint="-0.5"/>
                </patternFill>
              </fill>
            </x14:dxf>
          </x14:cfRule>
          <x14:cfRule type="cellIs" priority="7" operator="equal" id="{A1B9A23E-5048-4949-B333-CCA7E01F34B0}">
            <xm:f>NCA!$B$7</xm:f>
            <x14:dxf>
              <font>
                <color rgb="FFFFFFFF"/>
              </font>
              <fill>
                <patternFill>
                  <bgColor rgb="FFFFC000"/>
                </patternFill>
              </fill>
            </x14:dxf>
          </x14:cfRule>
          <x14:cfRule type="cellIs" priority="8" operator="equal" id="{7A51C2B9-BCAF-4A68-97D0-E050F39C34C5}">
            <xm:f>NCA!$B$8</xm:f>
            <x14:dxf>
              <font>
                <color rgb="FFFFFFFF"/>
              </font>
              <fill>
                <patternFill>
                  <bgColor rgb="FF92D050"/>
                </patternFill>
              </fill>
            </x14:dxf>
          </x14:cfRule>
          <x14:cfRule type="cellIs" priority="9" operator="equal" id="{18AFA7A6-DA5B-4C4A-BCCE-896AC21D8839}">
            <xm:f>NCA!$B$9</xm:f>
            <x14:dxf>
              <font>
                <color rgb="FFFFFFFF"/>
              </font>
              <fill>
                <patternFill>
                  <bgColor rgb="FF336600"/>
                </patternFill>
              </fill>
            </x14:dxf>
          </x14:cfRule>
          <xm:sqref>D66:D99</xm:sqref>
        </x14:conditionalFormatting>
        <x14:conditionalFormatting xmlns:xm="http://schemas.microsoft.com/office/excel/2006/main">
          <x14:cfRule type="cellIs" priority="13" operator="equal" id="{A03F30A2-FC8C-40A1-90FB-E4E0D434FCBB}">
            <xm:f>NCA!$B$6</xm:f>
            <x14:dxf>
              <font>
                <color rgb="FFFFFFFF"/>
              </font>
              <fill>
                <patternFill>
                  <bgColor theme="2" tint="-0.5"/>
                </patternFill>
              </fill>
            </x14:dxf>
          </x14:cfRule>
          <x14:cfRule type="cellIs" priority="14" operator="equal" id="{32D4C97C-A8B4-448F-B7D6-4F2F11195117}">
            <xm:f>NCA!$B$10</xm:f>
            <x14:dxf>
              <font>
                <color rgb="FFFFFFFF"/>
              </font>
              <fill>
                <patternFill>
                  <bgColor theme="0" tint="-0.35"/>
                </patternFill>
              </fill>
            </x14:dxf>
          </x14:cfRule>
          <x14:cfRule type="cellIs" priority="15" operator="equal" id="{E242A237-59A6-499D-AF32-A05C28F67272}">
            <xm:f>NCA!$B$9</xm:f>
            <x14:dxf>
              <font>
                <color rgb="FFFFFFFF"/>
              </font>
              <fill>
                <patternFill>
                  <bgColor rgb="FF336600"/>
                </patternFill>
              </fill>
            </x14:dxf>
          </x14:cfRule>
          <x14:cfRule type="cellIs" priority="16" operator="equal" id="{ADB6D5A7-5B14-4C31-85CA-17BC3D883B32}">
            <xm:f>NCA!$B$8</xm:f>
            <x14:dxf>
              <font>
                <color rgb="FFFFFFFF"/>
              </font>
              <fill>
                <patternFill>
                  <bgColor rgb="FF92D050"/>
                </patternFill>
              </fill>
            </x14:dxf>
          </x14:cfRule>
          <x14:cfRule type="cellIs" priority="17" operator="equal" id="{3126C32A-E077-482D-B12B-1CD022CC7C51}">
            <xm:f>NCA!$B$7</xm:f>
            <x14:dxf>
              <font>
                <color rgb="FFFFFFFF"/>
              </font>
              <fill>
                <patternFill>
                  <bgColor rgb="FFFFC000"/>
                </patternFill>
              </fill>
            </x14:dxf>
          </x14:cfRule>
          <x14:cfRule type="cellIs" priority="18" operator="equal" id="{6019C496-BEC7-4E3F-BAD6-DD9AAB167F4A}">
            <xm:f>NCA!$B$3</xm:f>
            <x14:dxf>
              <font>
                <color rgb="FFD9D9D9"/>
              </font>
              <fill>
                <patternFill>
                  <bgColor theme="0"/>
                </patternFill>
              </fill>
            </x14:dxf>
          </x14:cfRule>
          <x14:cfRule type="cellIs" priority="19" operator="equal" id="{88DF4842-201B-4460-BE7E-3FECA1777517}">
            <xm:f>NCA!$B$5</xm:f>
            <x14:dxf>
              <font>
                <color rgb="FFFFFFFF"/>
              </font>
              <fill>
                <patternFill>
                  <bgColor rgb="FFC00000"/>
                </patternFill>
              </fill>
            </x14:dxf>
          </x14:cfRule>
          <x14:cfRule type="cellIs" priority="20" operator="equal" id="{74609039-DBF5-423F-8624-2F15D095C1DF}">
            <xm:f>NCA!$B$4</xm:f>
            <x14:dxf>
              <font>
                <color rgb="FFFFFFFF"/>
              </font>
              <fill>
                <patternFill>
                  <bgColor rgb="FFFF0000"/>
                </patternFill>
              </fill>
            </x14:dxf>
          </x14:cfRule>
          <xm:sqref>D51:D64</xm:sqref>
        </x14:conditionalFormatting>
        <x14:conditionalFormatting xmlns:xm="http://schemas.microsoft.com/office/excel/2006/main">
          <x14:cfRule type="cellIs" priority="24" operator="equal" id="{725D1ED5-98CA-48F9-ADBE-39F71AA780B5}">
            <xm:f>NCA!$B$3</xm:f>
            <x14:dxf>
              <font>
                <color rgb="FFD9D9D9"/>
              </font>
              <fill>
                <patternFill>
                  <bgColor theme="0"/>
                </patternFill>
              </fill>
            </x14:dxf>
          </x14:cfRule>
          <x14:cfRule type="cellIs" priority="25" operator="equal" id="{A521AA17-804C-41AC-8CBC-A387291C5EDC}">
            <xm:f>NCA!$B$4</xm:f>
            <x14:dxf>
              <font>
                <color rgb="FFFFFFFF"/>
              </font>
              <fill>
                <patternFill>
                  <bgColor rgb="FFFF0000"/>
                </patternFill>
              </fill>
            </x14:dxf>
          </x14:cfRule>
          <x14:cfRule type="cellIs" priority="26" operator="equal" id="{1A9FC300-EBEA-41A2-9663-9652A05B4D68}">
            <xm:f>NCA!$B$5</xm:f>
            <x14:dxf>
              <font>
                <color rgb="FFFFFFFF"/>
              </font>
              <fill>
                <patternFill>
                  <bgColor rgb="FFC00000"/>
                </patternFill>
              </fill>
            </x14:dxf>
          </x14:cfRule>
          <x14:cfRule type="cellIs" priority="27" operator="equal" id="{B61233CE-FAF4-40E2-80D6-79FCF0B3CE49}">
            <xm:f>NCA!$B$6</xm:f>
            <x14:dxf>
              <font>
                <color rgb="FFFFFFFF"/>
              </font>
              <fill>
                <patternFill>
                  <bgColor theme="2" tint="-0.5"/>
                </patternFill>
              </fill>
            </x14:dxf>
          </x14:cfRule>
          <x14:cfRule type="cellIs" priority="28" operator="equal" id="{7FFEDBBC-C37F-4DF0-9747-57D6E0FF3B10}">
            <xm:f>NCA!$B$7</xm:f>
            <x14:dxf>
              <font>
                <color rgb="FFFFFFFF"/>
              </font>
              <fill>
                <patternFill>
                  <bgColor rgb="FFFFC000"/>
                </patternFill>
              </fill>
            </x14:dxf>
          </x14:cfRule>
          <x14:cfRule type="cellIs" priority="29" operator="equal" id="{5714E95A-5718-44DD-94B9-B8B655FE56DE}">
            <xm:f>NCA!$B$8</xm:f>
            <x14:dxf>
              <font>
                <color rgb="FFFFFFFF"/>
              </font>
              <fill>
                <patternFill>
                  <bgColor rgb="FF92D050"/>
                </patternFill>
              </fill>
            </x14:dxf>
          </x14:cfRule>
          <x14:cfRule type="cellIs" priority="30" operator="equal" id="{31426BF5-1746-45FF-A913-D0CA22F19DE1}">
            <xm:f>NCA!$B$9</xm:f>
            <x14:dxf>
              <font>
                <color rgb="FFFFFFFF"/>
              </font>
              <fill>
                <patternFill>
                  <bgColor rgb="FF336600"/>
                </patternFill>
              </fill>
            </x14:dxf>
          </x14:cfRule>
          <x14:cfRule type="cellIs" priority="31" operator="equal" id="{37C5248C-BBB3-4544-BD14-E0D8C3A2D359}">
            <xm:f>NCA!$B$10</xm:f>
            <x14:dxf>
              <font>
                <color rgb="FFFFFFFF"/>
              </font>
              <fill>
                <patternFill>
                  <bgColor theme="0" tint="-0.35"/>
                </patternFill>
              </fill>
            </x14:dxf>
          </x14:cfRule>
          <xm:sqref>D4:D40</xm:sqref>
        </x14:conditionalFormatting>
        <x14:conditionalFormatting xmlns:xm="http://schemas.microsoft.com/office/excel/2006/main">
          <x14:cfRule type="cellIs" priority="35" operator="equal" id="{41815AE5-AF70-4072-8751-53AC4061C5A8}">
            <xm:f>NCA!$B$10</xm:f>
            <x14:dxf>
              <font>
                <color rgb="FFFFFFFF"/>
              </font>
              <fill>
                <patternFill>
                  <bgColor theme="0" tint="-0.35"/>
                </patternFill>
              </fill>
            </x14:dxf>
          </x14:cfRule>
          <x14:cfRule type="cellIs" priority="36" operator="equal" id="{9DDAAA56-50FE-49D3-A37E-849F651D3CB3}">
            <xm:f>NCA!$B$9</xm:f>
            <x14:dxf>
              <font>
                <color rgb="FFFFFFFF"/>
              </font>
              <fill>
                <patternFill>
                  <bgColor rgb="FF336600"/>
                </patternFill>
              </fill>
            </x14:dxf>
          </x14:cfRule>
          <x14:cfRule type="cellIs" priority="37" operator="equal" id="{C8CF2C32-E7F1-43C8-9FBC-B3EF4457E6F8}">
            <xm:f>NCA!$B$8</xm:f>
            <x14:dxf>
              <font>
                <color rgb="FFFFFFFF"/>
              </font>
              <fill>
                <patternFill>
                  <bgColor rgb="FF92D050"/>
                </patternFill>
              </fill>
            </x14:dxf>
          </x14:cfRule>
          <x14:cfRule type="cellIs" priority="38" operator="equal" id="{AC35E5BA-96C6-43C5-B550-7C983A584620}">
            <xm:f>NCA!$B$7</xm:f>
            <x14:dxf>
              <font>
                <color rgb="FFFFFFFF"/>
              </font>
              <fill>
                <patternFill>
                  <bgColor rgb="FFFFC000"/>
                </patternFill>
              </fill>
            </x14:dxf>
          </x14:cfRule>
          <x14:cfRule type="cellIs" priority="39" operator="equal" id="{A0CB30D5-4483-4262-9E67-7125392BF0BA}">
            <xm:f>NCA!$B$6</xm:f>
            <x14:dxf>
              <font>
                <color rgb="FFFFFFFF"/>
              </font>
              <fill>
                <patternFill>
                  <bgColor theme="2" tint="-0.5"/>
                </patternFill>
              </fill>
            </x14:dxf>
          </x14:cfRule>
          <x14:cfRule type="cellIs" priority="40" operator="equal" id="{5A5B6FA8-8249-4182-B788-6FA59584A9BC}">
            <xm:f>NCA!$B$5</xm:f>
            <x14:dxf>
              <font>
                <color rgb="FFFFFFFF"/>
              </font>
              <fill>
                <patternFill>
                  <bgColor rgb="FFC00000"/>
                </patternFill>
              </fill>
            </x14:dxf>
          </x14:cfRule>
          <x14:cfRule type="cellIs" priority="41" operator="equal" id="{41437848-211F-4880-B6BD-41D043B0913E}">
            <xm:f>NCA!$B$4</xm:f>
            <x14:dxf>
              <font>
                <color rgb="FFFFFFFF"/>
              </font>
              <fill>
                <patternFill>
                  <bgColor rgb="FFFF0000"/>
                </patternFill>
              </fill>
            </x14:dxf>
          </x14:cfRule>
          <x14:cfRule type="cellIs" priority="42" operator="equal" id="{C02FED41-8D92-44CE-82CF-69DF9A728D82}">
            <xm:f>NCA!$B$3</xm:f>
            <x14:dxf>
              <font>
                <color rgb="FFD9D9D9"/>
              </font>
              <fill>
                <patternFill>
                  <bgColor theme="0"/>
                </patternFill>
              </fill>
            </x14:dxf>
          </x14:cfRule>
          <xm:sqref>D42:D49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3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9" activeCellId="0" sqref="C9"/>
    </sheetView>
  </sheetViews>
  <sheetFormatPr defaultColWidth="9.171875" defaultRowHeight="14.25" zeroHeight="false" outlineLevelRow="0" outlineLevelCol="0"/>
  <cols>
    <col collapsed="false" customWidth="true" hidden="false" outlineLevel="0" max="1" min="1" style="53" width="3.23"/>
    <col collapsed="false" customWidth="true" hidden="false" outlineLevel="0" max="2" min="2" style="53" width="22.44"/>
    <col collapsed="false" customWidth="true" hidden="false" outlineLevel="0" max="3" min="3" style="53" width="47.3"/>
    <col collapsed="false" customWidth="true" hidden="false" outlineLevel="0" max="4" min="4" style="53" width="13.35"/>
    <col collapsed="false" customWidth="true" hidden="false" outlineLevel="0" max="5" min="5" style="53" width="12.95"/>
    <col collapsed="false" customWidth="false" hidden="false" outlineLevel="0" max="16384" min="6" style="53" width="9.17"/>
  </cols>
  <sheetData>
    <row r="2" s="81" customFormat="true" ht="52.2" hidden="false" customHeight="false" outlineLevel="0" collapsed="false">
      <c r="B2" s="82" t="s">
        <v>22</v>
      </c>
      <c r="C2" s="83" t="s">
        <v>294</v>
      </c>
      <c r="D2" s="84" t="s">
        <v>295</v>
      </c>
      <c r="E2" s="85" t="s">
        <v>296</v>
      </c>
    </row>
    <row r="3" s="86" customFormat="true" ht="58.5" hidden="false" customHeight="true" outlineLevel="0" collapsed="false">
      <c r="B3" s="87" t="s">
        <v>297</v>
      </c>
      <c r="C3" s="88" t="s">
        <v>298</v>
      </c>
      <c r="D3" s="89" t="n">
        <f aca="false">COUNTIF('Mandatory ISMS requirements'!$D$3:$D$60,$B3)/'Mandatory ISMS requirements'!$D$61</f>
        <v>0</v>
      </c>
      <c r="E3" s="90" t="n">
        <f aca="false">COUNTIF('Annex A controls'!$D$3:$D$99,$B3)/ControlTotal</f>
        <v>0</v>
      </c>
    </row>
    <row r="4" s="86" customFormat="true" ht="58.5" hidden="false" customHeight="true" outlineLevel="0" collapsed="false">
      <c r="B4" s="91" t="s">
        <v>299</v>
      </c>
      <c r="C4" s="92" t="s">
        <v>300</v>
      </c>
      <c r="D4" s="93" t="n">
        <f aca="false">COUNTIF('Mandatory ISMS requirements'!$D$3:$D$60,$B4)/'Mandatory ISMS requirements'!$D$61</f>
        <v>0</v>
      </c>
      <c r="E4" s="94" t="n">
        <f aca="false">COUNTIF('Annex A controls'!$D$3:$D$99,$B4)/ControlTotal</f>
        <v>0</v>
      </c>
    </row>
    <row r="5" s="86" customFormat="true" ht="58.5" hidden="false" customHeight="true" outlineLevel="0" collapsed="false">
      <c r="B5" s="91" t="s">
        <v>65</v>
      </c>
      <c r="C5" s="92" t="s">
        <v>301</v>
      </c>
      <c r="D5" s="93" t="n">
        <f aca="false">COUNTIF('Mandatory ISMS requirements'!$D$3:$D$60,$B5)/'Mandatory ISMS requirements'!$D$61</f>
        <v>0.214285714285714</v>
      </c>
      <c r="E5" s="94" t="n">
        <f aca="false">COUNTIF('Annex A controls'!$D$3:$D$99,$B5)/ControlTotal</f>
        <v>0.0752688172043011</v>
      </c>
    </row>
    <row r="6" s="86" customFormat="true" ht="58.5" hidden="false" customHeight="true" outlineLevel="0" collapsed="false">
      <c r="B6" s="91" t="s">
        <v>302</v>
      </c>
      <c r="C6" s="92" t="s">
        <v>303</v>
      </c>
      <c r="D6" s="93" t="n">
        <f aca="false">COUNTIF('Mandatory ISMS requirements'!$D$3:$D$60,$B6)/'Mandatory ISMS requirements'!$D$61</f>
        <v>0</v>
      </c>
      <c r="E6" s="94" t="n">
        <f aca="false">COUNTIF('Annex A controls'!$D$3:$D$99,$B6)/ControlTotal</f>
        <v>0</v>
      </c>
    </row>
    <row r="7" s="86" customFormat="true" ht="58.5" hidden="false" customHeight="true" outlineLevel="0" collapsed="false">
      <c r="B7" s="91" t="s">
        <v>304</v>
      </c>
      <c r="C7" s="92" t="s">
        <v>305</v>
      </c>
      <c r="D7" s="93" t="n">
        <f aca="false">COUNTIF('Mandatory ISMS requirements'!$D$3:$D$60,$B7)/'Mandatory ISMS requirements'!$D$61</f>
        <v>0</v>
      </c>
      <c r="E7" s="94" t="n">
        <f aca="false">COUNTIF('Annex A controls'!$D$3:$D$99,$B7)/ControlTotal</f>
        <v>0</v>
      </c>
    </row>
    <row r="8" s="86" customFormat="true" ht="58.5" hidden="false" customHeight="true" outlineLevel="0" collapsed="false">
      <c r="B8" s="91" t="s">
        <v>37</v>
      </c>
      <c r="C8" s="92" t="s">
        <v>306</v>
      </c>
      <c r="D8" s="93" t="n">
        <f aca="false">COUNTIF('Mandatory ISMS requirements'!$D$3:$D$60,$B8)/'Mandatory ISMS requirements'!$D$61</f>
        <v>0.428571428571429</v>
      </c>
      <c r="E8" s="94" t="n">
        <f aca="false">COUNTIF('Annex A controls'!$D$3:$D$99,$B8)/ControlTotal</f>
        <v>0.688172043010753</v>
      </c>
    </row>
    <row r="9" s="86" customFormat="true" ht="58.5" hidden="false" customHeight="true" outlineLevel="0" collapsed="false">
      <c r="B9" s="91" t="s">
        <v>27</v>
      </c>
      <c r="C9" s="92" t="s">
        <v>307</v>
      </c>
      <c r="D9" s="93" t="n">
        <f aca="false">COUNTIF('Mandatory ISMS requirements'!$D$3:$D$60,$B9)/'Mandatory ISMS requirements'!$D$61</f>
        <v>0.357142857142857</v>
      </c>
      <c r="E9" s="94" t="n">
        <f aca="false">COUNTIF('Annex A controls'!$D$3:$D$99,$B9)/ControlTotal</f>
        <v>0.225806451612903</v>
      </c>
    </row>
    <row r="10" s="86" customFormat="true" ht="58.5" hidden="false" customHeight="true" outlineLevel="0" collapsed="false">
      <c r="B10" s="95" t="s">
        <v>146</v>
      </c>
      <c r="C10" s="96" t="s">
        <v>308</v>
      </c>
      <c r="D10" s="97" t="n">
        <f aca="false">COUNTIF('Mandatory ISMS requirements'!$D$3:$D$60,$B10)/'Mandatory ISMS requirements'!$D$61</f>
        <v>0</v>
      </c>
      <c r="E10" s="98" t="n">
        <f aca="false">COUNTIF('Annex A controls'!$D$3:$D$99,$B10)/ControlTotal</f>
        <v>0.010752688172043</v>
      </c>
    </row>
    <row r="11" s="86" customFormat="true" ht="14.25" hidden="false" customHeight="false" outlineLevel="0" collapsed="false">
      <c r="C11" s="99" t="s">
        <v>309</v>
      </c>
      <c r="D11" s="100" t="n">
        <f aca="false">SUM(D3:D10)</f>
        <v>1</v>
      </c>
      <c r="E11" s="100" t="n">
        <f aca="false">SUM(E3:E10)</f>
        <v>1</v>
      </c>
    </row>
    <row r="12" s="86" customFormat="true" ht="14.25" hidden="false" customHeight="false" outlineLevel="0" collapsed="false"/>
    <row r="13" s="86" customFormat="true" ht="14.25" hidden="false" customHeight="false" outlineLevel="0" collapsed="false"/>
    <row r="14" s="86" customFormat="true" ht="19.7" hidden="false" customHeight="false" outlineLevel="0" collapsed="false">
      <c r="B14" s="101"/>
    </row>
    <row r="15" s="86" customFormat="true" ht="19.7" hidden="false" customHeight="false" outlineLevel="0" collapsed="false">
      <c r="B15" s="101"/>
    </row>
    <row r="16" s="86" customFormat="true" ht="19.7" hidden="false" customHeight="false" outlineLevel="0" collapsed="false">
      <c r="B16" s="101"/>
    </row>
    <row r="17" s="86" customFormat="true" ht="14.25" hidden="false" customHeight="false" outlineLevel="0" collapsed="false"/>
    <row r="18" s="86" customFormat="true" ht="14.25" hidden="false" customHeight="false" outlineLevel="0" collapsed="false"/>
    <row r="19" s="86" customFormat="true" ht="14.25" hidden="false" customHeight="false" outlineLevel="0" collapsed="false"/>
    <row r="20" s="86" customFormat="true" ht="14.25" hidden="false" customHeight="false" outlineLevel="0" collapsed="false"/>
    <row r="21" s="86" customFormat="true" ht="14.25" hidden="false" customHeight="false" outlineLevel="0" collapsed="false"/>
    <row r="22" s="86" customFormat="true" ht="14.25" hidden="false" customHeight="false" outlineLevel="0" collapsed="false"/>
    <row r="23" s="86" customFormat="true" ht="14.25" hidden="false" customHeight="false" outlineLevel="0" collapsed="false"/>
    <row r="24" s="86" customFormat="true" ht="14.25" hidden="false" customHeight="false" outlineLevel="0" collapsed="false"/>
    <row r="25" s="86" customFormat="true" ht="14.25" hidden="false" customHeight="false" outlineLevel="0" collapsed="false"/>
    <row r="26" s="86" customFormat="true" ht="14.25" hidden="false" customHeight="false" outlineLevel="0" collapsed="false"/>
    <row r="27" s="86" customFormat="true" ht="14.25" hidden="false" customHeight="false" outlineLevel="0" collapsed="false"/>
    <row r="28" s="86" customFormat="true" ht="14.25" hidden="false" customHeight="false" outlineLevel="0" collapsed="false"/>
    <row r="29" s="86" customFormat="true" ht="14.25" hidden="false" customHeight="false" outlineLevel="0" collapsed="false"/>
    <row r="30" s="86" customFormat="true" ht="14.25" hidden="false" customHeight="false" outlineLevel="0" collapsed="false"/>
    <row r="31" s="86" customFormat="true" ht="14.25" hidden="false" customHeight="false" outlineLevel="0" collapsed="false"/>
    <row r="32" s="86" customFormat="true" ht="14.25" hidden="false" customHeight="false" outlineLevel="0" collapsed="false"/>
    <row r="33" s="86" customFormat="true" ht="14.25" hidden="false" customHeight="false" outlineLevel="0" collapsed="false"/>
    <row r="34" s="86" customFormat="true" ht="14.25" hidden="false" customHeight="false" outlineLevel="0" collapsed="false"/>
    <row r="35" s="86" customFormat="true" ht="14.25" hidden="false" customHeight="false" outlineLevel="0" collapsed="false"/>
    <row r="36" s="86" customFormat="true" ht="14.25" hidden="false" customHeight="false" outlineLevel="0" collapsed="false"/>
    <row r="37" s="86" customFormat="true" ht="14.25" hidden="false" customHeight="false" outlineLevel="0" collapsed="false"/>
    <row r="38" s="86" customFormat="true" ht="14.25" hidden="false" customHeight="false" outlineLevel="0" collapsed="false"/>
    <row r="39" s="86" customFormat="true" ht="14.25" hidden="false" customHeight="false" outlineLevel="0" collapsed="false"/>
    <row r="40" s="86" customFormat="true" ht="14.25" hidden="false" customHeight="false" outlineLevel="0" collapsed="false"/>
    <row r="41" s="86" customFormat="true" ht="14.25" hidden="false" customHeight="false" outlineLevel="0" collapsed="false"/>
    <row r="42" s="86" customFormat="true" ht="14.25" hidden="false" customHeight="false" outlineLevel="0" collapsed="false"/>
    <row r="43" s="86" customFormat="true" ht="14.25" hidden="false" customHeight="false" outlineLevel="0" collapsed="false"/>
    <row r="44" s="86" customFormat="true" ht="14.25" hidden="false" customHeight="false" outlineLevel="0" collapsed="false"/>
    <row r="45" s="86" customFormat="true" ht="14.25" hidden="false" customHeight="false" outlineLevel="0" collapsed="false"/>
    <row r="46" s="86" customFormat="true" ht="14.25" hidden="false" customHeight="false" outlineLevel="0" collapsed="false"/>
    <row r="47" s="86" customFormat="true" ht="14.25" hidden="false" customHeight="false" outlineLevel="0" collapsed="false"/>
    <row r="48" s="86" customFormat="true" ht="14.25" hidden="false" customHeight="false" outlineLevel="0" collapsed="false"/>
    <row r="49" s="86" customFormat="true" ht="14.25" hidden="false" customHeight="false" outlineLevel="0" collapsed="false"/>
    <row r="50" s="86" customFormat="true" ht="14.25" hidden="false" customHeight="false" outlineLevel="0" collapsed="false"/>
    <row r="51" s="86" customFormat="true" ht="14.25" hidden="false" customHeight="false" outlineLevel="0" collapsed="false"/>
    <row r="52" s="86" customFormat="true" ht="14.25" hidden="false" customHeight="false" outlineLevel="0" collapsed="false"/>
    <row r="53" s="86" customFormat="true" ht="14.25" hidden="false" customHeight="false" outlineLevel="0" collapsed="false"/>
    <row r="54" s="86" customFormat="true" ht="14.25" hidden="false" customHeight="false" outlineLevel="0" collapsed="false"/>
    <row r="55" s="86" customFormat="true" ht="14.25" hidden="false" customHeight="false" outlineLevel="0" collapsed="false"/>
    <row r="56" s="86" customFormat="true" ht="14.25" hidden="false" customHeight="false" outlineLevel="0" collapsed="false"/>
    <row r="57" s="86" customFormat="true" ht="14.25" hidden="false" customHeight="false" outlineLevel="0" collapsed="false"/>
    <row r="58" s="86" customFormat="true" ht="14.25" hidden="false" customHeight="false" outlineLevel="0" collapsed="false"/>
    <row r="59" s="86" customFormat="true" ht="14.25" hidden="false" customHeight="false" outlineLevel="0" collapsed="false"/>
    <row r="60" s="86" customFormat="true" ht="14.25" hidden="false" customHeight="false" outlineLevel="0" collapsed="false"/>
    <row r="61" s="86" customFormat="true" ht="14.25" hidden="false" customHeight="false" outlineLevel="0" collapsed="false"/>
    <row r="62" s="86" customFormat="true" ht="14.25" hidden="false" customHeight="false" outlineLevel="0" collapsed="false"/>
    <row r="63" s="86" customFormat="true" ht="14.25" hidden="false" customHeight="false" outlineLevel="0" collapsed="false"/>
    <row r="64" s="86" customFormat="true" ht="14.25" hidden="false" customHeight="false" outlineLevel="0" collapsed="false"/>
    <row r="65" s="86" customFormat="true" ht="14.25" hidden="false" customHeight="false" outlineLevel="0" collapsed="false"/>
    <row r="66" s="86" customFormat="true" ht="14.25" hidden="false" customHeight="false" outlineLevel="0" collapsed="false"/>
    <row r="67" s="86" customFormat="true" ht="14.25" hidden="false" customHeight="false" outlineLevel="0" collapsed="false"/>
    <row r="68" s="86" customFormat="true" ht="14.25" hidden="false" customHeight="false" outlineLevel="0" collapsed="false"/>
    <row r="69" s="86" customFormat="true" ht="14.25" hidden="false" customHeight="false" outlineLevel="0" collapsed="false"/>
    <row r="70" s="86" customFormat="true" ht="14.25" hidden="false" customHeight="false" outlineLevel="0" collapsed="false"/>
    <row r="71" s="86" customFormat="true" ht="14.25" hidden="false" customHeight="false" outlineLevel="0" collapsed="false"/>
    <row r="72" s="86" customFormat="true" ht="14.25" hidden="false" customHeight="false" outlineLevel="0" collapsed="false"/>
    <row r="73" s="86" customFormat="true" ht="14.25" hidden="false" customHeight="false" outlineLevel="0" collapsed="false"/>
    <row r="74" s="86" customFormat="true" ht="14.25" hidden="false" customHeight="false" outlineLevel="0" collapsed="false"/>
    <row r="75" s="86" customFormat="true" ht="14.25" hidden="false" customHeight="false" outlineLevel="0" collapsed="false"/>
    <row r="76" s="86" customFormat="true" ht="14.25" hidden="false" customHeight="false" outlineLevel="0" collapsed="false"/>
    <row r="77" s="86" customFormat="true" ht="14.25" hidden="false" customHeight="false" outlineLevel="0" collapsed="false"/>
    <row r="78" s="86" customFormat="true" ht="14.25" hidden="false" customHeight="false" outlineLevel="0" collapsed="false"/>
    <row r="79" s="86" customFormat="true" ht="14.25" hidden="false" customHeight="false" outlineLevel="0" collapsed="false"/>
    <row r="80" s="86" customFormat="true" ht="14.25" hidden="false" customHeight="false" outlineLevel="0" collapsed="false"/>
    <row r="81" s="86" customFormat="true" ht="14.25" hidden="false" customHeight="false" outlineLevel="0" collapsed="false"/>
    <row r="82" s="86" customFormat="true" ht="14.25" hidden="false" customHeight="false" outlineLevel="0" collapsed="false"/>
    <row r="83" s="86" customFormat="true" ht="14.25" hidden="false" customHeight="false" outlineLevel="0" collapsed="false"/>
    <row r="84" s="86" customFormat="true" ht="14.25" hidden="false" customHeight="false" outlineLevel="0" collapsed="false"/>
    <row r="85" s="86" customFormat="true" ht="14.25" hidden="false" customHeight="false" outlineLevel="0" collapsed="false"/>
    <row r="86" s="86" customFormat="true" ht="14.25" hidden="false" customHeight="false" outlineLevel="0" collapsed="false"/>
    <row r="87" s="86" customFormat="true" ht="14.25" hidden="false" customHeight="false" outlineLevel="0" collapsed="false"/>
    <row r="88" s="86" customFormat="true" ht="14.25" hidden="false" customHeight="false" outlineLevel="0" collapsed="false"/>
    <row r="89" s="86" customFormat="true" ht="14.25" hidden="false" customHeight="false" outlineLevel="0" collapsed="false"/>
    <row r="90" s="86" customFormat="true" ht="14.25" hidden="false" customHeight="false" outlineLevel="0" collapsed="false"/>
    <row r="91" s="86" customFormat="true" ht="14.25" hidden="false" customHeight="false" outlineLevel="0" collapsed="false"/>
    <row r="92" s="86" customFormat="true" ht="14.25" hidden="false" customHeight="false" outlineLevel="0" collapsed="false"/>
    <row r="93" s="86" customFormat="true" ht="14.25" hidden="false" customHeight="false" outlineLevel="0" collapsed="false"/>
    <row r="94" s="86" customFormat="true" ht="14.25" hidden="false" customHeight="false" outlineLevel="0" collapsed="false"/>
    <row r="95" s="86" customFormat="true" ht="14.25" hidden="false" customHeight="false" outlineLevel="0" collapsed="false"/>
    <row r="96" s="86" customFormat="true" ht="14.25" hidden="false" customHeight="false" outlineLevel="0" collapsed="false"/>
    <row r="97" s="86" customFormat="true" ht="14.25" hidden="false" customHeight="false" outlineLevel="0" collapsed="false"/>
    <row r="98" s="86" customFormat="true" ht="14.25" hidden="false" customHeight="false" outlineLevel="0" collapsed="false"/>
    <row r="99" s="86" customFormat="true" ht="14.25" hidden="false" customHeight="false" outlineLevel="0" collapsed="false"/>
    <row r="100" s="86" customFormat="true" ht="14.25" hidden="false" customHeight="false" outlineLevel="0" collapsed="false"/>
    <row r="101" s="86" customFormat="true" ht="14.25" hidden="false" customHeight="false" outlineLevel="0" collapsed="false"/>
    <row r="102" s="86" customFormat="true" ht="14.25" hidden="false" customHeight="false" outlineLevel="0" collapsed="false"/>
    <row r="103" s="86" customFormat="true" ht="14.25" hidden="false" customHeight="false" outlineLevel="0" collapsed="false"/>
    <row r="104" s="86" customFormat="true" ht="14.25" hidden="false" customHeight="false" outlineLevel="0" collapsed="false"/>
    <row r="105" s="86" customFormat="true" ht="14.25" hidden="false" customHeight="false" outlineLevel="0" collapsed="false"/>
    <row r="106" s="86" customFormat="true" ht="14.25" hidden="false" customHeight="false" outlineLevel="0" collapsed="false"/>
    <row r="107" s="86" customFormat="true" ht="14.25" hidden="false" customHeight="false" outlineLevel="0" collapsed="false"/>
    <row r="108" s="86" customFormat="true" ht="14.25" hidden="false" customHeight="false" outlineLevel="0" collapsed="false"/>
    <row r="109" s="86" customFormat="true" ht="14.25" hidden="false" customHeight="false" outlineLevel="0" collapsed="false"/>
    <row r="110" s="86" customFormat="true" ht="14.25" hidden="false" customHeight="false" outlineLevel="0" collapsed="false"/>
    <row r="111" s="86" customFormat="true" ht="14.25" hidden="false" customHeight="false" outlineLevel="0" collapsed="false"/>
    <row r="112" s="86" customFormat="true" ht="14.25" hidden="false" customHeight="false" outlineLevel="0" collapsed="false"/>
    <row r="113" s="86" customFormat="true" ht="14.25" hidden="false" customHeight="false" outlineLevel="0" collapsed="false"/>
    <row r="114" s="86" customFormat="true" ht="14.25" hidden="false" customHeight="false" outlineLevel="0" collapsed="false"/>
    <row r="115" s="86" customFormat="true" ht="14.25" hidden="false" customHeight="false" outlineLevel="0" collapsed="false"/>
    <row r="116" s="86" customFormat="true" ht="14.25" hidden="false" customHeight="false" outlineLevel="0" collapsed="false"/>
    <row r="117" s="86" customFormat="true" ht="14.25" hidden="false" customHeight="false" outlineLevel="0" collapsed="false"/>
    <row r="118" s="86" customFormat="true" ht="14.25" hidden="false" customHeight="false" outlineLevel="0" collapsed="false"/>
    <row r="119" s="86" customFormat="true" ht="14.25" hidden="false" customHeight="false" outlineLevel="0" collapsed="false"/>
    <row r="120" s="86" customFormat="true" ht="14.25" hidden="false" customHeight="false" outlineLevel="0" collapsed="false"/>
    <row r="121" s="86" customFormat="true" ht="14.25" hidden="false" customHeight="false" outlineLevel="0" collapsed="false"/>
    <row r="122" s="86" customFormat="true" ht="14.25" hidden="false" customHeight="false" outlineLevel="0" collapsed="false"/>
    <row r="123" s="86" customFormat="true" ht="14.25" hidden="false" customHeight="false" outlineLevel="0" collapsed="false"/>
    <row r="124" s="86" customFormat="true" ht="14.25" hidden="false" customHeight="false" outlineLevel="0" collapsed="false"/>
    <row r="125" s="86" customFormat="true" ht="14.25" hidden="false" customHeight="false" outlineLevel="0" collapsed="false"/>
    <row r="126" s="86" customFormat="true" ht="14.25" hidden="false" customHeight="false" outlineLevel="0" collapsed="false"/>
    <row r="127" s="86" customFormat="true" ht="14.25" hidden="false" customHeight="false" outlineLevel="0" collapsed="false"/>
    <row r="128" s="86" customFormat="true" ht="14.25" hidden="false" customHeight="false" outlineLevel="0" collapsed="false"/>
    <row r="129" s="86" customFormat="true" ht="14.25" hidden="false" customHeight="false" outlineLevel="0" collapsed="false"/>
    <row r="130" s="86" customFormat="true" ht="14.25" hidden="false" customHeight="false" outlineLevel="0" collapsed="false"/>
    <row r="131" s="86" customFormat="true" ht="14.25" hidden="false" customHeight="false" outlineLevel="0" collapsed="false"/>
    <row r="132" s="86" customFormat="true" ht="14.25" hidden="false" customHeight="false" outlineLevel="0" collapsed="false"/>
    <row r="133" s="86" customFormat="true" ht="14.25" hidden="false" customHeight="false" outlineLevel="0" collapsed="false"/>
    <row r="134" s="86" customFormat="true" ht="14.25" hidden="false" customHeight="false" outlineLevel="0" collapsed="false"/>
    <row r="135" s="86" customFormat="true" ht="14.25" hidden="false" customHeight="false" outlineLevel="0" collapsed="false"/>
    <row r="136" s="86" customFormat="true" ht="14.25" hidden="false" customHeight="false" outlineLevel="0" collapsed="false"/>
    <row r="137" s="86" customFormat="true" ht="14.25" hidden="false" customHeight="false" outlineLevel="0" collapsed="false"/>
    <row r="138" s="86" customFormat="true" ht="14.25" hidden="false" customHeight="false" outlineLevel="0" collapsed="false"/>
    <row r="139" s="86" customFormat="true" ht="14.25" hidden="false" customHeight="false" outlineLevel="0" collapsed="false"/>
    <row r="140" s="86" customFormat="true" ht="14.25" hidden="false" customHeight="false" outlineLevel="0" collapsed="false"/>
    <row r="141" s="86" customFormat="true" ht="14.25" hidden="false" customHeight="false" outlineLevel="0" collapsed="false"/>
    <row r="142" s="86" customFormat="true" ht="14.25" hidden="false" customHeight="false" outlineLevel="0" collapsed="false"/>
    <row r="143" s="86" customFormat="true" ht="14.25" hidden="false" customHeight="false" outlineLevel="0" collapsed="false"/>
    <row r="144" s="86" customFormat="true" ht="14.25" hidden="false" customHeight="false" outlineLevel="0" collapsed="false"/>
    <row r="145" s="86" customFormat="true" ht="14.25" hidden="false" customHeight="false" outlineLevel="0" collapsed="false"/>
    <row r="146" s="86" customFormat="true" ht="14.25" hidden="false" customHeight="false" outlineLevel="0" collapsed="false"/>
    <row r="147" s="86" customFormat="true" ht="14.25" hidden="false" customHeight="false" outlineLevel="0" collapsed="false"/>
    <row r="148" s="86" customFormat="true" ht="14.25" hidden="false" customHeight="false" outlineLevel="0" collapsed="false"/>
    <row r="149" s="86" customFormat="true" ht="14.25" hidden="false" customHeight="false" outlineLevel="0" collapsed="false"/>
    <row r="150" s="86" customFormat="true" ht="14.25" hidden="false" customHeight="false" outlineLevel="0" collapsed="false"/>
    <row r="151" s="86" customFormat="true" ht="14.25" hidden="false" customHeight="false" outlineLevel="0" collapsed="false"/>
    <row r="152" s="86" customFormat="true" ht="14.25" hidden="false" customHeight="false" outlineLevel="0" collapsed="false"/>
    <row r="153" s="86" customFormat="true" ht="14.25" hidden="false" customHeight="false" outlineLevel="0" collapsed="false"/>
    <row r="154" s="86" customFormat="true" ht="14.25" hidden="false" customHeight="false" outlineLevel="0" collapsed="false"/>
    <row r="155" s="86" customFormat="true" ht="14.25" hidden="false" customHeight="false" outlineLevel="0" collapsed="false"/>
    <row r="156" s="86" customFormat="true" ht="14.25" hidden="false" customHeight="false" outlineLevel="0" collapsed="false"/>
    <row r="157" s="86" customFormat="true" ht="14.25" hidden="false" customHeight="false" outlineLevel="0" collapsed="false"/>
    <row r="158" s="86" customFormat="true" ht="14.25" hidden="false" customHeight="false" outlineLevel="0" collapsed="false"/>
    <row r="159" s="86" customFormat="true" ht="14.25" hidden="false" customHeight="false" outlineLevel="0" collapsed="false"/>
    <row r="160" s="86" customFormat="true" ht="14.25" hidden="false" customHeight="false" outlineLevel="0" collapsed="false"/>
    <row r="161" s="86" customFormat="true" ht="14.25" hidden="false" customHeight="false" outlineLevel="0" collapsed="false"/>
    <row r="162" s="86" customFormat="true" ht="14.25" hidden="false" customHeight="false" outlineLevel="0" collapsed="false"/>
    <row r="163" s="86" customFormat="true" ht="14.25" hidden="false" customHeight="false" outlineLevel="0" collapsed="false"/>
    <row r="164" s="86" customFormat="true" ht="14.25" hidden="false" customHeight="false" outlineLevel="0" collapsed="false"/>
    <row r="165" s="86" customFormat="true" ht="14.25" hidden="false" customHeight="false" outlineLevel="0" collapsed="false"/>
    <row r="166" s="86" customFormat="true" ht="14.25" hidden="false" customHeight="false" outlineLevel="0" collapsed="false"/>
    <row r="167" s="86" customFormat="true" ht="14.25" hidden="false" customHeight="false" outlineLevel="0" collapsed="false"/>
    <row r="168" s="86" customFormat="true" ht="14.25" hidden="false" customHeight="false" outlineLevel="0" collapsed="false"/>
    <row r="169" s="86" customFormat="true" ht="14.25" hidden="false" customHeight="false" outlineLevel="0" collapsed="false"/>
    <row r="170" s="86" customFormat="true" ht="14.25" hidden="false" customHeight="false" outlineLevel="0" collapsed="false"/>
    <row r="171" s="86" customFormat="true" ht="14.25" hidden="false" customHeight="false" outlineLevel="0" collapsed="false"/>
    <row r="172" s="86" customFormat="true" ht="14.25" hidden="false" customHeight="false" outlineLevel="0" collapsed="false"/>
    <row r="173" s="86" customFormat="true" ht="14.25" hidden="false" customHeight="false" outlineLevel="0" collapsed="false"/>
    <row r="174" s="86" customFormat="true" ht="14.25" hidden="false" customHeight="false" outlineLevel="0" collapsed="false"/>
    <row r="175" s="86" customFormat="true" ht="14.25" hidden="false" customHeight="false" outlineLevel="0" collapsed="false"/>
    <row r="176" s="86" customFormat="true" ht="14.25" hidden="false" customHeight="false" outlineLevel="0" collapsed="false"/>
    <row r="177" s="86" customFormat="true" ht="14.25" hidden="false" customHeight="false" outlineLevel="0" collapsed="false"/>
    <row r="178" s="86" customFormat="true" ht="14.25" hidden="false" customHeight="false" outlineLevel="0" collapsed="false"/>
    <row r="179" s="86" customFormat="true" ht="14.25" hidden="false" customHeight="false" outlineLevel="0" collapsed="false"/>
    <row r="180" s="86" customFormat="true" ht="14.25" hidden="false" customHeight="false" outlineLevel="0" collapsed="false"/>
    <row r="181" s="86" customFormat="true" ht="14.25" hidden="false" customHeight="false" outlineLevel="0" collapsed="false"/>
    <row r="182" s="86" customFormat="true" ht="14.25" hidden="false" customHeight="false" outlineLevel="0" collapsed="false"/>
    <row r="183" s="86" customFormat="true" ht="14.25" hidden="false" customHeight="false" outlineLevel="0" collapsed="false"/>
    <row r="184" s="86" customFormat="true" ht="14.25" hidden="false" customHeight="false" outlineLevel="0" collapsed="false"/>
    <row r="185" s="86" customFormat="true" ht="14.25" hidden="false" customHeight="false" outlineLevel="0" collapsed="false"/>
    <row r="186" s="86" customFormat="true" ht="14.25" hidden="false" customHeight="false" outlineLevel="0" collapsed="false"/>
    <row r="187" s="86" customFormat="true" ht="14.25" hidden="false" customHeight="false" outlineLevel="0" collapsed="false"/>
    <row r="188" s="86" customFormat="true" ht="14.25" hidden="false" customHeight="false" outlineLevel="0" collapsed="false"/>
    <row r="189" s="86" customFormat="true" ht="14.25" hidden="false" customHeight="false" outlineLevel="0" collapsed="false"/>
    <row r="190" s="86" customFormat="true" ht="14.25" hidden="false" customHeight="false" outlineLevel="0" collapsed="false"/>
    <row r="191" s="86" customFormat="true" ht="14.25" hidden="false" customHeight="false" outlineLevel="0" collapsed="false"/>
    <row r="192" s="86" customFormat="true" ht="14.25" hidden="false" customHeight="false" outlineLevel="0" collapsed="false"/>
    <row r="193" s="86" customFormat="true" ht="14.25" hidden="false" customHeight="false" outlineLevel="0" collapsed="false"/>
    <row r="194" s="86" customFormat="true" ht="14.25" hidden="false" customHeight="false" outlineLevel="0" collapsed="false"/>
    <row r="195" s="86" customFormat="true" ht="14.25" hidden="false" customHeight="false" outlineLevel="0" collapsed="false"/>
    <row r="196" s="86" customFormat="true" ht="14.25" hidden="false" customHeight="false" outlineLevel="0" collapsed="false"/>
    <row r="197" s="86" customFormat="true" ht="14.25" hidden="false" customHeight="false" outlineLevel="0" collapsed="false"/>
    <row r="198" s="86" customFormat="true" ht="14.25" hidden="false" customHeight="false" outlineLevel="0" collapsed="false"/>
    <row r="199" s="86" customFormat="true" ht="14.25" hidden="false" customHeight="false" outlineLevel="0" collapsed="false"/>
    <row r="200" s="86" customFormat="true" ht="14.25" hidden="false" customHeight="false" outlineLevel="0" collapsed="false"/>
    <row r="201" s="86" customFormat="true" ht="14.25" hidden="false" customHeight="false" outlineLevel="0" collapsed="false"/>
    <row r="202" s="86" customFormat="true" ht="14.25" hidden="false" customHeight="false" outlineLevel="0" collapsed="false"/>
    <row r="203" s="86" customFormat="true" ht="14.25" hidden="false" customHeight="false" outlineLevel="0" collapsed="false"/>
    <row r="204" s="86" customFormat="true" ht="14.25" hidden="false" customHeight="false" outlineLevel="0" collapsed="false"/>
    <row r="205" s="86" customFormat="true" ht="14.25" hidden="false" customHeight="false" outlineLevel="0" collapsed="false"/>
    <row r="206" s="86" customFormat="true" ht="14.25" hidden="false" customHeight="false" outlineLevel="0" collapsed="false"/>
    <row r="207" s="86" customFormat="true" ht="14.25" hidden="false" customHeight="false" outlineLevel="0" collapsed="false"/>
    <row r="208" s="86" customFormat="true" ht="14.25" hidden="false" customHeight="false" outlineLevel="0" collapsed="false"/>
    <row r="209" s="86" customFormat="true" ht="14.25" hidden="false" customHeight="false" outlineLevel="0" collapsed="false"/>
    <row r="210" s="86" customFormat="true" ht="14.25" hidden="false" customHeight="false" outlineLevel="0" collapsed="false"/>
    <row r="211" s="86" customFormat="true" ht="14.25" hidden="false" customHeight="false" outlineLevel="0" collapsed="false"/>
    <row r="212" s="86" customFormat="true" ht="14.25" hidden="false" customHeight="false" outlineLevel="0" collapsed="false"/>
    <row r="213" s="86" customFormat="true" ht="14.25" hidden="false" customHeight="false" outlineLevel="0" collapsed="false"/>
    <row r="214" s="86" customFormat="true" ht="14.25" hidden="false" customHeight="false" outlineLevel="0" collapsed="false"/>
    <row r="215" s="86" customFormat="true" ht="14.25" hidden="false" customHeight="false" outlineLevel="0" collapsed="false"/>
    <row r="216" s="86" customFormat="true" ht="14.25" hidden="false" customHeight="false" outlineLevel="0" collapsed="false"/>
    <row r="217" s="86" customFormat="true" ht="14.25" hidden="false" customHeight="false" outlineLevel="0" collapsed="false"/>
    <row r="218" s="86" customFormat="true" ht="14.25" hidden="false" customHeight="false" outlineLevel="0" collapsed="false"/>
    <row r="219" s="86" customFormat="true" ht="14.25" hidden="false" customHeight="false" outlineLevel="0" collapsed="false"/>
    <row r="220" s="86" customFormat="true" ht="14.25" hidden="false" customHeight="false" outlineLevel="0" collapsed="false"/>
    <row r="221" s="86" customFormat="true" ht="14.25" hidden="false" customHeight="false" outlineLevel="0" collapsed="false"/>
    <row r="222" s="86" customFormat="true" ht="14.25" hidden="false" customHeight="false" outlineLevel="0" collapsed="false"/>
    <row r="223" s="86" customFormat="true" ht="14.25" hidden="false" customHeight="false" outlineLevel="0" collapsed="false"/>
    <row r="224" s="86" customFormat="true" ht="14.25" hidden="false" customHeight="false" outlineLevel="0" collapsed="false"/>
    <row r="225" s="86" customFormat="true" ht="14.25" hidden="false" customHeight="false" outlineLevel="0" collapsed="false"/>
    <row r="226" s="86" customFormat="true" ht="14.25" hidden="false" customHeight="false" outlineLevel="0" collapsed="false"/>
    <row r="227" s="86" customFormat="true" ht="14.25" hidden="false" customHeight="false" outlineLevel="0" collapsed="false"/>
    <row r="228" s="86" customFormat="true" ht="14.25" hidden="false" customHeight="false" outlineLevel="0" collapsed="false"/>
    <row r="229" s="86" customFormat="true" ht="14.25" hidden="false" customHeight="false" outlineLevel="0" collapsed="false"/>
    <row r="230" s="86" customFormat="true" ht="14.25" hidden="false" customHeight="false" outlineLevel="0" collapsed="false"/>
    <row r="231" s="86" customFormat="true" ht="14.25" hidden="false" customHeight="false" outlineLevel="0" collapsed="false"/>
    <row r="232" s="86" customFormat="true" ht="14.25" hidden="false" customHeight="false" outlineLevel="0" collapsed="false"/>
    <row r="233" s="86" customFormat="true" ht="14.25" hidden="false" customHeight="false" outlineLevel="0" collapsed="false"/>
    <row r="234" s="86" customFormat="true" ht="14.25" hidden="false" customHeight="false" outlineLevel="0" collapsed="false"/>
    <row r="235" s="86" customFormat="true" ht="14.25" hidden="false" customHeight="false" outlineLevel="0" collapsed="false"/>
    <row r="236" s="86" customFormat="true" ht="14.25" hidden="false" customHeight="false" outlineLevel="0" collapsed="false"/>
    <row r="237" s="86" customFormat="true" ht="14.25" hidden="false" customHeight="false" outlineLevel="0" collapsed="false"/>
    <row r="238" s="86" customFormat="true" ht="14.25" hidden="false" customHeight="false" outlineLevel="0" collapsed="false"/>
    <row r="239" s="86" customFormat="true" ht="14.25" hidden="false" customHeight="false" outlineLevel="0" collapsed="false"/>
    <row r="240" s="86" customFormat="true" ht="14.25" hidden="false" customHeight="false" outlineLevel="0" collapsed="false"/>
    <row r="241" s="86" customFormat="true" ht="14.25" hidden="false" customHeight="false" outlineLevel="0" collapsed="false"/>
    <row r="242" s="86" customFormat="true" ht="14.25" hidden="false" customHeight="false" outlineLevel="0" collapsed="false"/>
    <row r="243" s="86" customFormat="true" ht="14.25" hidden="false" customHeight="false" outlineLevel="0" collapsed="false"/>
    <row r="244" s="86" customFormat="true" ht="14.25" hidden="false" customHeight="false" outlineLevel="0" collapsed="false"/>
    <row r="245" s="86" customFormat="true" ht="14.25" hidden="false" customHeight="false" outlineLevel="0" collapsed="false"/>
    <row r="246" s="86" customFormat="true" ht="14.25" hidden="false" customHeight="false" outlineLevel="0" collapsed="false"/>
    <row r="247" s="86" customFormat="true" ht="14.25" hidden="false" customHeight="false" outlineLevel="0" collapsed="false"/>
    <row r="248" s="86" customFormat="true" ht="14.25" hidden="false" customHeight="false" outlineLevel="0" collapsed="false"/>
    <row r="249" s="86" customFormat="true" ht="14.25" hidden="false" customHeight="false" outlineLevel="0" collapsed="false"/>
    <row r="250" s="86" customFormat="true" ht="14.25" hidden="false" customHeight="false" outlineLevel="0" collapsed="false"/>
    <row r="251" s="86" customFormat="true" ht="14.25" hidden="false" customHeight="false" outlineLevel="0" collapsed="false"/>
    <row r="252" s="86" customFormat="true" ht="14.25" hidden="false" customHeight="false" outlineLevel="0" collapsed="false"/>
    <row r="253" s="86" customFormat="true" ht="14.25" hidden="false" customHeight="false" outlineLevel="0" collapsed="false"/>
    <row r="254" s="86" customFormat="true" ht="14.25" hidden="false" customHeight="false" outlineLevel="0" collapsed="false"/>
    <row r="255" s="86" customFormat="true" ht="14.25" hidden="false" customHeight="false" outlineLevel="0" collapsed="false"/>
    <row r="256" s="86" customFormat="true" ht="14.25" hidden="false" customHeight="false" outlineLevel="0" collapsed="false"/>
    <row r="257" s="86" customFormat="true" ht="14.25" hidden="false" customHeight="false" outlineLevel="0" collapsed="false"/>
    <row r="258" s="86" customFormat="true" ht="14.25" hidden="false" customHeight="false" outlineLevel="0" collapsed="false"/>
    <row r="259" s="86" customFormat="true" ht="14.25" hidden="false" customHeight="false" outlineLevel="0" collapsed="false"/>
    <row r="260" s="86" customFormat="true" ht="14.25" hidden="false" customHeight="false" outlineLevel="0" collapsed="false"/>
    <row r="261" s="86" customFormat="true" ht="14.25" hidden="false" customHeight="false" outlineLevel="0" collapsed="false"/>
    <row r="262" s="86" customFormat="true" ht="14.25" hidden="false" customHeight="false" outlineLevel="0" collapsed="false"/>
    <row r="263" s="86" customFormat="true" ht="14.25" hidden="false" customHeight="false" outlineLevel="0" collapsed="false"/>
    <row r="264" s="86" customFormat="true" ht="14.25" hidden="false" customHeight="false" outlineLevel="0" collapsed="false"/>
    <row r="265" s="86" customFormat="true" ht="14.25" hidden="false" customHeight="false" outlineLevel="0" collapsed="false"/>
    <row r="266" s="86" customFormat="true" ht="14.25" hidden="false" customHeight="false" outlineLevel="0" collapsed="false"/>
    <row r="267" s="86" customFormat="true" ht="14.25" hidden="false" customHeight="false" outlineLevel="0" collapsed="false"/>
    <row r="268" s="86" customFormat="true" ht="14.25" hidden="false" customHeight="false" outlineLevel="0" collapsed="false"/>
    <row r="269" s="86" customFormat="true" ht="14.25" hidden="false" customHeight="false" outlineLevel="0" collapsed="false"/>
    <row r="270" s="86" customFormat="true" ht="14.25" hidden="false" customHeight="false" outlineLevel="0" collapsed="false"/>
    <row r="271" s="86" customFormat="true" ht="14.25" hidden="false" customHeight="false" outlineLevel="0" collapsed="false"/>
    <row r="272" s="86" customFormat="true" ht="14.25" hidden="false" customHeight="false" outlineLevel="0" collapsed="false"/>
    <row r="273" s="86" customFormat="true" ht="14.25" hidden="false" customHeight="false" outlineLevel="0" collapsed="false"/>
    <row r="274" s="86" customFormat="true" ht="14.25" hidden="false" customHeight="false" outlineLevel="0" collapsed="false"/>
    <row r="275" s="86" customFormat="true" ht="14.25" hidden="false" customHeight="false" outlineLevel="0" collapsed="false"/>
    <row r="276" s="86" customFormat="true" ht="14.25" hidden="false" customHeight="false" outlineLevel="0" collapsed="false"/>
    <row r="277" s="86" customFormat="true" ht="14.25" hidden="false" customHeight="false" outlineLevel="0" collapsed="false"/>
    <row r="278" s="86" customFormat="true" ht="14.25" hidden="false" customHeight="false" outlineLevel="0" collapsed="false"/>
    <row r="279" s="86" customFormat="true" ht="14.25" hidden="false" customHeight="false" outlineLevel="0" collapsed="false"/>
    <row r="280" s="86" customFormat="true" ht="14.25" hidden="false" customHeight="false" outlineLevel="0" collapsed="false"/>
    <row r="281" s="86" customFormat="true" ht="14.25" hidden="false" customHeight="false" outlineLevel="0" collapsed="false"/>
    <row r="282" s="86" customFormat="true" ht="14.25" hidden="false" customHeight="false" outlineLevel="0" collapsed="false"/>
    <row r="283" s="86" customFormat="true" ht="14.25" hidden="false" customHeight="false" outlineLevel="0" collapsed="false"/>
    <row r="284" s="86" customFormat="true" ht="14.25" hidden="false" customHeight="false" outlineLevel="0" collapsed="false"/>
    <row r="285" s="86" customFormat="true" ht="14.25" hidden="false" customHeight="false" outlineLevel="0" collapsed="false"/>
    <row r="286" s="86" customFormat="true" ht="14.25" hidden="false" customHeight="false" outlineLevel="0" collapsed="false"/>
    <row r="287" s="86" customFormat="true" ht="14.25" hidden="false" customHeight="false" outlineLevel="0" collapsed="false"/>
    <row r="288" s="86" customFormat="true" ht="14.25" hidden="false" customHeight="false" outlineLevel="0" collapsed="false"/>
    <row r="289" s="86" customFormat="true" ht="14.25" hidden="false" customHeight="false" outlineLevel="0" collapsed="false"/>
    <row r="290" s="86" customFormat="true" ht="14.25" hidden="false" customHeight="false" outlineLevel="0" collapsed="false"/>
    <row r="291" s="86" customFormat="true" ht="14.25" hidden="false" customHeight="false" outlineLevel="0" collapsed="false"/>
    <row r="292" s="86" customFormat="true" ht="14.25" hidden="false" customHeight="false" outlineLevel="0" collapsed="false"/>
    <row r="293" s="86" customFormat="true" ht="14.25" hidden="false" customHeight="false" outlineLevel="0" collapsed="false"/>
    <row r="294" s="86" customFormat="true" ht="14.25" hidden="false" customHeight="false" outlineLevel="0" collapsed="false"/>
    <row r="295" s="86" customFormat="true" ht="14.25" hidden="false" customHeight="false" outlineLevel="0" collapsed="false"/>
    <row r="296" s="86" customFormat="true" ht="14.25" hidden="false" customHeight="false" outlineLevel="0" collapsed="false"/>
    <row r="297" s="86" customFormat="true" ht="14.25" hidden="false" customHeight="false" outlineLevel="0" collapsed="false"/>
    <row r="298" s="86" customFormat="true" ht="14.25" hidden="false" customHeight="false" outlineLevel="0" collapsed="false"/>
    <row r="299" s="86" customFormat="true" ht="14.25" hidden="false" customHeight="false" outlineLevel="0" collapsed="false"/>
    <row r="300" s="86" customFormat="true" ht="14.25" hidden="false" customHeight="false" outlineLevel="0" collapsed="false"/>
    <row r="301" s="86" customFormat="true" ht="14.25" hidden="false" customHeight="false" outlineLevel="0" collapsed="false"/>
    <row r="302" s="86" customFormat="true" ht="14.25" hidden="false" customHeight="false" outlineLevel="0" collapsed="false"/>
    <row r="303" s="86" customFormat="true" ht="14.25" hidden="false" customHeight="false" outlineLevel="0" collapsed="false"/>
    <row r="304" s="86" customFormat="true" ht="14.25" hidden="false" customHeight="false" outlineLevel="0" collapsed="false"/>
    <row r="305" s="86" customFormat="true" ht="14.25" hidden="false" customHeight="false" outlineLevel="0" collapsed="false"/>
    <row r="306" s="86" customFormat="true" ht="14.25" hidden="false" customHeight="false" outlineLevel="0" collapsed="false"/>
    <row r="307" s="86" customFormat="true" ht="14.25" hidden="false" customHeight="false" outlineLevel="0" collapsed="false"/>
    <row r="308" s="86" customFormat="true" ht="14.25" hidden="false" customHeight="false" outlineLevel="0" collapsed="false"/>
    <row r="309" s="86" customFormat="true" ht="14.25" hidden="false" customHeight="false" outlineLevel="0" collapsed="false"/>
    <row r="310" s="86" customFormat="true" ht="14.25" hidden="false" customHeight="false" outlineLevel="0" collapsed="false"/>
    <row r="311" s="86" customFormat="true" ht="14.25" hidden="false" customHeight="false" outlineLevel="0" collapsed="false"/>
    <row r="312" s="86" customFormat="true" ht="14.25" hidden="false" customHeight="false" outlineLevel="0" collapsed="false"/>
    <row r="313" s="86" customFormat="true" ht="14.25" hidden="false" customHeight="false" outlineLevel="0" collapsed="false"/>
    <row r="314" s="86" customFormat="true" ht="14.25" hidden="false" customHeight="false" outlineLevel="0" collapsed="false"/>
    <row r="315" s="86" customFormat="true" ht="14.25" hidden="false" customHeight="false" outlineLevel="0" collapsed="false"/>
    <row r="316" s="86" customFormat="true" ht="14.25" hidden="false" customHeight="false" outlineLevel="0" collapsed="false"/>
    <row r="317" s="86" customFormat="true" ht="14.25" hidden="false" customHeight="false" outlineLevel="0" collapsed="false"/>
    <row r="318" s="86" customFormat="true" ht="14.25" hidden="false" customHeight="false" outlineLevel="0" collapsed="false"/>
    <row r="319" s="86" customFormat="true" ht="14.25" hidden="false" customHeight="false" outlineLevel="0" collapsed="false"/>
  </sheetData>
  <conditionalFormatting sqref="B10">
    <cfRule type="cellIs" priority="2" operator="equal" aboveAverage="0" equalAverage="0" bottom="0" percent="0" rank="0" text="" dxfId="362">
      <formula>$B$10</formula>
    </cfRule>
  </conditionalFormatting>
  <conditionalFormatting sqref="B3:B10">
    <cfRule type="cellIs" priority="3" operator="equal" aboveAverage="0" equalAverage="0" bottom="0" percent="0" rank="0" text="" dxfId="363">
      <formula>$B$9</formula>
    </cfRule>
    <cfRule type="cellIs" priority="4" operator="equal" aboveAverage="0" equalAverage="0" bottom="0" percent="0" rank="0" text="" dxfId="364">
      <formula>$B$8</formula>
    </cfRule>
    <cfRule type="cellIs" priority="5" operator="equal" aboveAverage="0" equalAverage="0" bottom="0" percent="0" rank="0" text="" dxfId="365">
      <formula>$B$7</formula>
    </cfRule>
    <cfRule type="cellIs" priority="6" operator="equal" aboveAverage="0" equalAverage="0" bottom="0" percent="0" rank="0" text="" dxfId="366">
      <formula>$B$6</formula>
    </cfRule>
    <cfRule type="cellIs" priority="7" operator="equal" aboveAverage="0" equalAverage="0" bottom="0" percent="0" rank="0" text="" dxfId="367">
      <formula>$B$5</formula>
    </cfRule>
    <cfRule type="cellIs" priority="8" operator="equal" aboveAverage="0" equalAverage="0" bottom="0" percent="0" rank="0" text="" dxfId="368">
      <formula>$B$4</formula>
    </cfRule>
    <cfRule type="cellIs" priority="9" operator="equal" aboveAverage="0" equalAverage="0" bottom="0" percent="0" rank="0" text="" dxfId="369">
      <formula>$B$3</formula>
    </cfRule>
    <cfRule type="containsText" priority="10" operator="containsText" aboveAverage="0" equalAverage="0" bottom="0" percent="0" rank="0" text="Initial" dxfId="370">
      <formula>NOT(ISERROR(SEARCH("Initial",B3)))</formula>
    </cfRule>
    <cfRule type="containsText" priority="11" operator="containsText" aboveAverage="0" equalAverage="0" bottom="0" percent="0" rank="0" text="Nonexistent" dxfId="371">
      <formula>NOT(ISERROR(SEARCH("Nonexistent",B3)))</formula>
    </cfRule>
    <cfRule type="expression" priority="12" aboveAverage="0" equalAverage="0" bottom="0" percent="0" rank="0" text="" dxfId="372">
      <formula>_xlfn.ORG.OPENOFFICE.STYLE(VLOOKUP(B3,#ref!,2,0))</formula>
    </cfRule>
  </conditionalFormatting>
  <dataValidations count="1">
    <dataValidation allowBlank="true" errorStyle="stop" operator="equal" promptTitle="Select Control Scope" showDropDown="false" showErrorMessage="true" showInputMessage="true" sqref="B3"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81</TotalTime>
  <Application>LibreOffice/24.2.7.2$Linux_X86_64 LibreOffice_project/420$Build-2</Application>
  <HyperlinkBase>www.ISO27001security.com</HyperlinkBase>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ontentStatus>Part of the FREE ISO27k Toolkit</cp:contentStatus>
  <dcterms:created xsi:type="dcterms:W3CDTF">2014-03-11T21:40:57Z</dcterms:created>
  <dc:creator>Gary@isect.com</dc:creator>
  <dc:description>Copyright © 2014 ISO27k Forum  See the embedded copyright notice</dc:description>
  <cp:keywords>ISO27k ISMS</cp:keywords>
  <dc:language>en-US</dc:language>
  <cp:lastModifiedBy/>
  <cp:lastPrinted>2014-03-12T05:00:07Z</cp:lastPrinted>
  <dcterms:modified xsi:type="dcterms:W3CDTF">2025-08-08T16:54:02Z</dcterms:modified>
  <cp:revision>16</cp:revision>
  <dc:subject>Information Security Management</dc:subject>
  <dc:title>ISMS status and SoA</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115d7e-b42c-4cb0-9d5d-d9d427f162d6_ActionId">
    <vt:lpwstr>c92806bd-9e9f-4b66-a767-d3bb61c7171b</vt:lpwstr>
  </property>
  <property fmtid="{D5CDD505-2E9C-101B-9397-08002B2CF9AE}" pid="3" name="MSIP_Label_b6115d7e-b42c-4cb0-9d5d-d9d427f162d6_ContentBits">
    <vt:lpwstr>0</vt:lpwstr>
  </property>
  <property fmtid="{D5CDD505-2E9C-101B-9397-08002B2CF9AE}" pid="4" name="MSIP_Label_b6115d7e-b42c-4cb0-9d5d-d9d427f162d6_Enabled">
    <vt:lpwstr>true</vt:lpwstr>
  </property>
  <property fmtid="{D5CDD505-2E9C-101B-9397-08002B2CF9AE}" pid="5" name="MSIP_Label_b6115d7e-b42c-4cb0-9d5d-d9d427f162d6_Method">
    <vt:lpwstr>Standard</vt:lpwstr>
  </property>
  <property fmtid="{D5CDD505-2E9C-101B-9397-08002B2CF9AE}" pid="6" name="MSIP_Label_b6115d7e-b42c-4cb0-9d5d-d9d427f162d6_Name">
    <vt:lpwstr>Public</vt:lpwstr>
  </property>
  <property fmtid="{D5CDD505-2E9C-101B-9397-08002B2CF9AE}" pid="7" name="MSIP_Label_b6115d7e-b42c-4cb0-9d5d-d9d427f162d6_SetDate">
    <vt:lpwstr>2022-09-11T09:19:33Z</vt:lpwstr>
  </property>
  <property fmtid="{D5CDD505-2E9C-101B-9397-08002B2CF9AE}" pid="8" name="MSIP_Label_b6115d7e-b42c-4cb0-9d5d-d9d427f162d6_SiteId">
    <vt:lpwstr>b3df40eb-c945-4bc1-8821-0b8d9b63b14a</vt:lpwstr>
  </property>
</Properties>
</file>