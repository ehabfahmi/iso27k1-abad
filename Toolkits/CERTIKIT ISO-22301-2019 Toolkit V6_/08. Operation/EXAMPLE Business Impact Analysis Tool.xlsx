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5.xml" ContentType="application/vnd.openxmlformats-officedocument.drawing+xml"/>
  <Override PartName="/xl/tables/table12.xml" ContentType="application/vnd.openxmlformats-officedocument.spreadsheetml.table+xml"/>
  <Override PartName="/xl/drawings/drawing6.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drawings/drawing7.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https://publicit3.sharepoint.com/sites/ToolkitDevelopment/Shared Documents/ISO22301 v6/CERTIKIT ISO-22301-2019 Toolkit V6/08. Operation/"/>
    </mc:Choice>
  </mc:AlternateContent>
  <xr:revisionPtr revIDLastSave="381" documentId="13_ncr:1_{64CBA478-D083-4869-917C-9784C1B33874}" xr6:coauthVersionLast="47" xr6:coauthVersionMax="47" xr10:uidLastSave="{96ABBD54-200D-4888-A529-D31FE7087844}"/>
  <bookViews>
    <workbookView xWindow="-120" yWindow="-120" windowWidth="29040" windowHeight="15840" tabRatio="684" xr2:uid="{00000000-000D-0000-FFFF-FFFF00000000}"/>
  </bookViews>
  <sheets>
    <sheet name="Definitions" sheetId="11" r:id="rId1"/>
    <sheet name="Analysis Details" sheetId="10" r:id="rId2"/>
    <sheet name="Key Business Activities" sheetId="12" r:id="rId3"/>
    <sheet name="Impact of Disruption" sheetId="13" r:id="rId4"/>
    <sheet name="Key Targets" sheetId="14" r:id="rId5"/>
    <sheet name="Dependencies and Recovery Needs" sheetId="15" r:id="rId6"/>
    <sheet name="Priority List" sheetId="16" r:id="rId7"/>
    <sheet name="Tables" sheetId="4" state="hidden" r:id="rId8"/>
  </sheets>
  <definedNames>
    <definedName name="_xlnm.Print_Area" localSheetId="0">Definitions!$A$1:$D$29</definedName>
    <definedName name="_xlnm.Print_Area" localSheetId="5">'Dependencies and Recovery Needs'!$A$1:$J$176</definedName>
    <definedName name="_xlnm.Print_Area" localSheetId="2">'Key Business Activities'!$A$1:$M$22</definedName>
    <definedName name="_xlnm.Print_Area" localSheetId="6">'Priority List'!$A$1:$E$21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1" i="15" l="1"/>
  <c r="C32" i="15"/>
  <c r="C33" i="15"/>
  <c r="C34" i="15"/>
  <c r="C35" i="15"/>
  <c r="C36" i="15"/>
  <c r="C37" i="15"/>
  <c r="C38" i="15"/>
  <c r="C46" i="15"/>
  <c r="C47" i="15"/>
  <c r="C48" i="15"/>
  <c r="C49" i="15"/>
  <c r="C50" i="15"/>
  <c r="C51" i="15"/>
  <c r="C52" i="15"/>
  <c r="C53" i="15"/>
  <c r="H56" i="15"/>
  <c r="C61" i="15"/>
  <c r="C62" i="15"/>
  <c r="C63" i="15"/>
  <c r="C64" i="15"/>
  <c r="C65" i="15"/>
  <c r="C66" i="15"/>
  <c r="C67" i="15"/>
  <c r="C68" i="15"/>
  <c r="C76" i="15"/>
  <c r="C77" i="15"/>
  <c r="C78" i="15"/>
  <c r="C79" i="15"/>
  <c r="C80" i="15"/>
  <c r="C81" i="15"/>
  <c r="C82" i="15"/>
  <c r="C83" i="15"/>
  <c r="C91" i="15"/>
  <c r="C92" i="15"/>
  <c r="C93" i="15"/>
  <c r="C94" i="15"/>
  <c r="C95" i="15"/>
  <c r="C96" i="15"/>
  <c r="C97" i="15"/>
  <c r="C98" i="15"/>
  <c r="C106" i="15"/>
  <c r="C107" i="15"/>
  <c r="C108" i="15"/>
  <c r="C109" i="15"/>
  <c r="C110" i="15"/>
  <c r="C111" i="15"/>
  <c r="C112" i="15"/>
  <c r="C113" i="15"/>
  <c r="C121" i="15"/>
  <c r="C122" i="15"/>
  <c r="C123" i="15"/>
  <c r="C124" i="15"/>
  <c r="C125" i="15"/>
  <c r="C126" i="15"/>
  <c r="C127" i="15"/>
  <c r="C128" i="15"/>
  <c r="I104" i="13"/>
  <c r="I105" i="13"/>
  <c r="I106" i="13"/>
  <c r="I107" i="13"/>
  <c r="I108" i="13"/>
  <c r="I109" i="13"/>
  <c r="D89" i="15" l="1"/>
  <c r="H175" i="15"/>
  <c r="D164" i="15"/>
  <c r="D149" i="15"/>
  <c r="D134" i="15"/>
  <c r="D119" i="15"/>
  <c r="D104" i="15"/>
  <c r="D74" i="15"/>
  <c r="D59" i="15"/>
  <c r="D44" i="15"/>
  <c r="D29" i="15"/>
  <c r="E128" i="13"/>
  <c r="E115" i="13"/>
  <c r="E102" i="13"/>
  <c r="E89" i="13"/>
  <c r="E63" i="13"/>
  <c r="E76" i="13"/>
  <c r="E50" i="13"/>
  <c r="E37" i="13"/>
  <c r="E24" i="13"/>
  <c r="E11" i="13"/>
  <c r="H176" i="15"/>
  <c r="H161" i="15"/>
  <c r="H160" i="15"/>
  <c r="H146" i="15"/>
  <c r="H145" i="15"/>
  <c r="H131" i="15"/>
  <c r="H130" i="15"/>
  <c r="H116" i="15"/>
  <c r="H115" i="15"/>
  <c r="H101" i="15"/>
  <c r="H100" i="15"/>
  <c r="H86" i="15"/>
  <c r="H85" i="15"/>
  <c r="H71" i="15"/>
  <c r="H70" i="15"/>
  <c r="H55" i="15"/>
  <c r="H41" i="15"/>
  <c r="H40" i="15"/>
  <c r="C13" i="14" l="1"/>
  <c r="C14" i="14"/>
  <c r="C173" i="15" l="1"/>
  <c r="C172" i="15"/>
  <c r="C171" i="15"/>
  <c r="C170" i="15"/>
  <c r="C169" i="15"/>
  <c r="C168" i="15"/>
  <c r="C167" i="15"/>
  <c r="C166" i="15"/>
  <c r="C158" i="15"/>
  <c r="C157" i="15"/>
  <c r="C156" i="15"/>
  <c r="C155" i="15"/>
  <c r="C154" i="15"/>
  <c r="C153" i="15"/>
  <c r="C152" i="15"/>
  <c r="C151" i="15"/>
  <c r="C143" i="15"/>
  <c r="C142" i="15"/>
  <c r="C141" i="15"/>
  <c r="C140" i="15"/>
  <c r="C139" i="15"/>
  <c r="C138" i="15"/>
  <c r="C137" i="15"/>
  <c r="C136" i="15"/>
  <c r="C15" i="14" l="1"/>
  <c r="C16" i="14"/>
  <c r="C17" i="14"/>
  <c r="C18" i="14"/>
  <c r="C19" i="14"/>
  <c r="C20" i="14"/>
  <c r="C21" i="14"/>
  <c r="C12" i="14"/>
  <c r="I135" i="13" l="1"/>
  <c r="I134" i="13"/>
  <c r="I133" i="13"/>
  <c r="I132" i="13"/>
  <c r="I131" i="13"/>
  <c r="I130" i="13"/>
  <c r="I122" i="13"/>
  <c r="I121" i="13"/>
  <c r="I120" i="13"/>
  <c r="I119" i="13"/>
  <c r="I118" i="13"/>
  <c r="I117" i="13"/>
</calcChain>
</file>

<file path=xl/sharedStrings.xml><?xml version="1.0" encoding="utf-8"?>
<sst xmlns="http://schemas.openxmlformats.org/spreadsheetml/2006/main" count="968" uniqueCount="256">
  <si>
    <t>Select…</t>
  </si>
  <si>
    <t>People</t>
  </si>
  <si>
    <t>DEFINITION</t>
  </si>
  <si>
    <t>Terms and Definitions</t>
  </si>
  <si>
    <t xml:space="preserve"> TERM</t>
  </si>
  <si>
    <t>Activity</t>
  </si>
  <si>
    <t>Business impact analysis</t>
  </si>
  <si>
    <t>Maximum acceptable outage (MAO)</t>
  </si>
  <si>
    <t>Maximum tolerable period of disruption (MTPD)</t>
  </si>
  <si>
    <t>Minimum business continuity objective (MBCO)</t>
  </si>
  <si>
    <t>Products and services</t>
  </si>
  <si>
    <t>Prioritised activities</t>
  </si>
  <si>
    <t>Recovery point objective (RPO)</t>
  </si>
  <si>
    <t>Recovery time objective (RTO)</t>
  </si>
  <si>
    <t>Process or set of processes undertaken by an organization (or on its behalf) that produces or supports one or more products and services. For example, such processes include accounts, call centre, IT, manufacture and distribution.</t>
  </si>
  <si>
    <t>Process of analysing activities and the effect that a business disruption might have upon them.</t>
  </si>
  <si>
    <t>Time it would take for adverse impacts, which might arise as a result of not providing a product/service or performing an activity, to become unacceptable (see also MTPD).</t>
  </si>
  <si>
    <t>Time it would take for adverse impacts, which might arise as a result of not providing a product/service or performing an activity, to become unacceptable (see also MAO).</t>
  </si>
  <si>
    <t>Minimum level of services and/or products that is acceptable to the organization to achieve its business objectives during a disruption.</t>
  </si>
  <si>
    <t>Beneficial outcomes provided by an organization to its customers, recipients and interested parties, e.g. manufactured items, car insurance and community nursing.</t>
  </si>
  <si>
    <t>Activities to which priority must be given following an incident in order to mitigate impacts.</t>
  </si>
  <si>
    <t>Point to which information used by an activity must be restored to enable the activity to operate on resumption NOTE - can also be referred to as "maximum data loss".</t>
  </si>
  <si>
    <t>Period of time following an incident within which a)product or service must be resumed or b) activity must be resumed or c) resources must be recovered NOTE - for products, services and activities, the recovery time objective must be less than the time it would take for the adverse impacts that would arise as a result of not providing a product/service or performing an activity to become unacceptable.</t>
  </si>
  <si>
    <t>Business Impact Analysis Details</t>
  </si>
  <si>
    <t>[List all the key business activities within the scope of the analysis exercise and their requirements]</t>
  </si>
  <si>
    <t xml:space="preserve">1
</t>
  </si>
  <si>
    <t xml:space="preserve">2
</t>
  </si>
  <si>
    <t xml:space="preserve">3
</t>
  </si>
  <si>
    <t xml:space="preserve">4
</t>
  </si>
  <si>
    <t xml:space="preserve">5
</t>
  </si>
  <si>
    <t xml:space="preserve">6
</t>
  </si>
  <si>
    <t xml:space="preserve">7
</t>
  </si>
  <si>
    <t xml:space="preserve">8
</t>
  </si>
  <si>
    <t xml:space="preserve">9
</t>
  </si>
  <si>
    <t xml:space="preserve">10
</t>
  </si>
  <si>
    <t xml:space="preserve"> RESOURCES USUALLY NEEDED FOR THIS ACTIVITY TO OCCUR</t>
  </si>
  <si>
    <t>Identification of Key Business Activities</t>
  </si>
  <si>
    <t>Business activity</t>
  </si>
  <si>
    <t xml:space="preserve"> Ref
</t>
  </si>
  <si>
    <t>Information
and data</t>
  </si>
  <si>
    <t>Buildings, work environment and utilities</t>
  </si>
  <si>
    <t>Facilities, equipment and consumables</t>
  </si>
  <si>
    <t>ICT systems</t>
  </si>
  <si>
    <t>Transportation</t>
  </si>
  <si>
    <t>Finance</t>
  </si>
  <si>
    <t>Partners and suppliers</t>
  </si>
  <si>
    <t>Outcome of delivered activity</t>
  </si>
  <si>
    <t>Any legal, statutory and contractual obligations</t>
  </si>
  <si>
    <t>Impact of Disruption</t>
  </si>
  <si>
    <t xml:space="preserve">[For each key business activity, assess the impact of unavailability over time in each area. For example, customers, finance] </t>
  </si>
  <si>
    <t xml:space="preserve"> Time
</t>
  </si>
  <si>
    <t>One hour</t>
  </si>
  <si>
    <t>Three hours</t>
  </si>
  <si>
    <t>One day</t>
  </si>
  <si>
    <t>Three days</t>
  </si>
  <si>
    <t>One week</t>
  </si>
  <si>
    <t>One month</t>
  </si>
  <si>
    <t>ONE TO FIVE</t>
  </si>
  <si>
    <t>Impact on staff or public well-being</t>
  </si>
  <si>
    <t>Impact of breaching legal or regulatory requirements</t>
  </si>
  <si>
    <t>Damage to reputation</t>
  </si>
  <si>
    <t>Impact on financial viability</t>
  </si>
  <si>
    <t>Impact on product or service quality</t>
  </si>
  <si>
    <t>Environmental damage</t>
  </si>
  <si>
    <t>Total score</t>
  </si>
  <si>
    <t xml:space="preserve"> REFERENCE: [Impact 1]</t>
  </si>
  <si>
    <t xml:space="preserve"> REFERENCE: [Impact 2]</t>
  </si>
  <si>
    <t xml:space="preserve"> REFERENCE: [Impact 3]</t>
  </si>
  <si>
    <t xml:space="preserve"> REFERENCE: [Impact 4]</t>
  </si>
  <si>
    <t xml:space="preserve"> REFERENCE: [Impact 5]</t>
  </si>
  <si>
    <t xml:space="preserve"> REFERENCE: [Impact 6]</t>
  </si>
  <si>
    <t xml:space="preserve"> REFERENCE: [Impact 7]</t>
  </si>
  <si>
    <t xml:space="preserve"> REFERENCE: [Impact 8]</t>
  </si>
  <si>
    <t xml:space="preserve"> REFERENCE: [Impact 9]</t>
  </si>
  <si>
    <t xml:space="preserve"> REFERENCE: [Impact 10]</t>
  </si>
  <si>
    <t>Key: 1 (low) to 5 (high)</t>
  </si>
  <si>
    <t>Key Business Continuity Targets</t>
  </si>
  <si>
    <t>MTPD</t>
  </si>
  <si>
    <t>RTO</t>
  </si>
  <si>
    <t>MBCO</t>
  </si>
  <si>
    <t>RPO</t>
  </si>
  <si>
    <t xml:space="preserve"> REF</t>
  </si>
  <si>
    <t>BUSINESS ACTIVITY</t>
  </si>
  <si>
    <t>Information and data</t>
  </si>
  <si>
    <t>Normal requirement</t>
  </si>
  <si>
    <t xml:space="preserve"> REFERENCE: [DepRec 1]</t>
  </si>
  <si>
    <t xml:space="preserve"> Dependency</t>
  </si>
  <si>
    <t>Dependencies and Recovery Needs</t>
  </si>
  <si>
    <t>[For each key business activity list the dependencies at each time period, starting from the relevant RTO. Then calculate the total requirement across the time periods]</t>
  </si>
  <si>
    <t>[Note: where cells are automatically populated from other sections of the tool, make sure you expand the cells to show all of their contents.]</t>
  </si>
  <si>
    <t>Total requirement</t>
  </si>
  <si>
    <t>Requirements per business activity</t>
  </si>
  <si>
    <t xml:space="preserve"> REFERENCE: [DepRec 2]</t>
  </si>
  <si>
    <t xml:space="preserve"> REFERENCE: All</t>
  </si>
  <si>
    <t>Recovery Priority List</t>
  </si>
  <si>
    <t>[List the key business activities in order of recovery priority, together with the Recovery Time Objective and Minimum Business Continuity Objectives required]</t>
  </si>
  <si>
    <t>MBCO REQUIREMENTS AT RTO</t>
  </si>
  <si>
    <t xml:space="preserve"> REFERENCE: [DepRec 3]</t>
  </si>
  <si>
    <t xml:space="preserve"> REFERENCE: [DepRec 4]</t>
  </si>
  <si>
    <t xml:space="preserve"> REFERENCE: [DepRec 5]</t>
  </si>
  <si>
    <t xml:space="preserve"> REFERENCE: [DepRec 6]</t>
  </si>
  <si>
    <t xml:space="preserve"> REFERENCE: [DepRec 7]</t>
  </si>
  <si>
    <t xml:space="preserve"> REFERENCE: [DepRec 8]</t>
  </si>
  <si>
    <t xml:space="preserve"> REFERENCE: [DepRec 9]</t>
  </si>
  <si>
    <t xml:space="preserve"> REFERENCE: [DepRec 10]</t>
  </si>
  <si>
    <t xml:space="preserve">Context of Business Impact Analysis
</t>
  </si>
  <si>
    <t xml:space="preserve">Version
</t>
  </si>
  <si>
    <t xml:space="preserve">Dated
</t>
  </si>
  <si>
    <t xml:space="preserve">Lead Analyst(s)
</t>
  </si>
  <si>
    <t xml:space="preserve">Approval
</t>
  </si>
  <si>
    <t xml:space="preserve">Date Approved
</t>
  </si>
  <si>
    <t xml:space="preserve">Business Impact Analysis Participants
</t>
  </si>
  <si>
    <t>COMPLETED BY:</t>
  </si>
  <si>
    <t>DATE:</t>
  </si>
  <si>
    <t xml:space="preserve"> [Enter name here]</t>
  </si>
  <si>
    <t xml:space="preserve"> [Enter date here]</t>
  </si>
  <si>
    <t>RTO:</t>
  </si>
  <si>
    <t>MBCO:</t>
  </si>
  <si>
    <t>BUSINESS ACTIVITY:</t>
  </si>
  <si>
    <t>All</t>
  </si>
  <si>
    <r>
      <rPr>
        <b/>
        <sz val="18"/>
        <color theme="1"/>
        <rFont val="Calibri"/>
        <family val="2"/>
        <scheme val="minor"/>
      </rPr>
      <t>Key to terms</t>
    </r>
    <r>
      <rPr>
        <sz val="11"/>
        <color theme="1"/>
        <rFont val="Calibri"/>
        <family val="2"/>
        <scheme val="minor"/>
      </rPr>
      <t xml:space="preserve">
</t>
    </r>
    <r>
      <rPr>
        <b/>
        <sz val="11"/>
        <color theme="1"/>
        <rFont val="Calibri"/>
        <family val="2"/>
        <scheme val="minor"/>
      </rPr>
      <t>MTPD (Maximum Tolerable Period of Disruption), when any one impact scores four or more:</t>
    </r>
    <r>
      <rPr>
        <sz val="11"/>
        <color theme="1"/>
        <rFont val="Calibri"/>
        <family val="2"/>
        <scheme val="minor"/>
      </rPr>
      <t xml:space="preserve"> Time it would take for adverse impacts, which might arise as a result of not providing a product/service or performing an activity, to become unacceptable (see also MAO).
</t>
    </r>
    <r>
      <rPr>
        <b/>
        <sz val="11"/>
        <color theme="1"/>
        <rFont val="Calibri"/>
        <family val="2"/>
        <scheme val="minor"/>
      </rPr>
      <t xml:space="preserve">RTO (Recovery Time Objective): </t>
    </r>
    <r>
      <rPr>
        <sz val="11"/>
        <color theme="1"/>
        <rFont val="Calibri"/>
        <family val="2"/>
        <scheme val="minor"/>
      </rPr>
      <t xml:space="preserve">Period of time following an incident within which a) product or service must be resumed or b) activity must be resumed or c) resources must be recovered.
</t>
    </r>
    <r>
      <rPr>
        <b/>
        <sz val="11"/>
        <color theme="1"/>
        <rFont val="Calibri"/>
        <family val="2"/>
        <scheme val="minor"/>
      </rPr>
      <t xml:space="preserve">MBCO (Minimum Business Continuity Objective): </t>
    </r>
    <r>
      <rPr>
        <sz val="11"/>
        <color theme="1"/>
        <rFont val="Calibri"/>
        <family val="2"/>
        <scheme val="minor"/>
      </rPr>
      <t xml:space="preserve">Minimum level of services and/or products that is acceptable to the organization to achieve its business objectives during a disruption.
</t>
    </r>
    <r>
      <rPr>
        <b/>
        <sz val="11"/>
        <color theme="1"/>
        <rFont val="Calibri"/>
        <family val="2"/>
        <scheme val="minor"/>
      </rPr>
      <t>RPO (Recovery Point Objective):</t>
    </r>
    <r>
      <rPr>
        <sz val="11"/>
        <color theme="1"/>
        <rFont val="Calibri"/>
        <family val="2"/>
        <scheme val="minor"/>
      </rPr>
      <t xml:space="preserve"> Point to which information used by an activity must be restored to enable the activity to operate on resumption.</t>
    </r>
  </si>
  <si>
    <t>[For each key business activity, state the MTPD, RTO, MBCO and RPO]. See panel, right, for key.</t>
  </si>
  <si>
    <t>Initial company-wide BIA</t>
  </si>
  <si>
    <t>All major departments of the business.</t>
  </si>
  <si>
    <t xml:space="preserve">The company has grown significantly over the last 12 months and the amount of revenue being generated in some areas makes them more business-critical. Customer expectations have also increased. The legal framework is now more rigorous and the consequences of failure are more expensive. </t>
  </si>
  <si>
    <t>24 January 20xx</t>
  </si>
  <si>
    <t>A. N. Other</t>
  </si>
  <si>
    <t>John Smith, Marketing Manager
David Brown, Head of Human Resources
Joanne Green, Customer Services Manager
Daljit Singh, Finance Manager
Jack Grimshaw, Head of Manufacturing
Jason Hooper, Product Development Manager</t>
  </si>
  <si>
    <t>Jack Spielberg, Chief Operating Officer</t>
  </si>
  <si>
    <t>Business Impact Analysis Scope</t>
  </si>
  <si>
    <t>Business Impact Analysis Title</t>
  </si>
  <si>
    <t>January 31, 20xx</t>
  </si>
  <si>
    <t>Sales and Marketing</t>
  </si>
  <si>
    <t>Head of Sales and Marketing
3 x sales representatives
2 x marketing managers</t>
  </si>
  <si>
    <t>Customer database
Marketing database</t>
  </si>
  <si>
    <t>6 desks in HQ building, power and HVAC</t>
  </si>
  <si>
    <t>3 desktop computers, 3 laptops with access to printer, copier, scanner and fax</t>
  </si>
  <si>
    <t>CRM system
Email
Internet access</t>
  </si>
  <si>
    <t>Commuting from home to work and back
Sales visits by car</t>
  </si>
  <si>
    <t>Expenses and payroll</t>
  </si>
  <si>
    <t>Telemarketing bureau</t>
  </si>
  <si>
    <t>Product sales to new and existing customers</t>
  </si>
  <si>
    <t>Comply with marketing legislation</t>
  </si>
  <si>
    <t>Head of Finance
6 in team</t>
  </si>
  <si>
    <t>Accounting database</t>
  </si>
  <si>
    <t>7 desks in HQ building, power and HVAC</t>
  </si>
  <si>
    <t>7 desktop computers with access to printer, copier, scanner and fax</t>
  </si>
  <si>
    <t>Finance system
Email
Internet access</t>
  </si>
  <si>
    <t>Commuting from home to work and back</t>
  </si>
  <si>
    <t>Access to company bank account to pay suppliers and employees</t>
  </si>
  <si>
    <t>Cloud accounting system providers
Tax agency</t>
  </si>
  <si>
    <t>Payments to suppliers
Payments received
Statutory accounts created</t>
  </si>
  <si>
    <t>Contractual payment terms
Tax obligations</t>
  </si>
  <si>
    <t>Human Resources</t>
  </si>
  <si>
    <t>Human Resources Manager
3 people in team
1 trainer</t>
  </si>
  <si>
    <t>Employee records
Training records
Payroll data</t>
  </si>
  <si>
    <t>5 desks in HQ building, power and HVAC</t>
  </si>
  <si>
    <t>5 desktop computers with access to printer, copier, scanner and fax</t>
  </si>
  <si>
    <t>HR system
Email
Payroll system
Internet access
eLearning system</t>
  </si>
  <si>
    <t>Operational expenses</t>
  </si>
  <si>
    <t>Occupational health provider
Payroll bureau</t>
  </si>
  <si>
    <t>Employees salaries paid
Expenses paid
Training delivered
Employee welfare managed</t>
  </si>
  <si>
    <t>Health and safety law
Tax obligations
Pension law
Employee contracts
Data protection law</t>
  </si>
  <si>
    <t>Manufacturing</t>
  </si>
  <si>
    <t>Manufacturing Manager
30 shop-floor staff</t>
  </si>
  <si>
    <t>Process documentation
Product sheets</t>
  </si>
  <si>
    <t>2 desktop computers with access to printer, copier, scanner and fax</t>
  </si>
  <si>
    <t>Manufacturing control system
Limited access to email</t>
  </si>
  <si>
    <t>Operational expenses
Petty cash</t>
  </si>
  <si>
    <t>Wide range of component suppliers</t>
  </si>
  <si>
    <t>Products created to fulfil orders</t>
  </si>
  <si>
    <t>Health and safety law
Contractual delivery times</t>
  </si>
  <si>
    <t>Customer Services</t>
  </si>
  <si>
    <t>Customer Services Manager
2 x CS Supervisors
12 CS representatives</t>
  </si>
  <si>
    <t>Customer database
Appointments information
Product information</t>
  </si>
  <si>
    <t>15 desks in HQ building, power and HVAC. Post room</t>
  </si>
  <si>
    <t>15 desktop computers with access to printer, copier, scanner and fax</t>
  </si>
  <si>
    <t>CRM system
Email
Internet access
Website admin</t>
  </si>
  <si>
    <t>Various commodity suppliers</t>
  </si>
  <si>
    <t>Customer enquiries answered
Customer support delivered</t>
  </si>
  <si>
    <t>Product support obligations</t>
  </si>
  <si>
    <t>Product Development</t>
  </si>
  <si>
    <t>Head of Product Development
4 x product managers</t>
  </si>
  <si>
    <t>Product plans
Product designs
Testing information</t>
  </si>
  <si>
    <t>5 desks in HQ building, power and HVAC. Test area</t>
  </si>
  <si>
    <t>6 desktop computers with access to printer, copier, scanner and fax</t>
  </si>
  <si>
    <t>Design software
Email
Internet access</t>
  </si>
  <si>
    <t>Operational expenses
Purchase of test components</t>
  </si>
  <si>
    <t>Partner with software company</t>
  </si>
  <si>
    <t>New products created</t>
  </si>
  <si>
    <t>Customer contractual obligations</t>
  </si>
  <si>
    <t>Website sales</t>
  </si>
  <si>
    <t>2 x website developers</t>
  </si>
  <si>
    <t>Product information
Pricing</t>
  </si>
  <si>
    <t>Hosted with third party</t>
  </si>
  <si>
    <t>Content management system</t>
  </si>
  <si>
    <t>None</t>
  </si>
  <si>
    <t>Website hosting company</t>
  </si>
  <si>
    <t>Sales via website</t>
  </si>
  <si>
    <t>Distance selling regulations</t>
  </si>
  <si>
    <t>John Smith</t>
  </si>
  <si>
    <t>January 24, 20xx</t>
  </si>
  <si>
    <t>Daljit Singh</t>
  </si>
  <si>
    <t>David Brown</t>
  </si>
  <si>
    <t>Jack Grimshaw</t>
  </si>
  <si>
    <t>Joanne Green</t>
  </si>
  <si>
    <t>Jason Hooper</t>
  </si>
  <si>
    <t>1 month</t>
  </si>
  <si>
    <t>50% of normal sales activity</t>
  </si>
  <si>
    <t>1 week</t>
  </si>
  <si>
    <t>3 days</t>
  </si>
  <si>
    <t>Pay suppliers
Receive payments</t>
  </si>
  <si>
    <t>1 day</t>
  </si>
  <si>
    <t>Basic enquiries service</t>
  </si>
  <si>
    <t>50% of normal capacity</t>
  </si>
  <si>
    <t>Half of normal service level</t>
  </si>
  <si>
    <t>1 month +</t>
  </si>
  <si>
    <t>Key products only</t>
  </si>
  <si>
    <t>3 hours</t>
  </si>
  <si>
    <t>Normal service</t>
  </si>
  <si>
    <t>As close to point of failure as possible</t>
  </si>
  <si>
    <t>Head of Finance
3 in team
Human Resources Manager
1 person in team
Manufacturing Manager
15 shop-floor staff
Customer Services Manager
1 x CS Supervisor
6 CS representatives
2 x website developers</t>
  </si>
  <si>
    <t>Head of Sales and Marketing
2 x sales representatives
1 x marketing managers
Head of Finance
6 in team
Human Resources Manager
3 people in team
1 trainer
Manufacturing Manager
30 shop-floor staff
Customer Services Manager
2 x CS Supervisor
12 CS representatives
Head of Product Development
2 x product managers
2 x website developers</t>
  </si>
  <si>
    <t>Accounting database
Employee records
Training records
Payroll data
Process documentation
Product sheets
Customer database
Appointments information
Product information
Pricing</t>
  </si>
  <si>
    <t>Customer database
Marketing database
Accounting database
Employee records
Training records
Payroll data
Process documentation
Product sheets
Customer database
Appointments information
Product plans
Product designs
Testing information
Product information
Pricing</t>
  </si>
  <si>
    <t>17 desktop computers with access to printer, copier, scanner and fax</t>
  </si>
  <si>
    <t>36 desktop computers and 2 laptops with access to printer, copier, scanner and fax</t>
  </si>
  <si>
    <t>Finance system
Email
Internet access
HR system
Payroll system
Manufacturing control system
CRM system
Website admin
Content management system</t>
  </si>
  <si>
    <t>CRM system
Finance system
Email
Internet access
HR system
Payroll system
eLearning system
Manufacturing control system
CRM system
Website admin
Design software
Content management system</t>
  </si>
  <si>
    <t>Access to company bank account to pay suppliers and employees
Operational expenses
Petty cash</t>
  </si>
  <si>
    <t>Expenses and payroll
Access to company bank account to pay suppliers and employees
Operational expenses
Petty cash
Purchase of test components</t>
  </si>
  <si>
    <t>Cloud accounting system providers
Occupational health provider
Payroll bureau
Main component suppliers
Website hosting company</t>
  </si>
  <si>
    <t>Telemarketing bureau
Cloud accounting system providers
Tax agency
Occupational health provider
Payroll bureau
Wide range of component suppliers
Various commodity suppliers
Partner with software company
Website hosting company</t>
  </si>
  <si>
    <t>Head of Sales and Marketing
2 x sales representatives
1 x marketing managers</t>
  </si>
  <si>
    <t>4 desks in HQ building, power and HVAC</t>
  </si>
  <si>
    <t>2 desktop computers, 2 laptops with access to printer, copier, scanner and fax</t>
  </si>
  <si>
    <t>Head of Finance
3 in team</t>
  </si>
  <si>
    <t>4 desktop computers with access to printer, copier, scanner and fax</t>
  </si>
  <si>
    <t>Cloud accounting system providers</t>
  </si>
  <si>
    <t>Human Resources Manager
1 person in team</t>
  </si>
  <si>
    <t>2 desks in HQ building, power and HVAC</t>
  </si>
  <si>
    <t>HR system
Email
Payroll system
Internet access</t>
  </si>
  <si>
    <t>Manufacturing Manager
15 shop-floor staff</t>
  </si>
  <si>
    <t>1 desktop computer with access to printer, copier, scanner and fax</t>
  </si>
  <si>
    <t>Main component suppliers</t>
  </si>
  <si>
    <t>Customer Services Manager
1 x CS Supervisor
6 CS representatives</t>
  </si>
  <si>
    <t>8 desks in HQ building, power and HVAC. Post room</t>
  </si>
  <si>
    <t>8 desktop computers with access to printer, copier, scanner and fax</t>
  </si>
  <si>
    <t>Head of Product Development
2 x product managers</t>
  </si>
  <si>
    <t>3 desks in HQ building, power and HVAC. Test area</t>
  </si>
  <si>
    <t>3 desktop computers with access to printer, copier, scanner and fax</t>
  </si>
  <si>
    <t>The following definitions are taken from ISO22301 and ISO22300.</t>
  </si>
  <si>
    <t>Purpose-built manufacturing plant with limited office accommodation, significant power requirements</t>
  </si>
  <si>
    <t>16 desks in HQ building, power and HVAC
Manufacturing plant with limited office accommodation, significant power requirements
Post room</t>
  </si>
  <si>
    <t>36 desks in HQ building, power and HVAC
Purpose-built manufacturing plant with limited office accommodation, significant power requirements
Post room
Test area</t>
  </si>
  <si>
    <t>Manufacturing plant with limited office accommodation, significant power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</si>
</sst>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809]dd\ mmmm\ yyyy;@"/>
  </numFmts>
  <fonts count="12"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1"/>
      <color rgb="FFFFFFFF"/>
      <name val="Calibri"/>
      <family val="2"/>
      <scheme val="minor"/>
    </font>
    <font>
      <sz val="11"/>
      <color rgb="FF444444"/>
      <name val="Calibri"/>
      <family val="2"/>
      <scheme val="minor"/>
    </font>
    <font>
      <b/>
      <sz val="11"/>
      <color rgb="FF444444"/>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
      <b/>
      <sz val="18"/>
      <color theme="1"/>
      <name val="Calibri"/>
      <family val="2"/>
      <scheme val="minor"/>
    </font>
    <font>
      <sz val="8"/>
      <name val="Calibri"/>
      <family val="2"/>
      <scheme val="minor"/>
    </font>
  </fonts>
  <fills count="5">
    <fill>
      <patternFill patternType="none"/>
    </fill>
    <fill>
      <patternFill patternType="gray125"/>
    </fill>
    <fill>
      <patternFill patternType="solid">
        <fgColor theme="2" tint="-0.499984740745262"/>
        <bgColor indexed="64"/>
      </patternFill>
    </fill>
    <fill>
      <patternFill patternType="solid">
        <fgColor theme="2"/>
        <bgColor indexed="64"/>
      </patternFill>
    </fill>
    <fill>
      <patternFill patternType="solid">
        <fgColor theme="2" tint="-0.74999237037263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style="medium">
        <color theme="0"/>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2" tint="-0.499984740745262"/>
      </bottom>
      <diagonal/>
    </border>
    <border>
      <left/>
      <right/>
      <top/>
      <bottom style="thick">
        <color theme="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diagonal/>
    </border>
    <border>
      <left/>
      <right/>
      <top style="thin">
        <color theme="2" tint="-0.499984740745262"/>
      </top>
      <bottom/>
      <diagonal/>
    </border>
    <border>
      <left/>
      <right style="thin">
        <color theme="2" tint="-0.499984740745262"/>
      </right>
      <top style="thin">
        <color theme="2" tint="-0.499984740745262"/>
      </top>
      <bottom/>
      <diagonal/>
    </border>
    <border>
      <left style="thin">
        <color theme="2" tint="-0.499984740745262"/>
      </left>
      <right/>
      <top/>
      <bottom style="thin">
        <color theme="2" tint="-0.499984740745262"/>
      </bottom>
      <diagonal/>
    </border>
    <border>
      <left/>
      <right/>
      <top/>
      <bottom style="thin">
        <color theme="2" tint="-0.499984740745262"/>
      </bottom>
      <diagonal/>
    </border>
    <border>
      <left/>
      <right style="thin">
        <color theme="2" tint="-0.499984740745262"/>
      </right>
      <top/>
      <bottom style="thin">
        <color theme="2" tint="-0.49998474074526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75">
    <xf numFmtId="0" fontId="0" fillId="0" borderId="0" xfId="0"/>
    <xf numFmtId="0" fontId="0" fillId="0" borderId="0" xfId="0" applyAlignment="1">
      <alignment vertical="top"/>
    </xf>
    <xf numFmtId="0" fontId="0" fillId="0" borderId="0" xfId="0" applyAlignment="1">
      <alignment horizontal="centerContinuous" vertical="top"/>
    </xf>
    <xf numFmtId="0" fontId="3" fillId="0" borderId="0" xfId="0" applyFont="1" applyFill="1" applyAlignment="1">
      <alignment vertical="top"/>
    </xf>
    <xf numFmtId="0" fontId="0" fillId="0" borderId="0" xfId="0" applyFill="1" applyAlignment="1">
      <alignment vertical="top"/>
    </xf>
    <xf numFmtId="0" fontId="0" fillId="0" borderId="0" xfId="0" applyFont="1" applyFill="1" applyBorder="1" applyAlignment="1">
      <alignment horizontal="left" vertical="top" wrapText="1"/>
    </xf>
    <xf numFmtId="0" fontId="5" fillId="0" borderId="0" xfId="0" applyFont="1" applyAlignment="1">
      <alignment vertical="top" wrapText="1"/>
    </xf>
    <xf numFmtId="0" fontId="5" fillId="0" borderId="0" xfId="0" applyFont="1" applyAlignment="1">
      <alignment vertical="top"/>
    </xf>
    <xf numFmtId="0" fontId="5" fillId="0" borderId="0" xfId="0" applyFont="1" applyAlignment="1">
      <alignment horizontal="right" vertical="top"/>
    </xf>
    <xf numFmtId="0" fontId="0" fillId="0" borderId="0" xfId="0" applyFont="1" applyFill="1" applyBorder="1" applyAlignment="1">
      <alignment horizontal="left" vertical="center"/>
    </xf>
    <xf numFmtId="0" fontId="0" fillId="0" borderId="0" xfId="0" applyFont="1" applyFill="1" applyBorder="1" applyAlignment="1">
      <alignment horizontal="left" vertical="center" wrapText="1"/>
    </xf>
    <xf numFmtId="0" fontId="6" fillId="0" borderId="0" xfId="0" applyFont="1" applyAlignment="1">
      <alignment vertical="top" wrapText="1"/>
    </xf>
    <xf numFmtId="0" fontId="5" fillId="0" borderId="0" xfId="0" applyFont="1" applyBorder="1" applyAlignment="1">
      <alignment vertical="top"/>
    </xf>
    <xf numFmtId="0" fontId="0" fillId="0" borderId="0" xfId="0" applyFont="1" applyFill="1" applyBorder="1" applyAlignment="1">
      <alignment horizontal="right" vertical="top" wrapText="1"/>
    </xf>
    <xf numFmtId="0" fontId="0" fillId="0" borderId="0" xfId="0" applyAlignment="1">
      <alignment horizontal="left"/>
    </xf>
    <xf numFmtId="0" fontId="6" fillId="0" borderId="0" xfId="0" applyFont="1" applyAlignment="1">
      <alignment vertical="top"/>
    </xf>
    <xf numFmtId="0" fontId="0" fillId="0" borderId="0" xfId="0" applyFill="1" applyBorder="1"/>
    <xf numFmtId="0" fontId="5" fillId="0" borderId="0" xfId="0" applyFont="1" applyFill="1" applyBorder="1" applyAlignment="1">
      <alignment horizontal="left" vertical="top" wrapText="1"/>
    </xf>
    <xf numFmtId="0" fontId="6" fillId="0" borderId="0" xfId="0" applyFont="1" applyBorder="1" applyAlignment="1">
      <alignment vertical="top" wrapText="1"/>
    </xf>
    <xf numFmtId="0" fontId="8" fillId="0" borderId="0" xfId="0" applyFont="1" applyAlignment="1">
      <alignment vertical="top"/>
    </xf>
    <xf numFmtId="0" fontId="7" fillId="0" borderId="0" xfId="0" applyFont="1" applyFill="1" applyAlignment="1">
      <alignment vertical="top" wrapText="1"/>
    </xf>
    <xf numFmtId="0" fontId="0" fillId="0" borderId="0" xfId="0" applyFont="1" applyFill="1" applyAlignment="1">
      <alignment vertical="top" wrapText="1"/>
    </xf>
    <xf numFmtId="0" fontId="7" fillId="0" borderId="0" xfId="0" applyFont="1" applyFill="1" applyBorder="1" applyAlignment="1">
      <alignment vertical="top" wrapText="1"/>
    </xf>
    <xf numFmtId="0" fontId="0" fillId="0" borderId="0" xfId="0" applyFont="1" applyFill="1" applyBorder="1" applyAlignment="1">
      <alignment vertical="top" wrapText="1"/>
    </xf>
    <xf numFmtId="0" fontId="0" fillId="0" borderId="0" xfId="0" applyFont="1" applyAlignment="1">
      <alignment vertical="top"/>
    </xf>
    <xf numFmtId="0" fontId="0" fillId="0" borderId="0" xfId="0" applyFont="1" applyBorder="1" applyAlignment="1">
      <alignment vertical="top"/>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left" vertical="top" wrapText="1"/>
    </xf>
    <xf numFmtId="0" fontId="3" fillId="0" borderId="0" xfId="0" applyFont="1" applyAlignment="1">
      <alignment vertical="top"/>
    </xf>
    <xf numFmtId="0" fontId="0" fillId="0" borderId="0" xfId="0" applyFont="1" applyFill="1" applyBorder="1" applyAlignment="1" applyProtection="1">
      <alignment horizontal="left" vertical="top" wrapText="1"/>
      <protection locked="0"/>
    </xf>
    <xf numFmtId="0" fontId="0" fillId="0" borderId="0" xfId="0" applyNumberFormat="1" applyFont="1" applyFill="1"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5" fillId="0" borderId="0" xfId="0" applyFont="1" applyAlignment="1" applyProtection="1">
      <alignment horizontal="right" vertical="top"/>
    </xf>
    <xf numFmtId="0" fontId="5" fillId="0" borderId="0" xfId="0" applyFont="1" applyAlignment="1" applyProtection="1">
      <alignment vertical="top"/>
    </xf>
    <xf numFmtId="0" fontId="8" fillId="0" borderId="0" xfId="0" applyFont="1" applyAlignment="1" applyProtection="1">
      <alignment vertical="top"/>
    </xf>
    <xf numFmtId="0" fontId="0" fillId="0" borderId="0" xfId="0" applyFont="1" applyAlignment="1" applyProtection="1">
      <alignment vertical="top"/>
    </xf>
    <xf numFmtId="0" fontId="0" fillId="0" borderId="0" xfId="0" applyFont="1" applyFill="1" applyBorder="1" applyAlignment="1" applyProtection="1">
      <alignment horizontal="left" vertical="top" wrapText="1"/>
    </xf>
    <xf numFmtId="0" fontId="7" fillId="0" borderId="0" xfId="0" applyFont="1" applyAlignment="1" applyProtection="1">
      <alignment vertical="top"/>
    </xf>
    <xf numFmtId="0" fontId="0" fillId="0" borderId="0" xfId="0" applyFont="1" applyBorder="1" applyAlignment="1" applyProtection="1">
      <alignment vertical="top"/>
    </xf>
    <xf numFmtId="0" fontId="0" fillId="0" borderId="0" xfId="0" applyFont="1" applyFill="1" applyBorder="1" applyAlignment="1" applyProtection="1">
      <alignment horizontal="left" vertical="center"/>
    </xf>
    <xf numFmtId="0" fontId="0" fillId="0" borderId="0" xfId="0" applyFont="1" applyFill="1" applyBorder="1" applyAlignment="1" applyProtection="1">
      <alignment horizontal="left" vertical="center" wrapText="1"/>
    </xf>
    <xf numFmtId="0" fontId="0" fillId="0" borderId="0" xfId="0" applyFill="1" applyAlignment="1" applyProtection="1">
      <alignment vertical="top"/>
    </xf>
    <xf numFmtId="0" fontId="0" fillId="0" borderId="0" xfId="0" applyAlignment="1" applyProtection="1">
      <alignment vertical="top"/>
    </xf>
    <xf numFmtId="0" fontId="9" fillId="0" borderId="0" xfId="0" applyFont="1" applyAlignment="1" applyProtection="1">
      <alignment vertical="top"/>
    </xf>
    <xf numFmtId="0" fontId="0" fillId="0" borderId="0" xfId="0" applyAlignment="1" applyProtection="1">
      <alignment horizontal="left" vertical="center" wrapText="1"/>
    </xf>
    <xf numFmtId="0" fontId="0" fillId="0" borderId="0" xfId="0" applyAlignment="1" applyProtection="1">
      <alignment horizontal="left" vertical="top" wrapText="1"/>
    </xf>
    <xf numFmtId="0" fontId="5" fillId="0" borderId="0" xfId="0" applyFont="1" applyBorder="1" applyAlignment="1" applyProtection="1">
      <alignment vertical="top"/>
    </xf>
    <xf numFmtId="0" fontId="5" fillId="0" borderId="7" xfId="0" applyFont="1" applyBorder="1" applyAlignment="1">
      <alignment vertical="top"/>
    </xf>
    <xf numFmtId="0" fontId="4" fillId="2" borderId="0" xfId="0" applyFont="1" applyFill="1" applyAlignment="1">
      <alignment vertical="center" wrapText="1"/>
    </xf>
    <xf numFmtId="0" fontId="3" fillId="2" borderId="0" xfId="0" applyFont="1" applyFill="1" applyAlignment="1">
      <alignment vertical="center"/>
    </xf>
    <xf numFmtId="0" fontId="6" fillId="0" borderId="8" xfId="0" applyFont="1" applyFill="1" applyBorder="1" applyAlignment="1">
      <alignment vertical="top" wrapText="1"/>
    </xf>
    <xf numFmtId="0" fontId="5" fillId="0" borderId="8" xfId="0" applyFont="1" applyFill="1" applyBorder="1" applyAlignment="1">
      <alignment vertical="top" wrapText="1"/>
    </xf>
    <xf numFmtId="0" fontId="7" fillId="3" borderId="9" xfId="0" applyFont="1" applyFill="1" applyBorder="1" applyAlignment="1">
      <alignment vertical="top" wrapText="1"/>
    </xf>
    <xf numFmtId="0" fontId="0" fillId="0" borderId="9" xfId="0" applyFont="1" applyBorder="1" applyAlignment="1">
      <alignment vertical="top" wrapText="1"/>
    </xf>
    <xf numFmtId="164" fontId="0" fillId="0" borderId="9" xfId="0" applyNumberFormat="1" applyFont="1" applyBorder="1" applyAlignment="1">
      <alignment horizontal="left" vertical="top" wrapText="1"/>
    </xf>
    <xf numFmtId="0" fontId="4" fillId="4" borderId="0" xfId="0" applyFont="1" applyFill="1" applyAlignment="1">
      <alignment horizontal="left" vertical="center"/>
    </xf>
    <xf numFmtId="0" fontId="4" fillId="4" borderId="3" xfId="0" applyFont="1" applyFill="1" applyBorder="1" applyAlignment="1">
      <alignment horizontal="left" vertical="center"/>
    </xf>
    <xf numFmtId="0" fontId="7" fillId="0" borderId="0" xfId="0" applyFont="1" applyAlignment="1">
      <alignment vertical="top"/>
    </xf>
    <xf numFmtId="0" fontId="3" fillId="4" borderId="0" xfId="0" applyFont="1" applyFill="1" applyBorder="1" applyAlignment="1" applyProtection="1">
      <alignment horizontal="left" vertical="center"/>
    </xf>
    <xf numFmtId="0" fontId="3" fillId="4" borderId="0" xfId="0" applyFont="1" applyFill="1" applyBorder="1" applyAlignment="1" applyProtection="1">
      <alignment horizontal="right" vertical="center"/>
    </xf>
    <xf numFmtId="0" fontId="7" fillId="3" borderId="10" xfId="0" applyFont="1" applyFill="1" applyBorder="1" applyAlignment="1" applyProtection="1">
      <alignment horizontal="right" vertical="top"/>
    </xf>
    <xf numFmtId="0" fontId="0" fillId="0" borderId="11" xfId="0" applyFont="1" applyBorder="1" applyAlignment="1" applyProtection="1">
      <alignment vertical="top"/>
      <protection locked="0"/>
    </xf>
    <xf numFmtId="0" fontId="0" fillId="0" borderId="12" xfId="0" applyFont="1" applyBorder="1" applyAlignment="1" applyProtection="1">
      <alignment vertical="top"/>
    </xf>
    <xf numFmtId="0" fontId="7" fillId="3" borderId="13" xfId="0" applyFont="1" applyFill="1" applyBorder="1" applyAlignment="1" applyProtection="1">
      <alignment horizontal="right" vertical="top"/>
    </xf>
    <xf numFmtId="164" fontId="0" fillId="0" borderId="14" xfId="0" applyNumberFormat="1" applyFont="1" applyBorder="1" applyAlignment="1" applyProtection="1">
      <alignment horizontal="left" vertical="top"/>
      <protection locked="0"/>
    </xf>
    <xf numFmtId="0" fontId="0" fillId="0" borderId="15" xfId="0" applyFont="1" applyBorder="1" applyAlignment="1" applyProtection="1">
      <alignment vertical="top"/>
    </xf>
    <xf numFmtId="0" fontId="4" fillId="4" borderId="0" xfId="0" applyFont="1" applyFill="1" applyBorder="1" applyAlignment="1" applyProtection="1">
      <alignment horizontal="left" vertical="center"/>
    </xf>
    <xf numFmtId="0" fontId="4" fillId="4" borderId="0" xfId="0" applyFont="1" applyFill="1" applyAlignment="1" applyProtection="1">
      <alignment horizontal="left" vertical="center"/>
    </xf>
    <xf numFmtId="0" fontId="0" fillId="0" borderId="11" xfId="0" applyFont="1" applyBorder="1" applyAlignment="1" applyProtection="1">
      <alignment vertical="top"/>
    </xf>
    <xf numFmtId="0" fontId="0" fillId="0" borderId="14" xfId="0" applyFont="1" applyBorder="1" applyAlignment="1" applyProtection="1">
      <alignment vertical="top"/>
    </xf>
    <xf numFmtId="0" fontId="0" fillId="0" borderId="9" xfId="0" applyFont="1" applyBorder="1" applyAlignment="1">
      <alignment horizontal="left" vertical="top" wrapText="1"/>
    </xf>
    <xf numFmtId="0" fontId="0" fillId="0" borderId="4" xfId="0" applyFont="1" applyBorder="1" applyAlignment="1">
      <alignment horizontal="left" vertical="top" wrapText="1" indent="1"/>
    </xf>
    <xf numFmtId="0" fontId="5" fillId="0" borderId="5" xfId="0" applyFont="1" applyBorder="1" applyAlignment="1">
      <alignment horizontal="left" vertical="top" wrapText="1" indent="1"/>
    </xf>
    <xf numFmtId="0" fontId="5" fillId="0" borderId="6" xfId="0" applyFont="1" applyBorder="1" applyAlignment="1">
      <alignment horizontal="left" vertical="top" wrapText="1" indent="1"/>
    </xf>
  </cellXfs>
  <cellStyles count="3">
    <cellStyle name="Heading 1" xfId="1" builtinId="16" customBuiltin="1"/>
    <cellStyle name="Heading 2" xfId="2" builtinId="17" customBuiltin="1"/>
    <cellStyle name="Normal" xfId="0" builtinId="0"/>
  </cellStyles>
  <dxfs count="255">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dxf>
    <dxf>
      <alignment horizontal="left" vertical="center" textRotation="0" wrapText="1" indent="0" justifyLastLine="0" shrinkToFit="0" readingOrder="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center"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dxf>
    <dxf>
      <alignment horizontal="left" vertical="center" textRotation="0" wrapText="1" indent="0" justifyLastLine="0" shrinkToFit="0" readingOrder="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rgb="FF444444"/>
        <name val="Calibri"/>
        <family val="2"/>
        <scheme val="none"/>
      </font>
      <fill>
        <patternFill patternType="none">
          <fgColor rgb="FF000000"/>
          <bgColor rgb="FFFFFFFF"/>
        </patternFill>
      </fill>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rgb="FF444444"/>
        <name val="Calibri"/>
        <family val="2"/>
        <scheme val="minor"/>
      </font>
      <fill>
        <patternFill patternType="none">
          <fgColor indexed="64"/>
          <bgColor indexed="65"/>
        </patternFill>
      </fill>
      <alignment horizontal="left" vertical="top" textRotation="0" wrapText="1" indent="0" justifyLastLine="0" shrinkToFit="0" readingOrder="0"/>
      <border diagonalUp="0" diagonalDown="0" outline="0">
        <left/>
        <right style="thin">
          <color theme="8"/>
        </right>
        <top style="thin">
          <color theme="3"/>
        </top>
        <bottom style="thin">
          <color theme="3"/>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dxf>
    <dxf>
      <alignment horizontal="left" vertical="top" textRotation="0" wrapText="1" indent="0" justifyLastLine="0" shrinkToFit="0" readingOrder="0"/>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border diagonalUp="0" diagonalDown="0">
        <left style="thin">
          <color rgb="FF009BA4"/>
        </left>
        <right style="thin">
          <color rgb="FF009BA4"/>
        </right>
        <top style="thin">
          <color rgb="FF009BA4"/>
        </top>
        <bottom style="thin">
          <color rgb="FF009BA4"/>
        </bottom>
        <vertical/>
        <horizontal/>
      </border>
    </dxf>
    <dxf>
      <fill>
        <patternFill>
          <bgColor rgb="FFD0EAEB"/>
        </patternFill>
      </fill>
      <border diagonalUp="0" diagonalDown="0">
        <left style="thin">
          <color rgb="FF009BA4"/>
        </left>
        <right style="thin">
          <color rgb="FF009BA4"/>
        </right>
        <top style="thin">
          <color rgb="FF009BA4"/>
        </top>
        <bottom style="thin">
          <color rgb="FF009BA4"/>
        </bottom>
        <vertical/>
        <horizontal/>
      </border>
    </dxf>
    <dxf>
      <font>
        <b/>
        <i val="0"/>
        <color rgb="FFFFFFFF"/>
      </font>
      <fill>
        <patternFill>
          <bgColor rgb="FF009BA4"/>
        </patternFill>
      </fill>
    </dxf>
    <dxf>
      <font>
        <color rgb="FF444444"/>
      </font>
    </dxf>
    <dxf>
      <font>
        <color theme="1"/>
      </font>
      <border diagonalUp="0" diagonalDown="0">
        <left style="thin">
          <color theme="3"/>
        </left>
        <right style="thin">
          <color theme="3"/>
        </right>
        <top style="thin">
          <color theme="3"/>
        </top>
        <bottom style="thin">
          <color theme="3"/>
        </bottom>
        <vertical style="thin">
          <color theme="8"/>
        </vertical>
        <horizontal/>
      </border>
    </dxf>
    <dxf>
      <font>
        <color theme="1"/>
      </font>
      <fill>
        <patternFill>
          <bgColor theme="5"/>
        </patternFill>
      </fill>
      <border diagonalUp="0" diagonalDown="0">
        <left style="thin">
          <color theme="3"/>
        </left>
        <right style="thin">
          <color theme="3"/>
        </right>
        <top style="thin">
          <color theme="3"/>
        </top>
        <bottom style="thin">
          <color theme="3"/>
        </bottom>
        <vertical style="thin">
          <color theme="8"/>
        </vertical>
        <horizontal/>
      </border>
    </dxf>
    <dxf>
      <font>
        <b/>
        <i val="0"/>
        <color theme="0"/>
      </font>
      <fill>
        <patternFill>
          <bgColor theme="3"/>
        </patternFill>
      </fill>
    </dxf>
    <dxf>
      <font>
        <color theme="1"/>
      </font>
    </dxf>
    <dxf>
      <font>
        <b/>
        <i val="0"/>
        <color theme="0"/>
      </font>
      <fill>
        <patternFill>
          <bgColor rgb="FF009BA4"/>
        </patternFill>
      </fill>
      <border>
        <bottom style="thin">
          <color theme="4"/>
        </bottom>
        <vertical/>
        <horizontal/>
      </border>
    </dxf>
    <dxf>
      <font>
        <b val="0"/>
        <i val="0"/>
        <color rgb="FF444444"/>
      </font>
      <border>
        <left style="thin">
          <color rgb="FF009BA4"/>
        </left>
        <right style="thin">
          <color rgb="FF009BA4"/>
        </right>
        <top style="thin">
          <color rgb="FF009BA4"/>
        </top>
        <bottom style="thin">
          <color rgb="FF009BA4"/>
        </bottom>
        <vertical/>
        <horizontal/>
      </border>
    </dxf>
  </dxfs>
  <tableStyles count="4" defaultTableStyle="CertiKit table style" defaultPivotStyle="PivotStyleLight16">
    <tableStyle name="CertiKit Slicer" pivot="0" table="0" count="10" xr9:uid="{FCC2AF85-7669-42AB-BE0F-8A70404C0D05}">
      <tableStyleElement type="wholeTable" dxfId="254"/>
      <tableStyleElement type="headerRow" dxfId="253"/>
    </tableStyle>
    <tableStyle name="CertiKit table style" pivot="0" count="4" xr9:uid="{C9D01002-7EEB-4392-906F-2D3907ED044F}">
      <tableStyleElement type="wholeTable" dxfId="252"/>
      <tableStyleElement type="headerRow" dxfId="251"/>
      <tableStyleElement type="firstRowStripe" dxfId="250"/>
      <tableStyleElement type="secondRowStripe" dxfId="249"/>
    </tableStyle>
    <tableStyle name="CertiKit table style 2" pivot="0" count="4" xr9:uid="{6C9F78B9-173E-4712-91A6-1E4A60134990}">
      <tableStyleElement type="wholeTable" dxfId="248"/>
      <tableStyleElement type="headerRow" dxfId="247"/>
      <tableStyleElement type="firstRowStripe" dxfId="246"/>
      <tableStyleElement type="secondRowStripe" dxfId="245"/>
    </tableStyle>
    <tableStyle name="CertiKit table style 2 2" pivot="0" count="4" xr9:uid="{480DF18A-A508-410A-8FB0-FBF659FA631A}">
      <tableStyleElement type="wholeTable" dxfId="244"/>
      <tableStyleElement type="headerRow" dxfId="243"/>
      <tableStyleElement type="firstRowStripe" dxfId="242"/>
      <tableStyleElement type="secondRowStripe" dxfId="241"/>
    </tableStyle>
  </tableStyles>
  <colors>
    <mruColors>
      <color rgb="FF009BA4"/>
      <color rgb="FFD0EAEB"/>
      <color rgb="FF444444"/>
      <color rgb="FF006D73"/>
      <color rgb="FF005E63"/>
      <color rgb="FF004043"/>
      <color rgb="FFFFFFFF"/>
      <color rgb="FFDBDC2C"/>
      <color rgb="FFCCC900"/>
    </mruColors>
  </colors>
  <extLst>
    <ext xmlns:x14="http://schemas.microsoft.com/office/spreadsheetml/2009/9/main" uri="{46F421CA-312F-682f-3DD2-61675219B42D}">
      <x14:dxfs count="8">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rgb="FFCCC900"/>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rgb="FFD0EAEB"/>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rgb="FFD0EAEB"/>
            </patternFill>
          </fill>
          <border>
            <left style="thin">
              <color rgb="FF009BA4"/>
            </left>
            <right style="thin">
              <color rgb="FF009BA4"/>
            </right>
            <top style="thin">
              <color rgb="FF009BA4"/>
            </top>
            <bottom style="thin">
              <color rgb="FF009BA4"/>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2</xdr:col>
      <xdr:colOff>1552575</xdr:colOff>
      <xdr:row>1</xdr:row>
      <xdr:rowOff>0</xdr:rowOff>
    </xdr:from>
    <xdr:to>
      <xdr:col>3</xdr:col>
      <xdr:colOff>76200</xdr:colOff>
      <xdr:row>5</xdr:row>
      <xdr:rowOff>133350</xdr:rowOff>
    </xdr:to>
    <xdr:sp macro="" textlink="">
      <xdr:nvSpPr>
        <xdr:cNvPr id="3" name="TextBox 2">
          <a:extLst>
            <a:ext uri="{FF2B5EF4-FFF2-40B4-BE49-F238E27FC236}">
              <a16:creationId xmlns:a16="http://schemas.microsoft.com/office/drawing/2014/main" id="{14B1DF77-B056-4172-97BE-94F5CD865DE8}"/>
            </a:ext>
          </a:extLst>
        </xdr:cNvPr>
        <xdr:cNvSpPr txBox="1"/>
      </xdr:nvSpPr>
      <xdr:spPr>
        <a:xfrm>
          <a:off x="4800600" y="190500"/>
          <a:ext cx="3114675" cy="895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GB" sz="1800" b="1">
              <a:solidFill>
                <a:schemeClr val="tx1"/>
              </a:solidFill>
            </a:rPr>
            <a:t>Business</a:t>
          </a:r>
          <a:r>
            <a:rPr lang="en-GB" sz="1800" b="1" baseline="0">
              <a:solidFill>
                <a:schemeClr val="tx1"/>
              </a:solidFill>
            </a:rPr>
            <a:t> Impact Analysis Tool</a:t>
          </a:r>
          <a:endParaRPr lang="en-GB" sz="1800" b="1">
            <a:solidFill>
              <a:schemeClr val="tx1"/>
            </a:solidFill>
          </a:endParaRPr>
        </a:p>
        <a:p>
          <a:pPr algn="r"/>
          <a:r>
            <a:rPr lang="en-GB" sz="1200" b="0">
              <a:solidFill>
                <a:schemeClr val="tx1"/>
              </a:solidFill>
              <a:latin typeface="+mn-lt"/>
            </a:rPr>
            <a:t>BCMS-FORM-08-1</a:t>
          </a:r>
        </a:p>
      </xdr:txBody>
    </xdr:sp>
    <xdr:clientData/>
  </xdr:twoCellAnchor>
  <xdr:twoCellAnchor editAs="oneCell">
    <xdr:from>
      <xdr:col>1</xdr:col>
      <xdr:colOff>0</xdr:colOff>
      <xdr:row>1</xdr:row>
      <xdr:rowOff>0</xdr:rowOff>
    </xdr:from>
    <xdr:to>
      <xdr:col>1</xdr:col>
      <xdr:colOff>2530059</xdr:colOff>
      <xdr:row>6</xdr:row>
      <xdr:rowOff>4655</xdr:rowOff>
    </xdr:to>
    <xdr:pic>
      <xdr:nvPicPr>
        <xdr:cNvPr id="6" name="Picture 5" descr="Auto Replace">
          <a:extLst>
            <a:ext uri="{FF2B5EF4-FFF2-40B4-BE49-F238E27FC236}">
              <a16:creationId xmlns:a16="http://schemas.microsoft.com/office/drawing/2014/main" id="{A18511D0-6897-4B4C-8723-74206BED0A7D}"/>
            </a:ext>
          </a:extLst>
        </xdr:cNvPr>
        <xdr:cNvPicPr>
          <a:picLocks noChangeAspect="1"/>
        </xdr:cNvPicPr>
      </xdr:nvPicPr>
      <xdr:blipFill>
        <a:blip xmlns:r="http://schemas.openxmlformats.org/officeDocument/2006/relationships" r:embed="rId1"/>
        <a:stretch>
          <a:fillRect/>
        </a:stretch>
      </xdr:blipFill>
      <xdr:spPr>
        <a:xfrm>
          <a:off x="190500" y="190500"/>
          <a:ext cx="2530059" cy="9571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1063209</xdr:colOff>
      <xdr:row>6</xdr:row>
      <xdr:rowOff>4655</xdr:rowOff>
    </xdr:to>
    <xdr:pic>
      <xdr:nvPicPr>
        <xdr:cNvPr id="3" name="Picture 2" descr="Auto Replace">
          <a:extLst>
            <a:ext uri="{FF2B5EF4-FFF2-40B4-BE49-F238E27FC236}">
              <a16:creationId xmlns:a16="http://schemas.microsoft.com/office/drawing/2014/main" id="{5053CA23-9254-469C-A5F2-44D46F9662E3}"/>
            </a:ext>
          </a:extLst>
        </xdr:cNvPr>
        <xdr:cNvPicPr>
          <a:picLocks noChangeAspect="1"/>
        </xdr:cNvPicPr>
      </xdr:nvPicPr>
      <xdr:blipFill>
        <a:blip xmlns:r="http://schemas.openxmlformats.org/officeDocument/2006/relationships" r:embed="rId1"/>
        <a:stretch>
          <a:fillRect/>
        </a:stretch>
      </xdr:blipFill>
      <xdr:spPr>
        <a:xfrm>
          <a:off x="190500" y="190500"/>
          <a:ext cx="2530059" cy="9571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1282284</xdr:colOff>
      <xdr:row>6</xdr:row>
      <xdr:rowOff>4655</xdr:rowOff>
    </xdr:to>
    <xdr:pic>
      <xdr:nvPicPr>
        <xdr:cNvPr id="2" name="Picture 1" descr="Auto Replace">
          <a:extLst>
            <a:ext uri="{FF2B5EF4-FFF2-40B4-BE49-F238E27FC236}">
              <a16:creationId xmlns:a16="http://schemas.microsoft.com/office/drawing/2014/main" id="{E0CAF286-2614-41A8-AF53-2519D98FEF09}"/>
            </a:ext>
          </a:extLst>
        </xdr:cNvPr>
        <xdr:cNvPicPr>
          <a:picLocks noChangeAspect="1"/>
        </xdr:cNvPicPr>
      </xdr:nvPicPr>
      <xdr:blipFill>
        <a:blip xmlns:r="http://schemas.openxmlformats.org/officeDocument/2006/relationships" r:embed="rId1"/>
        <a:stretch>
          <a:fillRect/>
        </a:stretch>
      </xdr:blipFill>
      <xdr:spPr>
        <a:xfrm>
          <a:off x="190500" y="190500"/>
          <a:ext cx="2530059" cy="9571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453609</xdr:colOff>
      <xdr:row>6</xdr:row>
      <xdr:rowOff>4655</xdr:rowOff>
    </xdr:to>
    <xdr:pic>
      <xdr:nvPicPr>
        <xdr:cNvPr id="4" name="Picture 3" descr="Auto Replace">
          <a:extLst>
            <a:ext uri="{FF2B5EF4-FFF2-40B4-BE49-F238E27FC236}">
              <a16:creationId xmlns:a16="http://schemas.microsoft.com/office/drawing/2014/main" id="{B35151DF-6117-47CB-A1AF-8496272C5A22}"/>
            </a:ext>
          </a:extLst>
        </xdr:cNvPr>
        <xdr:cNvPicPr>
          <a:picLocks noChangeAspect="1"/>
        </xdr:cNvPicPr>
      </xdr:nvPicPr>
      <xdr:blipFill>
        <a:blip xmlns:r="http://schemas.openxmlformats.org/officeDocument/2006/relationships" r:embed="rId1"/>
        <a:stretch>
          <a:fillRect/>
        </a:stretch>
      </xdr:blipFill>
      <xdr:spPr>
        <a:xfrm>
          <a:off x="190500" y="190500"/>
          <a:ext cx="2530059" cy="95715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767934</xdr:colOff>
      <xdr:row>6</xdr:row>
      <xdr:rowOff>4655</xdr:rowOff>
    </xdr:to>
    <xdr:pic>
      <xdr:nvPicPr>
        <xdr:cNvPr id="4" name="Picture 3" descr="Auto Replace">
          <a:extLst>
            <a:ext uri="{FF2B5EF4-FFF2-40B4-BE49-F238E27FC236}">
              <a16:creationId xmlns:a16="http://schemas.microsoft.com/office/drawing/2014/main" id="{25BF6BE5-9590-405F-B32B-A6FF16BE2046}"/>
            </a:ext>
          </a:extLst>
        </xdr:cNvPr>
        <xdr:cNvPicPr>
          <a:picLocks noChangeAspect="1"/>
        </xdr:cNvPicPr>
      </xdr:nvPicPr>
      <xdr:blipFill>
        <a:blip xmlns:r="http://schemas.openxmlformats.org/officeDocument/2006/relationships" r:embed="rId1"/>
        <a:stretch>
          <a:fillRect/>
        </a:stretch>
      </xdr:blipFill>
      <xdr:spPr>
        <a:xfrm>
          <a:off x="190500" y="190500"/>
          <a:ext cx="2530059" cy="9571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2530059</xdr:colOff>
      <xdr:row>6</xdr:row>
      <xdr:rowOff>4655</xdr:rowOff>
    </xdr:to>
    <xdr:pic>
      <xdr:nvPicPr>
        <xdr:cNvPr id="3" name="Picture 2" descr="Auto Replace">
          <a:extLst>
            <a:ext uri="{FF2B5EF4-FFF2-40B4-BE49-F238E27FC236}">
              <a16:creationId xmlns:a16="http://schemas.microsoft.com/office/drawing/2014/main" id="{7D01EACC-2186-4D85-A0BB-C0C002A4A9B9}"/>
            </a:ext>
          </a:extLst>
        </xdr:cNvPr>
        <xdr:cNvPicPr>
          <a:picLocks noChangeAspect="1"/>
        </xdr:cNvPicPr>
      </xdr:nvPicPr>
      <xdr:blipFill>
        <a:blip xmlns:r="http://schemas.openxmlformats.org/officeDocument/2006/relationships" r:embed="rId1"/>
        <a:stretch>
          <a:fillRect/>
        </a:stretch>
      </xdr:blipFill>
      <xdr:spPr>
        <a:xfrm>
          <a:off x="190500" y="190500"/>
          <a:ext cx="2530059" cy="9571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2206209</xdr:colOff>
      <xdr:row>6</xdr:row>
      <xdr:rowOff>4655</xdr:rowOff>
    </xdr:to>
    <xdr:pic>
      <xdr:nvPicPr>
        <xdr:cNvPr id="3" name="Picture 2" descr="Auto Replace">
          <a:extLst>
            <a:ext uri="{FF2B5EF4-FFF2-40B4-BE49-F238E27FC236}">
              <a16:creationId xmlns:a16="http://schemas.microsoft.com/office/drawing/2014/main" id="{4267398B-B6C4-4B1D-A911-13DBC0356A5B}"/>
            </a:ext>
          </a:extLst>
        </xdr:cNvPr>
        <xdr:cNvPicPr>
          <a:picLocks noChangeAspect="1"/>
        </xdr:cNvPicPr>
      </xdr:nvPicPr>
      <xdr:blipFill>
        <a:blip xmlns:r="http://schemas.openxmlformats.org/officeDocument/2006/relationships" r:embed="rId1"/>
        <a:stretch>
          <a:fillRect/>
        </a:stretch>
      </xdr:blipFill>
      <xdr:spPr>
        <a:xfrm>
          <a:off x="190500" y="190500"/>
          <a:ext cx="2530059" cy="95715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A85A220-D165-42E8-BFAB-79587A564534}" name="BusinessActivities" displayName="BusinessActivities" ref="B12:M22" totalsRowShown="0" headerRowDxfId="240" dataDxfId="239">
  <tableColumns count="12">
    <tableColumn id="1" xr3:uid="{708C0D84-9A36-4606-ACCD-6C4F459F37B0}" name=" Ref_x000a_" dataDxfId="238"/>
    <tableColumn id="2" xr3:uid="{DDA10389-5FBF-4FF6-86A7-D859D870C078}" name="Business activity" dataDxfId="237"/>
    <tableColumn id="3" xr3:uid="{A20FC582-FD6C-4F46-A007-46C05DDBB766}" name="People" dataDxfId="236"/>
    <tableColumn id="4" xr3:uid="{E6E4634C-F236-440A-AB4B-E83ED59C10AE}" name="Information_x000a_and data" dataDxfId="235"/>
    <tableColumn id="5" xr3:uid="{90CC639C-A4C6-4661-9ACE-96B84DA928E7}" name="Buildings, work environment and utilities" dataDxfId="234"/>
    <tableColumn id="6" xr3:uid="{D28561B0-603A-46F1-8A9E-7D04BA48EA8B}" name="Facilities, equipment and consumables" dataDxfId="233"/>
    <tableColumn id="7" xr3:uid="{B484D1F0-BDFE-4259-A70C-E95C83996556}" name="ICT systems" dataDxfId="232"/>
    <tableColumn id="8" xr3:uid="{31FCA2FC-CAF3-4F1C-AE33-514EDCC2E14E}" name="Transportation" dataDxfId="231"/>
    <tableColumn id="9" xr3:uid="{92E1D577-F2FA-437D-B982-0651E77AF1C7}" name="Finance" dataDxfId="230"/>
    <tableColumn id="10" xr3:uid="{7ABB057C-EE22-4D46-9FD3-E6BEB7122A4B}" name="Partners and suppliers" dataDxfId="229"/>
    <tableColumn id="11" xr3:uid="{8B654EE0-23FA-423F-9815-BBEF10FDC9BA}" name="Outcome of delivered activity" dataDxfId="228"/>
    <tableColumn id="12" xr3:uid="{B5C588B0-1541-410A-BC91-95EC2E83C703}" name="Any legal, statutory and contractual obligations" dataDxfId="227"/>
  </tableColumns>
  <tableStyleInfo name="CertiKit table style 2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35A332-4E31-483A-AB67-3708D55B5692}" name="Impact3" displayName="Impact3" ref="B38:I44" totalsRowShown="0" headerRowDxfId="226" dataDxfId="225">
  <tableColumns count="8">
    <tableColumn id="1" xr3:uid="{B01C2B6D-6CB6-4DB4-898D-1F9A2F6D5D30}" name=" Time_x000a_" dataDxfId="224"/>
    <tableColumn id="2" xr3:uid="{DF51EA7C-97DF-4C17-8509-9892586A4904}" name="Impact on staff or public well-being" dataDxfId="223"/>
    <tableColumn id="3" xr3:uid="{BDC99BC4-8834-4DFA-B1C1-67E1F65D508A}" name="Impact of breaching legal or regulatory requirements" dataDxfId="222"/>
    <tableColumn id="4" xr3:uid="{180342E7-D3CD-4C71-8471-CD0BFFED8CE5}" name="Damage to reputation" dataDxfId="221"/>
    <tableColumn id="5" xr3:uid="{DBDFD69B-3EF6-45E8-9C2E-5F3B25E4BFA5}" name="Impact on financial viability" dataDxfId="220"/>
    <tableColumn id="6" xr3:uid="{89FF4A71-7324-4336-ADF4-32EAEAE92071}" name="Impact on product or service quality" dataDxfId="219"/>
    <tableColumn id="7" xr3:uid="{3A9732FA-6AE0-48C4-BDEA-40493721F6E7}" name="Environmental damage" dataDxfId="218"/>
    <tableColumn id="8" xr3:uid="{72A6FDDB-95DC-4FB3-B76D-90C9FC605171}" name="Total score" dataDxfId="217"/>
  </tableColumns>
  <tableStyleInfo name="CertiKit table style 2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44319B-F445-412C-AA97-DF7B84C3E4C8}" name="Impact2" displayName="Impact2" ref="B25:I31" totalsRowShown="0" headerRowDxfId="216" dataDxfId="215">
  <tableColumns count="8">
    <tableColumn id="1" xr3:uid="{865CBE33-977F-4092-8DC0-04974D8271A9}" name=" Time_x000a_" dataDxfId="214"/>
    <tableColumn id="2" xr3:uid="{21F4BF26-85F5-4F71-9FFC-76C7F8E589B9}" name="Impact on staff or public well-being" dataDxfId="213"/>
    <tableColumn id="3" xr3:uid="{611BE9D6-7DE7-4D00-A4D0-5500018AC310}" name="Impact of breaching legal or regulatory requirements" dataDxfId="212"/>
    <tableColumn id="4" xr3:uid="{6C0B69ED-542D-4AB3-BFE0-24FADEBD623A}" name="Damage to reputation" dataDxfId="211"/>
    <tableColumn id="5" xr3:uid="{83C584B3-6254-4C7A-AF8F-FAFB0B21B32C}" name="Impact on financial viability" dataDxfId="210"/>
    <tableColumn id="6" xr3:uid="{207AA431-37AE-4F27-9547-21C0E27FB092}" name="Impact on product or service quality" dataDxfId="209"/>
    <tableColumn id="7" xr3:uid="{FE7BEF9B-DFB4-4BF7-AB33-731CDA8FCBF7}" name="Environmental damage" dataDxfId="208"/>
    <tableColumn id="8" xr3:uid="{1041BAFC-FE67-4D42-876E-4B54DD8CF23C}" name="Total score" dataDxfId="207"/>
  </tableColumns>
  <tableStyleInfo name="CertiKit table style 2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EDA245-B775-45F0-A3E9-2A9E31274F01}" name="Impact1" displayName="Impact1" ref="B12:I18" totalsRowShown="0" headerRowDxfId="206" dataDxfId="205">
  <tableColumns count="8">
    <tableColumn id="1" xr3:uid="{F3C8C8C5-C373-4264-96DF-726A8BECB11D}" name=" Time_x000a_" dataDxfId="204"/>
    <tableColumn id="2" xr3:uid="{E5A1588F-502F-43B4-8FAF-A47EB11E01C3}" name="Impact on staff or public well-being" dataDxfId="203"/>
    <tableColumn id="3" xr3:uid="{3AC878B3-9819-45A5-8E13-F08505E86523}" name="Impact of breaching legal or regulatory requirements" dataDxfId="202"/>
    <tableColumn id="4" xr3:uid="{B125F7FD-6794-4C70-914D-51C332612711}" name="Damage to reputation" dataDxfId="201"/>
    <tableColumn id="5" xr3:uid="{36AD7218-722F-435A-B799-6ECF4048B5A1}" name="Impact on financial viability" dataDxfId="200"/>
    <tableColumn id="6" xr3:uid="{F76F1D29-35B6-4664-A9F5-36416D2C49DC}" name="Impact on product or service quality" dataDxfId="199"/>
    <tableColumn id="7" xr3:uid="{6A094987-0086-4C47-8EAE-E125AD82983B}" name="Environmental damage" dataDxfId="198"/>
    <tableColumn id="8" xr3:uid="{BFEC1F36-8D7A-41C9-94D4-518F3EED49BF}" name="Total score" dataDxfId="197"/>
  </tableColumns>
  <tableStyleInfo name="CertiKit table style 2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4F84F1-3399-4CED-BA4F-5098A90B53C7}" name="Impact4" displayName="Impact4" ref="B51:I57" totalsRowShown="0" headerRowDxfId="196" dataDxfId="195">
  <tableColumns count="8">
    <tableColumn id="1" xr3:uid="{76CD6DC5-5F12-4EC8-B117-E3232A93C120}" name=" Time_x000a_" dataDxfId="194"/>
    <tableColumn id="2" xr3:uid="{AA38271F-E4B5-43F7-BBC5-8FD960DA7113}" name="Impact on staff or public well-being" dataDxfId="193"/>
    <tableColumn id="3" xr3:uid="{0DEA6C23-5765-4B03-AF50-9277ED627DAC}" name="Impact of breaching legal or regulatory requirements" dataDxfId="192"/>
    <tableColumn id="4" xr3:uid="{CE38F07E-4079-4C8A-B64F-513ED9459946}" name="Damage to reputation" dataDxfId="191"/>
    <tableColumn id="5" xr3:uid="{3AA24E31-3586-4DD3-AD91-A62E4F672FA8}" name="Impact on financial viability" dataDxfId="190"/>
    <tableColumn id="6" xr3:uid="{3069AF48-DC0E-4F57-96F9-A4931F2578AC}" name="Impact on product or service quality" dataDxfId="189"/>
    <tableColumn id="7" xr3:uid="{2BA1C143-A8DF-4F1A-95A8-4A86F6432FDB}" name="Environmental damage" dataDxfId="188"/>
    <tableColumn id="8" xr3:uid="{199C09AC-9665-4D4B-93ED-656FD5E58797}" name="Total score" dataDxfId="187"/>
  </tableColumns>
  <tableStyleInfo name="CertiKit table style 2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B6428C4-99C2-4E87-87BA-80C0BC2A3C30}" name="Impact5" displayName="Impact5" ref="B64:I70" totalsRowShown="0" headerRowDxfId="186" dataDxfId="185">
  <tableColumns count="8">
    <tableColumn id="1" xr3:uid="{847FEB14-4214-492B-9697-D6029E4B8C71}" name=" Time_x000a_" dataDxfId="184"/>
    <tableColumn id="2" xr3:uid="{2FA7CBB6-B683-4D16-81B4-E5AB1F847BF8}" name="Impact on staff or public well-being" dataDxfId="183"/>
    <tableColumn id="3" xr3:uid="{AFB9EA08-6101-424F-8D8D-4BCF57C1AA36}" name="Impact of breaching legal or regulatory requirements" dataDxfId="182"/>
    <tableColumn id="4" xr3:uid="{4B50CCF5-76CE-4282-9E25-CC5D3ADF7D03}" name="Damage to reputation" dataDxfId="181"/>
    <tableColumn id="5" xr3:uid="{0374684F-9242-48FE-80B5-FC6C00B98824}" name="Impact on financial viability" dataDxfId="180"/>
    <tableColumn id="6" xr3:uid="{EB1D3358-FD60-496F-B87F-FC36C0195E0C}" name="Impact on product or service quality" dataDxfId="179"/>
    <tableColumn id="7" xr3:uid="{BD71F2BF-B9DC-4D07-8B98-F9D7D0F8CB82}" name="Environmental damage" dataDxfId="178"/>
    <tableColumn id="8" xr3:uid="{A0E74AFE-F076-4B7E-82F0-7ED6BC0063E9}" name="Total score" dataDxfId="177"/>
  </tableColumns>
  <tableStyleInfo name="CertiKit table style 2 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C069070-5A0C-43A9-BF0C-4B476CDF221E}" name="Impact6" displayName="Impact6" ref="B77:I83" totalsRowShown="0" headerRowDxfId="176" dataDxfId="175">
  <tableColumns count="8">
    <tableColumn id="1" xr3:uid="{58659C4E-127B-4E06-B805-0A7A4BD0E01C}" name=" Time_x000a_" dataDxfId="174"/>
    <tableColumn id="2" xr3:uid="{3757AD63-4D18-4F44-A042-4C215EFF418E}" name="Impact on staff or public well-being" dataDxfId="173"/>
    <tableColumn id="3" xr3:uid="{143C11A7-A3F1-4BF5-B81D-EF32397D5081}" name="Impact of breaching legal or regulatory requirements" dataDxfId="172"/>
    <tableColumn id="4" xr3:uid="{02E70164-762C-4991-B51A-5BCB7C25CCB7}" name="Damage to reputation" dataDxfId="171"/>
    <tableColumn id="5" xr3:uid="{B1705C8B-1E4E-4B32-8108-103710614BBB}" name="Impact on financial viability" dataDxfId="170"/>
    <tableColumn id="6" xr3:uid="{00ABF126-253B-41C9-9EC9-BC79212BDC57}" name="Impact on product or service quality" dataDxfId="169"/>
    <tableColumn id="7" xr3:uid="{7708A31F-3ADA-4539-94CD-35A45960A94A}" name="Environmental damage" dataDxfId="168"/>
    <tableColumn id="8" xr3:uid="{D57A6B61-5E6E-4714-AE46-46DDF142A248}" name="Total score" dataDxfId="167"/>
  </tableColumns>
  <tableStyleInfo name="CertiKit table style 2 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75CCB09-1DC3-497E-9943-2124D776D225}" name="Impact7" displayName="Impact7" ref="B90:I96" totalsRowShown="0" headerRowDxfId="166" dataDxfId="165">
  <tableColumns count="8">
    <tableColumn id="1" xr3:uid="{DB9A14BD-03D5-43AC-8569-E6E02CA24FD0}" name=" Time_x000a_" dataDxfId="164"/>
    <tableColumn id="2" xr3:uid="{4913BA58-A31E-4D34-ADC8-7B5446DF8941}" name="Impact on staff or public well-being" dataDxfId="163"/>
    <tableColumn id="3" xr3:uid="{60F2AFE4-C5DF-45BD-9662-953B16492DA9}" name="Impact of breaching legal or regulatory requirements" dataDxfId="162"/>
    <tableColumn id="4" xr3:uid="{33282514-E2A5-4552-B791-28845B55CACB}" name="Damage to reputation" dataDxfId="161"/>
    <tableColumn id="5" xr3:uid="{195C951A-98D8-4B28-8C5D-C82B7E456EDA}" name="Impact on financial viability" dataDxfId="160"/>
    <tableColumn id="6" xr3:uid="{3CCD274C-F478-4D9C-A235-71DAEA6A025B}" name="Impact on product or service quality" dataDxfId="159"/>
    <tableColumn id="7" xr3:uid="{67A6DAD3-6DE2-42C8-A3FF-8B769EC7D273}" name="Environmental damage" dataDxfId="158"/>
    <tableColumn id="8" xr3:uid="{1AC4C1FF-244C-46A5-823E-E032BE40FA17}" name="Total score" dataDxfId="157"/>
  </tableColumns>
  <tableStyleInfo name="CertiKit table style 2 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EB3A4CA-8797-4250-BF80-FF87AC5F7619}" name="Impact8" displayName="Impact8" ref="B103:I109" totalsRowShown="0" headerRowDxfId="156" dataDxfId="155">
  <tableColumns count="8">
    <tableColumn id="1" xr3:uid="{1E3E69F5-F986-4FC2-ACD5-53F80C7849F9}" name=" Time_x000a_" dataDxfId="154"/>
    <tableColumn id="2" xr3:uid="{A92078A3-BCF1-4C29-B565-CE153C266676}" name="Impact on staff or public well-being" dataDxfId="153"/>
    <tableColumn id="3" xr3:uid="{30A7DE30-3E70-4A96-A2C4-5CC19009102F}" name="Impact of breaching legal or regulatory requirements" dataDxfId="152"/>
    <tableColumn id="4" xr3:uid="{D7BB8B74-2B77-4E73-BFD4-0C68CF6C1194}" name="Damage to reputation" dataDxfId="151"/>
    <tableColumn id="5" xr3:uid="{230C345D-1E0F-41F0-B101-CEA414FADC80}" name="Impact on financial viability" dataDxfId="150"/>
    <tableColumn id="6" xr3:uid="{B2E4CCE7-B887-4991-8D41-9AD6BAF5C3F4}" name="Impact on product or service quality" dataDxfId="149"/>
    <tableColumn id="7" xr3:uid="{B4BE8F73-102B-4302-9820-A6C496C00ACF}" name="Environmental damage" dataDxfId="148"/>
    <tableColumn id="8" xr3:uid="{883CCA77-7913-4F5B-8BC9-FE4BFEEC5BDF}" name="Total score" dataDxfId="147">
      <calculatedColumnFormula>SUM(Impact8[[#This Row],[Impact on staff or public well-being]:[Environmental damage]])</calculatedColumnFormula>
    </tableColumn>
  </tableColumns>
  <tableStyleInfo name="CertiKit table style 2 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1A68A5A-A9BC-443C-B078-50BFC99D20A2}" name="Impact9" displayName="Impact9" ref="B116:I122" totalsRowShown="0" headerRowDxfId="146" dataDxfId="145">
  <tableColumns count="8">
    <tableColumn id="1" xr3:uid="{DFEDEC0C-E6F5-4EEC-85B6-160EBE17371B}" name=" Time_x000a_" dataDxfId="144"/>
    <tableColumn id="2" xr3:uid="{780F0100-12B3-47E5-9B77-9F00B3B2D0DE}" name="Impact on staff or public well-being" dataDxfId="143"/>
    <tableColumn id="3" xr3:uid="{84B14939-4AA0-431E-BE8A-75F393A85D6F}" name="Impact of breaching legal or regulatory requirements" dataDxfId="142"/>
    <tableColumn id="4" xr3:uid="{38B1C92C-C22C-4C0D-98B4-7A1BC82844CB}" name="Damage to reputation" dataDxfId="141"/>
    <tableColumn id="5" xr3:uid="{780C4FB9-D383-4F38-8142-62D7260D838B}" name="Impact on financial viability" dataDxfId="140"/>
    <tableColumn id="6" xr3:uid="{2B24EC2D-C7FE-48AB-8755-DAF58B244C07}" name="Impact on product or service quality" dataDxfId="139"/>
    <tableColumn id="7" xr3:uid="{FDA3A701-7FDC-4B2D-8428-C8EFC5FE294B}" name="Environmental damage" dataDxfId="138"/>
    <tableColumn id="8" xr3:uid="{FC4DA39F-BD09-4B8A-BAAE-5CF6A324F194}" name="Total score" dataDxfId="137">
      <calculatedColumnFormula>SUM(Impact9[[#This Row],[Impact on staff or public well-being]:[Environmental damage]])</calculatedColumnFormula>
    </tableColumn>
  </tableColumns>
  <tableStyleInfo name="CertiKit table style 2 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50C86F6-6399-40ED-9B92-D86E57BBAB80}" name="Impact10" displayName="Impact10" ref="B129:I135" totalsRowShown="0" headerRowDxfId="136" dataDxfId="135">
  <tableColumns count="8">
    <tableColumn id="1" xr3:uid="{7EFFB56A-CE70-4A9E-B7B6-91450F850F2A}" name=" Time_x000a_" dataDxfId="134"/>
    <tableColumn id="2" xr3:uid="{BD6A563E-D765-48CE-A4E9-3F1E50EEEF96}" name="Impact on staff or public well-being" dataDxfId="133"/>
    <tableColumn id="3" xr3:uid="{D070824A-684D-44ED-BBB9-A0E5ABC9897E}" name="Impact of breaching legal or regulatory requirements" dataDxfId="132"/>
    <tableColumn id="4" xr3:uid="{92B340F5-A1CA-4FFD-9FBB-8D07BD814903}" name="Damage to reputation" dataDxfId="131"/>
    <tableColumn id="5" xr3:uid="{54A7C8BF-A239-45E2-B5E8-6D9DCCE9C1ED}" name="Impact on financial viability" dataDxfId="130"/>
    <tableColumn id="6" xr3:uid="{6DCC5E5F-33D4-4A30-93DC-2A288AFD200B}" name="Impact on product or service quality" dataDxfId="129"/>
    <tableColumn id="7" xr3:uid="{ABCC09F7-BC74-44AC-AC28-EAEEB0EF6465}" name="Environmental damage" dataDxfId="128"/>
    <tableColumn id="8" xr3:uid="{83801A70-369E-4507-8CF5-37C4F685BD29}" name="Total score" dataDxfId="127">
      <calculatedColumnFormula>SUM(Impact10[[#This Row],[Impact on staff or public well-being]:[Environmental damage]])</calculatedColumnFormula>
    </tableColumn>
  </tableColumns>
  <tableStyleInfo name="CertiKit table style 2 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AFA8976-A646-47C6-BFF6-74549700E5E0}" name="BusinessActivities14" displayName="BusinessActivities14" ref="B11:G21" totalsRowShown="0" headerRowDxfId="126" dataDxfId="125">
  <tableColumns count="6">
    <tableColumn id="1" xr3:uid="{C1CE10F4-85AE-4695-9099-40850A0FC45C}" name=" REF" dataDxfId="124"/>
    <tableColumn id="2" xr3:uid="{E971A9BF-5111-4B73-B3DF-14C49D9729F2}" name="BUSINESS ACTIVITY" dataDxfId="123">
      <calculatedColumnFormula>IF(ISBLANK(+'Key Business Activities'!C13),"[Business activity]",+'Key Business Activities'!C13)</calculatedColumnFormula>
    </tableColumn>
    <tableColumn id="3" xr3:uid="{FB0A6733-B26D-42C1-8841-00B8C3EEF54F}" name="MTPD" dataDxfId="122"/>
    <tableColumn id="4" xr3:uid="{382757ED-5E67-4776-B0BA-18C6046FDD3C}" name="RTO" dataDxfId="121"/>
    <tableColumn id="5" xr3:uid="{F9EE39E7-DC44-4174-B45F-A37E7209554D}" name="MBCO" dataDxfId="120"/>
    <tableColumn id="6" xr3:uid="{BD3708FF-1C90-4C8F-8DE9-CFBC986E60F5}" name="RPO" dataDxfId="119"/>
  </tableColumns>
  <tableStyleInfo name="CertiKit table style 2 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4C240C1-B1B4-45FF-85CB-5523AA36DDEC}" name="DepRecAll" displayName="DepRecAll" ref="B15:I23" totalsRowShown="0" headerRowDxfId="118" dataDxfId="117">
  <tableColumns count="8">
    <tableColumn id="1" xr3:uid="{FD747A4F-F60A-42F6-B346-C182786A62A0}" name=" Dependency" dataDxfId="116"/>
    <tableColumn id="2" xr3:uid="{0B2292A1-99B1-4033-A8D1-0387EB441480}" name="Normal requirement" dataDxfId="115"/>
    <tableColumn id="3" xr3:uid="{9A5D47F8-39D6-48F5-917F-29FE96BA017B}" name="One hour" dataDxfId="114"/>
    <tableColumn id="4" xr3:uid="{A16D5BC4-45C7-4E1E-B2B9-985A82CCEA7D}" name="Three hours" dataDxfId="113"/>
    <tableColumn id="5" xr3:uid="{FC785F15-1519-4BE9-999A-2306D8A111A7}" name="One day" dataDxfId="112"/>
    <tableColumn id="6" xr3:uid="{767C8624-FCB2-431C-9CA2-BB15E63C2B15}" name="Three days" dataDxfId="111"/>
    <tableColumn id="7" xr3:uid="{699CD3E8-3C2B-42B4-A52C-5A2FBB99F727}" name="One week" dataDxfId="110"/>
    <tableColumn id="8" xr3:uid="{FC1151D3-8E7E-4503-B281-63631A994D05}" name="One month" dataDxfId="109"/>
  </tableColumns>
  <tableStyleInfo name="CertiKit table style 2 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3F6170C-19CE-4626-8DCB-AB2ED408A95B}" name="DepRec2" displayName="DepRec2" ref="B45:I53" totalsRowShown="0" headerRowDxfId="108" dataDxfId="107">
  <tableColumns count="8">
    <tableColumn id="1" xr3:uid="{B4EC6B2B-26FE-4436-A71C-5749EE80661F}" name=" Dependency" dataDxfId="106"/>
    <tableColumn id="2" xr3:uid="{D461F9C7-FDBA-4D0C-A146-AB7473A9ACE1}" name="Normal requirement" dataDxfId="105">
      <calculatedColumnFormula>IF(ISBLANK(+'Key Business Activities'!D14),"[Normal Requirement]",+'Key Business Activities'!D14)</calculatedColumnFormula>
    </tableColumn>
    <tableColumn id="3" xr3:uid="{A55CD0AE-68ED-4EC8-BC83-D708C05C6338}" name="One hour" dataDxfId="104"/>
    <tableColumn id="4" xr3:uid="{FAF38E52-0DA9-4C6D-AD78-ACE1E2848B56}" name="Three hours" dataDxfId="103"/>
    <tableColumn id="5" xr3:uid="{2C3E1FD0-4EC5-42A6-9E85-46C060BED6BE}" name="One day" dataDxfId="102"/>
    <tableColumn id="6" xr3:uid="{DB674179-793D-4C08-8526-0E88EFECD482}" name="Three days" dataDxfId="101"/>
    <tableColumn id="7" xr3:uid="{59746B87-05A7-4694-87B5-B2F9459BA3B0}" name="One week" dataDxfId="100"/>
    <tableColumn id="8" xr3:uid="{2E99A679-9B83-4C13-8140-95BA63E1D2DA}" name="One month" dataDxfId="99"/>
  </tableColumns>
  <tableStyleInfo name="CertiKit table style 2 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F694C63-1BE6-41C4-8E73-CE68D7E17D2A}" name="DepRec3" displayName="DepRec3" ref="B60:I68" totalsRowShown="0" headerRowDxfId="98" dataDxfId="97">
  <tableColumns count="8">
    <tableColumn id="1" xr3:uid="{E451A200-44D5-4C44-8398-AE538CAC3063}" name=" Dependency" dataDxfId="96"/>
    <tableColumn id="2" xr3:uid="{F6B7145F-C608-4DA8-9953-B01B7DF90B3C}" name="Normal requirement" dataDxfId="95">
      <calculatedColumnFormula>IF(ISBLANK(+'Key Business Activities'!D15),"[Normal Requirement]",+'Key Business Activities'!D15)</calculatedColumnFormula>
    </tableColumn>
    <tableColumn id="3" xr3:uid="{41743050-2077-48CA-8145-FA740FE3B0C4}" name="One hour" dataDxfId="94"/>
    <tableColumn id="4" xr3:uid="{74D29911-F236-4FA3-9209-8E818CF6BB25}" name="Three hours" dataDxfId="93"/>
    <tableColumn id="5" xr3:uid="{2831C5A3-0382-40BF-A256-0799CD3E82C8}" name="One day" dataDxfId="92"/>
    <tableColumn id="6" xr3:uid="{DBD00093-43BA-460B-831F-BD1AA8A4E856}" name="Three days" dataDxfId="91"/>
    <tableColumn id="7" xr3:uid="{A01F0F64-0EA4-457F-8A97-711373B473AB}" name="One week" dataDxfId="90"/>
    <tableColumn id="8" xr3:uid="{96EC5EEB-5C21-4D18-A30E-7DF237514E08}" name="One month" dataDxfId="89"/>
  </tableColumns>
  <tableStyleInfo name="CertiKit table style 2 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B73A3B5-681D-40EB-BE9B-0499EF2FD57D}" name="DepRec4" displayName="DepRec4" ref="B75:I83" totalsRowShown="0" headerRowDxfId="88" dataDxfId="87">
  <tableColumns count="8">
    <tableColumn id="1" xr3:uid="{595EFA77-CA90-4568-8821-D13D230EF911}" name=" Dependency" dataDxfId="86"/>
    <tableColumn id="2" xr3:uid="{DB332986-41F2-4CD1-A66C-0A31027A70F4}" name="Normal requirement" dataDxfId="85">
      <calculatedColumnFormula>IF(ISBLANK(+'Key Business Activities'!D16),"[Normal Requirement]",+'Key Business Activities'!D16)</calculatedColumnFormula>
    </tableColumn>
    <tableColumn id="3" xr3:uid="{3A25FF13-DC97-488B-A7A2-998D725A478C}" name="One hour" dataDxfId="84"/>
    <tableColumn id="4" xr3:uid="{9AF3BBD7-C12A-4AD5-9D37-845F3E3BAE2F}" name="Three hours" dataDxfId="83"/>
    <tableColumn id="5" xr3:uid="{706C15AF-1BE1-4A91-9945-5B925A390170}" name="One day" dataDxfId="82"/>
    <tableColumn id="6" xr3:uid="{68899936-9207-4D73-A49B-DE809E373BA4}" name="Three days" dataDxfId="81"/>
    <tableColumn id="7" xr3:uid="{7C057106-9705-4B69-B0E1-6AA554F3CD6B}" name="One week" dataDxfId="80"/>
    <tableColumn id="8" xr3:uid="{5AFFEE63-BE7D-4575-AA75-1D9CE92663F5}" name="One month" dataDxfId="79"/>
  </tableColumns>
  <tableStyleInfo name="CertiKit table style 2 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B157E2A-136D-4007-9600-D2AE07912199}" name="DepRec5" displayName="DepRec5" ref="B90:I98" totalsRowShown="0" headerRowDxfId="78" dataDxfId="77">
  <tableColumns count="8">
    <tableColumn id="1" xr3:uid="{E34515E5-2670-4C5D-8C9C-C2F045482D64}" name=" Dependency" dataDxfId="76"/>
    <tableColumn id="2" xr3:uid="{496EB6D1-CEE6-45D5-8D2B-7EF47AC973B5}" name="Normal requirement" dataDxfId="75">
      <calculatedColumnFormula>IF(ISBLANK(+'Key Business Activities'!D17),"[Normal Requirement]",+'Key Business Activities'!D17)</calculatedColumnFormula>
    </tableColumn>
    <tableColumn id="3" xr3:uid="{01D34A86-A5E2-4E47-B1AF-FA6FE315F524}" name="One hour" dataDxfId="74"/>
    <tableColumn id="4" xr3:uid="{51E78680-1397-42D8-8195-4B2F3F5E09DB}" name="Three hours" dataDxfId="73"/>
    <tableColumn id="5" xr3:uid="{0E98BEBE-2047-4C55-97E5-8045EE2DD520}" name="One day" dataDxfId="72"/>
    <tableColumn id="6" xr3:uid="{5FA85CFD-D04F-4596-AD71-A1D6660EDB05}" name="Three days" dataDxfId="71"/>
    <tableColumn id="7" xr3:uid="{D6824B7B-EAF8-46C7-B085-BC1295491267}" name="One week" dataDxfId="70"/>
    <tableColumn id="8" xr3:uid="{1EE4BE9A-5C5A-4E1D-9F7B-8C06F9AFDBC0}" name="One month" dataDxfId="69"/>
  </tableColumns>
  <tableStyleInfo name="CertiKit table style 2 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E894376-9B69-48D8-9E42-78D688934620}" name="DepRec6" displayName="DepRec6" ref="B105:I113" totalsRowShown="0" headerRowDxfId="68" dataDxfId="67">
  <tableColumns count="8">
    <tableColumn id="1" xr3:uid="{0C983B91-47AC-4900-A95C-C4ECE0AD1F0E}" name=" Dependency" dataDxfId="66"/>
    <tableColumn id="2" xr3:uid="{8921F90A-49AD-40D4-A08C-399B7427D145}" name="Normal requirement" dataDxfId="65">
      <calculatedColumnFormula>IF(ISBLANK(+'Key Business Activities'!D18),"[Normal Requirement]",+'Key Business Activities'!D18)</calculatedColumnFormula>
    </tableColumn>
    <tableColumn id="3" xr3:uid="{4868B3CB-EAF0-4D3E-9238-B163AF714A9B}" name="One hour" dataDxfId="64"/>
    <tableColumn id="4" xr3:uid="{054F5EF1-AB53-4816-93C2-245CE4E37DDF}" name="Three hours" dataDxfId="63"/>
    <tableColumn id="5" xr3:uid="{FF031AD4-78D2-404F-84F6-DD2591132E90}" name="One day" dataDxfId="62"/>
    <tableColumn id="6" xr3:uid="{AF0E0821-FFB7-4FD3-BFC5-218868D08EE3}" name="Three days" dataDxfId="61"/>
    <tableColumn id="7" xr3:uid="{BD6B8E79-1873-454F-82DC-6E5D695FBA93}" name="One week" dataDxfId="60"/>
    <tableColumn id="8" xr3:uid="{5C2C7B08-9028-4ACE-96CB-C00ABE9E590A}" name="One month" dataDxfId="59"/>
  </tableColumns>
  <tableStyleInfo name="CertiKit table style 2 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5D22325-24CD-45BB-A0C6-A8E846A69ADD}" name="DepRec7" displayName="DepRec7" ref="B120:I128" totalsRowShown="0" headerRowDxfId="58" dataDxfId="57">
  <tableColumns count="8">
    <tableColumn id="1" xr3:uid="{4BEE5F20-4CD0-4BE4-A817-E559477F4C3C}" name=" Dependency" dataDxfId="56"/>
    <tableColumn id="2" xr3:uid="{5957DC0E-B287-4812-A7B0-7D12B92C4BE3}" name="Normal requirement" dataDxfId="55">
      <calculatedColumnFormula>IF(ISBLANK(+'Key Business Activities'!D19),"[Normal Requirement]",+'Key Business Activities'!D19)</calculatedColumnFormula>
    </tableColumn>
    <tableColumn id="3" xr3:uid="{D5A930CD-1791-4E91-B033-9037BB3B5297}" name="One hour" dataDxfId="54"/>
    <tableColumn id="4" xr3:uid="{683EB0C4-B306-4D11-B096-192723723C21}" name="Three hours" dataDxfId="53"/>
    <tableColumn id="5" xr3:uid="{E3B8B579-837E-4566-AE40-C16C6BB03C78}" name="One day" dataDxfId="52"/>
    <tableColumn id="6" xr3:uid="{C92B4223-CBE4-44D0-825A-1813BD24F905}" name="Three days" dataDxfId="51"/>
    <tableColumn id="7" xr3:uid="{AC244664-156D-4826-AACC-42F66D664D09}" name="One week" dataDxfId="50"/>
    <tableColumn id="8" xr3:uid="{AF7664D9-9DE6-4F2A-8B4D-02349A707DE8}" name="One month" dataDxfId="49"/>
  </tableColumns>
  <tableStyleInfo name="CertiKit table style 2 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18845A1-843A-4F0C-8BD1-8F547C1AFF45}" name="DepRec8" displayName="DepRec8" ref="B135:I143" totalsRowShown="0" headerRowDxfId="48" dataDxfId="47">
  <tableColumns count="8">
    <tableColumn id="1" xr3:uid="{F15AA528-CB17-484A-81DC-66515095F208}" name=" Dependency" dataDxfId="46"/>
    <tableColumn id="2" xr3:uid="{E225D99D-F085-445C-9522-1161DCC96AB1}" name="Normal requirement" dataDxfId="45">
      <calculatedColumnFormula>IF(ISBLANK(+'Key Business Activities'!D20),"[Normal Requirement]",+'Key Business Activities'!D20)</calculatedColumnFormula>
    </tableColumn>
    <tableColumn id="3" xr3:uid="{8C492138-BAD9-4D3B-889F-C5CE46163A28}" name="One hour" dataDxfId="44"/>
    <tableColumn id="4" xr3:uid="{3B3E5576-A90A-4684-B050-FF1F95011945}" name="Three hours" dataDxfId="43"/>
    <tableColumn id="5" xr3:uid="{A7C1C66C-DBF6-48FB-A0E0-F3B478EDF55C}" name="One day" dataDxfId="42"/>
    <tableColumn id="6" xr3:uid="{705E7BB3-2E57-4BE3-8C38-D3D99824000F}" name="Three days" dataDxfId="41"/>
    <tableColumn id="7" xr3:uid="{65B683AC-1633-424C-A2DE-99F5EA49DC47}" name="One week" dataDxfId="40"/>
    <tableColumn id="8" xr3:uid="{6B87A040-83F8-445F-99C7-0E11897AB274}" name="One month" dataDxfId="39"/>
  </tableColumns>
  <tableStyleInfo name="CertiKit table style 2 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C9055C8-2AEC-4FC3-94E3-3F3124ECC018}" name="DepRec9" displayName="DepRec9" ref="B150:I158" totalsRowShown="0" headerRowDxfId="38" dataDxfId="37">
  <tableColumns count="8">
    <tableColumn id="1" xr3:uid="{9A491E9B-D39C-4C3F-9937-2B0BD7843EF9}" name=" Dependency" dataDxfId="36"/>
    <tableColumn id="2" xr3:uid="{2A929B4F-56BB-4F69-9C55-F9CA94CAEA33}" name="Normal requirement" dataDxfId="35">
      <calculatedColumnFormula>IF(ISBLANK(+'Key Business Activities'!D21),"[Normal Requirement]",+'Key Business Activities'!D21)</calculatedColumnFormula>
    </tableColumn>
    <tableColumn id="3" xr3:uid="{1A701F69-1161-4F60-A827-F0E4675EF0E7}" name="One hour" dataDxfId="34"/>
    <tableColumn id="4" xr3:uid="{DAC60EF6-C1CE-4EFC-803F-3031668D59B5}" name="Three hours" dataDxfId="33"/>
    <tableColumn id="5" xr3:uid="{62D752CE-E245-4D8F-B6DD-D581E2CDD56D}" name="One day" dataDxfId="32"/>
    <tableColumn id="6" xr3:uid="{148F863E-71D6-4644-94C8-7393F96F1C8E}" name="Three days" dataDxfId="31"/>
    <tableColumn id="7" xr3:uid="{36BD8D4E-2EC2-4855-948D-A9C796D44915}" name="One week" dataDxfId="30"/>
    <tableColumn id="8" xr3:uid="{ED92F9CF-DA31-4D1A-AF8E-793ACAB33CBC}" name="One month" dataDxfId="29"/>
  </tableColumns>
  <tableStyleInfo name="CertiKit table style 2 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666465E-E518-498A-BBAD-8B29A7CB2BE9}" name="DepRec10" displayName="DepRec10" ref="B165:I173" totalsRowShown="0" headerRowDxfId="28" dataDxfId="27">
  <tableColumns count="8">
    <tableColumn id="1" xr3:uid="{6464BF6A-C43D-4F68-A777-07BCEF70A7D2}" name=" Dependency" dataDxfId="26"/>
    <tableColumn id="2" xr3:uid="{E9F291EA-F73D-4F3D-9330-BEA08A64E200}" name="Normal requirement" dataDxfId="25">
      <calculatedColumnFormula>IF(ISBLANK(+'Key Business Activities'!D22),"[Normal Requirement]",+'Key Business Activities'!D22)</calculatedColumnFormula>
    </tableColumn>
    <tableColumn id="3" xr3:uid="{ABE1AC55-C5C8-4C77-AF75-301FC8C6AA99}" name="One hour" dataDxfId="24"/>
    <tableColumn id="4" xr3:uid="{824A9AEF-E1D8-4101-B8F0-6CBEAA845F78}" name="Three hours" dataDxfId="23"/>
    <tableColumn id="5" xr3:uid="{3FD8B3BC-5D5D-4C91-9AF8-9ED06CF362BB}" name="One day" dataDxfId="22"/>
    <tableColumn id="6" xr3:uid="{7F58BB9C-A6CD-4965-9B9B-848B2A2D7204}" name="Three days" dataDxfId="21"/>
    <tableColumn id="7" xr3:uid="{52455673-A9A0-45D5-8C70-5E69251E84AD}" name="One week" dataDxfId="20"/>
    <tableColumn id="8" xr3:uid="{6F5C7B4C-B061-44E2-9B29-9DF17B67707F}" name="One month" dataDxfId="19"/>
  </tableColumns>
  <tableStyleInfo name="CertiKit table style 2 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95F289E-3BA8-4775-8D24-F7481FD84B94}" name="DepRec138" displayName="DepRec138" ref="B30:I38" totalsRowShown="0" headerRowDxfId="18" dataDxfId="17">
  <tableColumns count="8">
    <tableColumn id="1" xr3:uid="{E4DF892B-9F88-45F7-A7FC-5D14DB72E01A}" name=" Dependency" dataDxfId="16"/>
    <tableColumn id="2" xr3:uid="{873D7704-DC67-41DD-9806-B23C162B0D8F}" name="Normal requirement" dataDxfId="15">
      <calculatedColumnFormula>IF(ISBLANK(+'Key Business Activities'!D13),"[Normal Requirement]",+'Key Business Activities'!D13)</calculatedColumnFormula>
    </tableColumn>
    <tableColumn id="3" xr3:uid="{A6D75B59-F5CB-4B99-B3A9-EBF87D56AC48}" name="One hour" dataDxfId="14"/>
    <tableColumn id="4" xr3:uid="{AE072CCB-D097-4E5E-944B-FC379EEF0B9A}" name="Three hours" dataDxfId="13"/>
    <tableColumn id="5" xr3:uid="{F066498E-0FEC-44E5-9C68-7BF6FBADA85D}" name="One day" dataDxfId="12"/>
    <tableColumn id="6" xr3:uid="{996C338B-E2A4-4364-8793-96C55E5A8288}" name="Three days" dataDxfId="11"/>
    <tableColumn id="7" xr3:uid="{32C85C01-85E9-49B1-8AAE-18C2DC8C68F0}" name="One week" dataDxfId="10"/>
    <tableColumn id="8" xr3:uid="{10F9387B-73A0-43C1-8E4B-C3B07BD7620F}" name="One month" dataDxfId="9"/>
  </tableColumns>
  <tableStyleInfo name="CertiKit table style 2 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6E23E0A-BFC9-4A9E-B394-34B7C2ECDE43}" name="BusinessActivities16" displayName="BusinessActivities16" ref="B11:E21" totalsRowShown="0" headerRowDxfId="8" dataDxfId="7">
  <tableColumns count="4">
    <tableColumn id="1" xr3:uid="{52577569-1DC1-4718-BB21-076C4AD2F9BF}" name=" REF" dataDxfId="6"/>
    <tableColumn id="2" xr3:uid="{F772BD02-96A3-42DA-B951-D2BC87812773}" name="BUSINESS ACTIVITY" dataDxfId="5"/>
    <tableColumn id="3" xr3:uid="{C8515BD1-7233-4698-88E1-FF82ABCF8BBD}" name="RTO" dataDxfId="4"/>
    <tableColumn id="4" xr3:uid="{D76CA919-E8BA-4B09-95B3-AD4D61B7DD91}" name="MBCO REQUIREMENTS AT RTO" dataDxfId="3"/>
  </tableColumns>
  <tableStyleInfo name="CertiKit table style 2 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84A6AE8-DA03-4653-B4CC-449FCAA5E1C4}" name="Table9" displayName="Table9" ref="A1:A7" totalsRowShown="0" headerRowDxfId="2" dataDxfId="1">
  <autoFilter ref="A1:A7" xr:uid="{FD76A86E-0CBB-41A6-B571-F23E5D309F6F}"/>
  <tableColumns count="1">
    <tableColumn id="1" xr3:uid="{07F46F54-66D9-4C3E-A1D0-8C951BC5B8EC}" name="ONE TO FIVE" dataDxfId="0"/>
  </tableColumns>
  <tableStyleInfo name="CertiKit table style" showFirstColumn="0" showLastColumn="0" showRowStripes="1" showColumnStripes="0"/>
</table>
</file>

<file path=xl/theme/theme1.xml><?xml version="1.0" encoding="utf-8"?>
<a:theme xmlns:a="http://schemas.openxmlformats.org/drawingml/2006/main" name="CertiKit Theme">
  <a:themeElements>
    <a:clrScheme name="CertiKit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table" Target="../tables/table18.xml"/><Relationship Id="rId13" Type="http://schemas.openxmlformats.org/officeDocument/2006/relationships/table" Target="../tables/table23.xml"/><Relationship Id="rId3" Type="http://schemas.openxmlformats.org/officeDocument/2006/relationships/table" Target="../tables/table13.xml"/><Relationship Id="rId7" Type="http://schemas.openxmlformats.org/officeDocument/2006/relationships/table" Target="../tables/table17.xml"/><Relationship Id="rId12" Type="http://schemas.openxmlformats.org/officeDocument/2006/relationships/table" Target="../tables/table22.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table" Target="../tables/table16.xml"/><Relationship Id="rId11" Type="http://schemas.openxmlformats.org/officeDocument/2006/relationships/table" Target="../tables/table21.xml"/><Relationship Id="rId5" Type="http://schemas.openxmlformats.org/officeDocument/2006/relationships/table" Target="../tables/table15.xml"/><Relationship Id="rId10" Type="http://schemas.openxmlformats.org/officeDocument/2006/relationships/table" Target="../tables/table20.xml"/><Relationship Id="rId4" Type="http://schemas.openxmlformats.org/officeDocument/2006/relationships/table" Target="../tables/table14.xml"/><Relationship Id="rId9" Type="http://schemas.openxmlformats.org/officeDocument/2006/relationships/table" Target="../tables/table19.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C53B-A03D-4DE9-8E48-0C7E28670E54}">
  <sheetPr>
    <pageSetUpPr fitToPage="1"/>
  </sheetPr>
  <dimension ref="B2:C38"/>
  <sheetViews>
    <sheetView showGridLines="0" tabSelected="1" zoomScaleNormal="100" workbookViewId="0"/>
  </sheetViews>
  <sheetFormatPr defaultRowHeight="15" x14ac:dyDescent="0.25"/>
  <cols>
    <col min="1" max="1" width="2.85546875" style="7" customWidth="1"/>
    <col min="2" max="2" width="45.85546875" style="7" customWidth="1"/>
    <col min="3" max="3" width="68.85546875" style="7" customWidth="1"/>
    <col min="4" max="16384" width="9.140625" style="7"/>
  </cols>
  <sheetData>
    <row r="2" spans="2:3" x14ac:dyDescent="0.25">
      <c r="B2" s="8"/>
    </row>
    <row r="3" spans="2:3" x14ac:dyDescent="0.25">
      <c r="B3" s="8"/>
    </row>
    <row r="4" spans="2:3" x14ac:dyDescent="0.25">
      <c r="B4" s="8"/>
    </row>
    <row r="5" spans="2:3" x14ac:dyDescent="0.25">
      <c r="B5" s="8"/>
    </row>
    <row r="6" spans="2:3" x14ac:dyDescent="0.25">
      <c r="B6" s="8"/>
    </row>
    <row r="7" spans="2:3" x14ac:dyDescent="0.25">
      <c r="B7" s="8"/>
    </row>
    <row r="8" spans="2:3" ht="21" x14ac:dyDescent="0.25">
      <c r="B8" s="19" t="s">
        <v>3</v>
      </c>
    </row>
    <row r="9" spans="2:3" x14ac:dyDescent="0.25">
      <c r="B9" s="15" t="s">
        <v>251</v>
      </c>
    </row>
    <row r="11" spans="2:3" ht="21" customHeight="1" x14ac:dyDescent="0.25">
      <c r="B11" s="49" t="s">
        <v>4</v>
      </c>
      <c r="C11" s="50" t="s">
        <v>2</v>
      </c>
    </row>
    <row r="12" spans="2:3" ht="60" x14ac:dyDescent="0.25">
      <c r="B12" s="20" t="s">
        <v>5</v>
      </c>
      <c r="C12" s="21" t="s">
        <v>14</v>
      </c>
    </row>
    <row r="13" spans="2:3" ht="15.75" thickBot="1" x14ac:dyDescent="0.3">
      <c r="B13" s="51"/>
      <c r="C13" s="52"/>
    </row>
    <row r="14" spans="2:3" ht="30.75" thickTop="1" x14ac:dyDescent="0.25">
      <c r="B14" s="22" t="s">
        <v>6</v>
      </c>
      <c r="C14" s="23" t="s">
        <v>15</v>
      </c>
    </row>
    <row r="15" spans="2:3" ht="15.75" thickBot="1" x14ac:dyDescent="0.3">
      <c r="B15" s="51"/>
      <c r="C15" s="52"/>
    </row>
    <row r="16" spans="2:3" ht="45.75" thickTop="1" x14ac:dyDescent="0.25">
      <c r="B16" s="22" t="s">
        <v>7</v>
      </c>
      <c r="C16" s="23" t="s">
        <v>16</v>
      </c>
    </row>
    <row r="17" spans="2:3" ht="15.75" thickBot="1" x14ac:dyDescent="0.3">
      <c r="B17" s="51"/>
      <c r="C17" s="52"/>
    </row>
    <row r="18" spans="2:3" ht="45.75" thickTop="1" x14ac:dyDescent="0.25">
      <c r="B18" s="22" t="s">
        <v>8</v>
      </c>
      <c r="C18" s="23" t="s">
        <v>17</v>
      </c>
    </row>
    <row r="19" spans="2:3" ht="15.75" thickBot="1" x14ac:dyDescent="0.3">
      <c r="B19" s="51"/>
      <c r="C19" s="52"/>
    </row>
    <row r="20" spans="2:3" ht="30.75" thickTop="1" x14ac:dyDescent="0.25">
      <c r="B20" s="22" t="s">
        <v>9</v>
      </c>
      <c r="C20" s="23" t="s">
        <v>18</v>
      </c>
    </row>
    <row r="21" spans="2:3" ht="15.75" thickBot="1" x14ac:dyDescent="0.3">
      <c r="B21" s="51"/>
      <c r="C21" s="52"/>
    </row>
    <row r="22" spans="2:3" ht="45.75" thickTop="1" x14ac:dyDescent="0.25">
      <c r="B22" s="22" t="s">
        <v>10</v>
      </c>
      <c r="C22" s="23" t="s">
        <v>19</v>
      </c>
    </row>
    <row r="23" spans="2:3" ht="15.75" thickBot="1" x14ac:dyDescent="0.3">
      <c r="B23" s="51"/>
      <c r="C23" s="52"/>
    </row>
    <row r="24" spans="2:3" ht="30.75" thickTop="1" x14ac:dyDescent="0.25">
      <c r="B24" s="22" t="s">
        <v>11</v>
      </c>
      <c r="C24" s="23" t="s">
        <v>20</v>
      </c>
    </row>
    <row r="25" spans="2:3" ht="15.75" thickBot="1" x14ac:dyDescent="0.3">
      <c r="B25" s="51"/>
      <c r="C25" s="52"/>
    </row>
    <row r="26" spans="2:3" ht="45.75" thickTop="1" x14ac:dyDescent="0.25">
      <c r="B26" s="22" t="s">
        <v>12</v>
      </c>
      <c r="C26" s="23" t="s">
        <v>21</v>
      </c>
    </row>
    <row r="27" spans="2:3" ht="15.75" thickBot="1" x14ac:dyDescent="0.3">
      <c r="B27" s="51"/>
      <c r="C27" s="52"/>
    </row>
    <row r="28" spans="2:3" ht="90.75" thickTop="1" x14ac:dyDescent="0.25">
      <c r="B28" s="22" t="s">
        <v>13</v>
      </c>
      <c r="C28" s="23" t="s">
        <v>22</v>
      </c>
    </row>
    <row r="29" spans="2:3" ht="15.75" thickBot="1" x14ac:dyDescent="0.3">
      <c r="B29" s="48"/>
      <c r="C29" s="48"/>
    </row>
    <row r="30" spans="2:3" ht="15.75" thickTop="1" x14ac:dyDescent="0.25">
      <c r="B30" s="12"/>
      <c r="C30" s="18"/>
    </row>
    <row r="31" spans="2:3" x14ac:dyDescent="0.25">
      <c r="B31" s="11"/>
      <c r="C31" s="6"/>
    </row>
    <row r="32" spans="2:3" x14ac:dyDescent="0.25">
      <c r="B32" s="11"/>
      <c r="C32" s="6"/>
    </row>
    <row r="33" spans="2:3" x14ac:dyDescent="0.25">
      <c r="B33" s="11"/>
      <c r="C33" s="6"/>
    </row>
    <row r="34" spans="2:3" x14ac:dyDescent="0.25">
      <c r="B34" s="11"/>
      <c r="C34" s="6"/>
    </row>
    <row r="35" spans="2:3" x14ac:dyDescent="0.25">
      <c r="B35" s="11"/>
      <c r="C35" s="6"/>
    </row>
    <row r="36" spans="2:3" x14ac:dyDescent="0.25">
      <c r="B36" s="11"/>
      <c r="C36" s="6"/>
    </row>
    <row r="37" spans="2:3" x14ac:dyDescent="0.25">
      <c r="B37" s="11"/>
      <c r="C37" s="6"/>
    </row>
    <row r="38" spans="2:3" x14ac:dyDescent="0.25">
      <c r="B38" s="11"/>
      <c r="C38" s="6"/>
    </row>
  </sheetData>
  <sheetProtection selectLockedCells="1" selectUnlockedCells="1"/>
  <pageMargins left="0.7" right="0.7" top="0.75" bottom="0.75" header="0.3" footer="0.3"/>
  <pageSetup paperSize="9" scale="67" fitToWidth="0" orientation="landscape" horizontalDpi="1200" verticalDpi="1200" r:id="rId1"/>
  <headerFooter>
    <oddFooter>&amp;L&amp;D&amp;CPage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5E562-3884-4889-9217-4D41D39EDECE}">
  <dimension ref="B2:E18"/>
  <sheetViews>
    <sheetView showGridLines="0" zoomScaleNormal="100" workbookViewId="0"/>
  </sheetViews>
  <sheetFormatPr defaultRowHeight="15" x14ac:dyDescent="0.25"/>
  <cols>
    <col min="1" max="1" width="2.85546875" style="7" customWidth="1"/>
    <col min="2" max="2" width="22" style="7" customWidth="1"/>
    <col min="3" max="3" width="63.140625" style="7" customWidth="1"/>
    <col min="4" max="16384" width="9.140625" style="7"/>
  </cols>
  <sheetData>
    <row r="2" spans="2:5" x14ac:dyDescent="0.25">
      <c r="B2" s="8"/>
    </row>
    <row r="3" spans="2:5" x14ac:dyDescent="0.25">
      <c r="B3" s="8"/>
    </row>
    <row r="4" spans="2:5" x14ac:dyDescent="0.25">
      <c r="B4" s="8"/>
    </row>
    <row r="5" spans="2:5" x14ac:dyDescent="0.25">
      <c r="B5" s="8"/>
    </row>
    <row r="6" spans="2:5" x14ac:dyDescent="0.25">
      <c r="B6" s="8"/>
    </row>
    <row r="8" spans="2:5" ht="21" x14ac:dyDescent="0.25">
      <c r="B8" s="19" t="s">
        <v>23</v>
      </c>
      <c r="C8" s="24"/>
    </row>
    <row r="9" spans="2:5" x14ac:dyDescent="0.25">
      <c r="B9" s="25"/>
      <c r="C9" s="24"/>
    </row>
    <row r="10" spans="2:5" ht="30" x14ac:dyDescent="0.25">
      <c r="B10" s="53" t="s">
        <v>130</v>
      </c>
      <c r="C10" s="54" t="s">
        <v>122</v>
      </c>
    </row>
    <row r="11" spans="2:5" ht="30" x14ac:dyDescent="0.25">
      <c r="B11" s="53" t="s">
        <v>129</v>
      </c>
      <c r="C11" s="54" t="s">
        <v>123</v>
      </c>
      <c r="E11" s="12"/>
    </row>
    <row r="12" spans="2:5" ht="75" x14ac:dyDescent="0.25">
      <c r="B12" s="53" t="s">
        <v>105</v>
      </c>
      <c r="C12" s="54" t="s">
        <v>124</v>
      </c>
    </row>
    <row r="13" spans="2:5" ht="30" x14ac:dyDescent="0.25">
      <c r="B13" s="53" t="s">
        <v>106</v>
      </c>
      <c r="C13" s="71">
        <v>1</v>
      </c>
    </row>
    <row r="14" spans="2:5" ht="30" x14ac:dyDescent="0.25">
      <c r="B14" s="53" t="s">
        <v>107</v>
      </c>
      <c r="C14" s="55" t="s">
        <v>125</v>
      </c>
    </row>
    <row r="15" spans="2:5" ht="30" x14ac:dyDescent="0.25">
      <c r="B15" s="53" t="s">
        <v>108</v>
      </c>
      <c r="C15" s="54" t="s">
        <v>126</v>
      </c>
    </row>
    <row r="16" spans="2:5" ht="90" x14ac:dyDescent="0.25">
      <c r="B16" s="53" t="s">
        <v>111</v>
      </c>
      <c r="C16" s="54" t="s">
        <v>127</v>
      </c>
    </row>
    <row r="17" spans="2:3" ht="30" x14ac:dyDescent="0.25">
      <c r="B17" s="53" t="s">
        <v>109</v>
      </c>
      <c r="C17" s="54" t="s">
        <v>128</v>
      </c>
    </row>
    <row r="18" spans="2:3" ht="30" x14ac:dyDescent="0.25">
      <c r="B18" s="53" t="s">
        <v>110</v>
      </c>
      <c r="C18" s="54" t="s">
        <v>131</v>
      </c>
    </row>
  </sheetData>
  <pageMargins left="0.7" right="0.7" top="0.75" bottom="0.75" header="0.3" footer="0.3"/>
  <pageSetup paperSize="9" scale="99" orientation="portrait" horizontalDpi="1200" verticalDpi="1200" r:id="rId1"/>
  <headerFooter>
    <oddFooter>&amp;L&amp;D&amp;CPage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41F24-4A42-4C56-802C-E3B8ADF88117}">
  <sheetPr>
    <pageSetUpPr fitToPage="1"/>
  </sheetPr>
  <dimension ref="A2:Q24"/>
  <sheetViews>
    <sheetView showGridLines="0" zoomScaleNormal="100" workbookViewId="0"/>
  </sheetViews>
  <sheetFormatPr defaultRowHeight="15" x14ac:dyDescent="0.25"/>
  <cols>
    <col min="1" max="1" width="2.85546875" style="7" customWidth="1"/>
    <col min="2" max="2" width="4.85546875" style="7" customWidth="1"/>
    <col min="3" max="3" width="13.85546875" style="7" customWidth="1"/>
    <col min="4" max="4" width="24.85546875" style="7" customWidth="1"/>
    <col min="5" max="5" width="22.85546875" style="7" customWidth="1"/>
    <col min="6" max="6" width="24.140625" style="7" customWidth="1"/>
    <col min="7" max="7" width="20.85546875" style="7" customWidth="1"/>
    <col min="8" max="8" width="23.42578125" style="7" customWidth="1"/>
    <col min="9" max="9" width="15" style="7" customWidth="1"/>
    <col min="10" max="10" width="23.28515625" style="7" customWidth="1"/>
    <col min="11" max="11" width="14.85546875" style="7" customWidth="1"/>
    <col min="12" max="12" width="19.5703125" style="7" customWidth="1"/>
    <col min="13" max="13" width="30.28515625" style="7" customWidth="1"/>
    <col min="14" max="16384" width="9.140625" style="7"/>
  </cols>
  <sheetData>
    <row r="2" spans="1:17" x14ac:dyDescent="0.25">
      <c r="B2" s="8"/>
    </row>
    <row r="3" spans="1:17" x14ac:dyDescent="0.25">
      <c r="B3" s="8"/>
    </row>
    <row r="4" spans="1:17" x14ac:dyDescent="0.25">
      <c r="B4" s="8"/>
    </row>
    <row r="5" spans="1:17" x14ac:dyDescent="0.25">
      <c r="B5" s="8"/>
    </row>
    <row r="6" spans="1:17" x14ac:dyDescent="0.25">
      <c r="B6" s="8"/>
    </row>
    <row r="8" spans="1:17" ht="21" x14ac:dyDescent="0.25">
      <c r="B8" s="19" t="s">
        <v>36</v>
      </c>
    </row>
    <row r="9" spans="1:17" x14ac:dyDescent="0.25">
      <c r="B9" s="58" t="s">
        <v>24</v>
      </c>
    </row>
    <row r="10" spans="1:17" x14ac:dyDescent="0.25">
      <c r="B10" s="26"/>
      <c r="C10" s="26"/>
      <c r="D10" s="26"/>
      <c r="E10" s="26"/>
      <c r="F10" s="26"/>
      <c r="G10" s="26"/>
      <c r="H10" s="27"/>
      <c r="I10" s="27"/>
      <c r="J10" s="27"/>
      <c r="K10" s="26"/>
      <c r="L10" s="26"/>
      <c r="M10" s="27"/>
      <c r="N10" s="27"/>
      <c r="O10" s="26"/>
      <c r="P10" s="26"/>
    </row>
    <row r="11" spans="1:17" ht="21" customHeight="1" x14ac:dyDescent="0.25">
      <c r="A11" s="1"/>
      <c r="B11" s="56"/>
      <c r="C11" s="57"/>
      <c r="D11" s="56" t="s">
        <v>35</v>
      </c>
      <c r="E11" s="56"/>
      <c r="F11" s="56"/>
      <c r="G11" s="56"/>
      <c r="H11" s="56"/>
      <c r="I11" s="56"/>
      <c r="J11" s="56"/>
      <c r="K11" s="57"/>
      <c r="L11" s="56"/>
      <c r="M11" s="56"/>
      <c r="N11" s="2"/>
      <c r="O11" s="2"/>
      <c r="P11" s="2"/>
      <c r="Q11" s="1"/>
    </row>
    <row r="12" spans="1:17" ht="31.5" customHeight="1" x14ac:dyDescent="0.25">
      <c r="A12" s="1"/>
      <c r="B12" s="28" t="s">
        <v>38</v>
      </c>
      <c r="C12" s="28" t="s">
        <v>37</v>
      </c>
      <c r="D12" s="28" t="s">
        <v>1</v>
      </c>
      <c r="E12" s="28" t="s">
        <v>39</v>
      </c>
      <c r="F12" s="28" t="s">
        <v>40</v>
      </c>
      <c r="G12" s="28" t="s">
        <v>41</v>
      </c>
      <c r="H12" s="28" t="s">
        <v>42</v>
      </c>
      <c r="I12" s="28" t="s">
        <v>43</v>
      </c>
      <c r="J12" s="28" t="s">
        <v>44</v>
      </c>
      <c r="K12" s="28" t="s">
        <v>45</v>
      </c>
      <c r="L12" s="28" t="s">
        <v>46</v>
      </c>
      <c r="M12" s="28" t="s">
        <v>47</v>
      </c>
      <c r="N12" s="29"/>
    </row>
    <row r="13" spans="1:17" ht="75" x14ac:dyDescent="0.25">
      <c r="A13" s="1"/>
      <c r="B13" s="28" t="s">
        <v>25</v>
      </c>
      <c r="C13" s="28" t="s">
        <v>132</v>
      </c>
      <c r="D13" s="28" t="s">
        <v>133</v>
      </c>
      <c r="E13" s="28" t="s">
        <v>134</v>
      </c>
      <c r="F13" s="28" t="s">
        <v>135</v>
      </c>
      <c r="G13" s="28" t="s">
        <v>136</v>
      </c>
      <c r="H13" s="28" t="s">
        <v>137</v>
      </c>
      <c r="I13" s="28" t="s">
        <v>138</v>
      </c>
      <c r="J13" s="28" t="s">
        <v>139</v>
      </c>
      <c r="K13" s="28" t="s">
        <v>140</v>
      </c>
      <c r="L13" s="28" t="s">
        <v>141</v>
      </c>
      <c r="M13" s="28" t="s">
        <v>142</v>
      </c>
      <c r="N13" s="1"/>
    </row>
    <row r="14" spans="1:17" ht="75" x14ac:dyDescent="0.25">
      <c r="A14" s="1"/>
      <c r="B14" s="28" t="s">
        <v>26</v>
      </c>
      <c r="C14" s="28" t="s">
        <v>44</v>
      </c>
      <c r="D14" s="28" t="s">
        <v>143</v>
      </c>
      <c r="E14" s="28" t="s">
        <v>144</v>
      </c>
      <c r="F14" s="28" t="s">
        <v>145</v>
      </c>
      <c r="G14" s="28" t="s">
        <v>146</v>
      </c>
      <c r="H14" s="28" t="s">
        <v>147</v>
      </c>
      <c r="I14" s="28" t="s">
        <v>148</v>
      </c>
      <c r="J14" s="28" t="s">
        <v>149</v>
      </c>
      <c r="K14" s="28" t="s">
        <v>150</v>
      </c>
      <c r="L14" s="28" t="s">
        <v>151</v>
      </c>
      <c r="M14" s="28" t="s">
        <v>152</v>
      </c>
      <c r="N14" s="1"/>
    </row>
    <row r="15" spans="1:17" ht="90" x14ac:dyDescent="0.25">
      <c r="A15" s="1"/>
      <c r="B15" s="28" t="s">
        <v>27</v>
      </c>
      <c r="C15" s="28" t="s">
        <v>153</v>
      </c>
      <c r="D15" s="28" t="s">
        <v>154</v>
      </c>
      <c r="E15" s="28" t="s">
        <v>155</v>
      </c>
      <c r="F15" s="28" t="s">
        <v>156</v>
      </c>
      <c r="G15" s="28" t="s">
        <v>157</v>
      </c>
      <c r="H15" s="28" t="s">
        <v>158</v>
      </c>
      <c r="I15" s="28" t="s">
        <v>148</v>
      </c>
      <c r="J15" s="28" t="s">
        <v>159</v>
      </c>
      <c r="K15" s="28" t="s">
        <v>160</v>
      </c>
      <c r="L15" s="28" t="s">
        <v>161</v>
      </c>
      <c r="M15" s="28" t="s">
        <v>162</v>
      </c>
      <c r="N15" s="1"/>
    </row>
    <row r="16" spans="1:17" ht="75" x14ac:dyDescent="0.25">
      <c r="A16" s="1"/>
      <c r="B16" s="28" t="s">
        <v>28</v>
      </c>
      <c r="C16" s="28" t="s">
        <v>163</v>
      </c>
      <c r="D16" s="28" t="s">
        <v>164</v>
      </c>
      <c r="E16" s="28" t="s">
        <v>165</v>
      </c>
      <c r="F16" s="28" t="s">
        <v>252</v>
      </c>
      <c r="G16" s="28" t="s">
        <v>166</v>
      </c>
      <c r="H16" s="28" t="s">
        <v>167</v>
      </c>
      <c r="I16" s="28" t="s">
        <v>148</v>
      </c>
      <c r="J16" s="28" t="s">
        <v>168</v>
      </c>
      <c r="K16" s="28" t="s">
        <v>169</v>
      </c>
      <c r="L16" s="28" t="s">
        <v>170</v>
      </c>
      <c r="M16" s="28" t="s">
        <v>171</v>
      </c>
      <c r="N16" s="1"/>
    </row>
    <row r="17" spans="1:14" ht="60" x14ac:dyDescent="0.25">
      <c r="A17" s="1"/>
      <c r="B17" s="28" t="s">
        <v>29</v>
      </c>
      <c r="C17" s="28" t="s">
        <v>172</v>
      </c>
      <c r="D17" s="28" t="s">
        <v>173</v>
      </c>
      <c r="E17" s="28" t="s">
        <v>174</v>
      </c>
      <c r="F17" s="28" t="s">
        <v>175</v>
      </c>
      <c r="G17" s="28" t="s">
        <v>176</v>
      </c>
      <c r="H17" s="28" t="s">
        <v>177</v>
      </c>
      <c r="I17" s="28" t="s">
        <v>148</v>
      </c>
      <c r="J17" s="28" t="s">
        <v>159</v>
      </c>
      <c r="K17" s="28" t="s">
        <v>178</v>
      </c>
      <c r="L17" s="28" t="s">
        <v>179</v>
      </c>
      <c r="M17" s="28" t="s">
        <v>180</v>
      </c>
      <c r="N17" s="1"/>
    </row>
    <row r="18" spans="1:14" ht="60" x14ac:dyDescent="0.25">
      <c r="A18" s="1"/>
      <c r="B18" s="28" t="s">
        <v>30</v>
      </c>
      <c r="C18" s="28" t="s">
        <v>181</v>
      </c>
      <c r="D18" s="28" t="s">
        <v>182</v>
      </c>
      <c r="E18" s="28" t="s">
        <v>183</v>
      </c>
      <c r="F18" s="28" t="s">
        <v>184</v>
      </c>
      <c r="G18" s="28" t="s">
        <v>185</v>
      </c>
      <c r="H18" s="28" t="s">
        <v>186</v>
      </c>
      <c r="I18" s="28" t="s">
        <v>148</v>
      </c>
      <c r="J18" s="28" t="s">
        <v>187</v>
      </c>
      <c r="K18" s="28" t="s">
        <v>188</v>
      </c>
      <c r="L18" s="28" t="s">
        <v>189</v>
      </c>
      <c r="M18" s="28" t="s">
        <v>190</v>
      </c>
      <c r="N18" s="1"/>
    </row>
    <row r="19" spans="1:14" ht="60" x14ac:dyDescent="0.25">
      <c r="A19" s="1"/>
      <c r="B19" s="28" t="s">
        <v>31</v>
      </c>
      <c r="C19" s="28" t="s">
        <v>191</v>
      </c>
      <c r="D19" s="28" t="s">
        <v>192</v>
      </c>
      <c r="E19" s="28" t="s">
        <v>193</v>
      </c>
      <c r="F19" s="28" t="s">
        <v>194</v>
      </c>
      <c r="G19" s="28" t="s">
        <v>166</v>
      </c>
      <c r="H19" s="28" t="s">
        <v>195</v>
      </c>
      <c r="I19" s="28" t="s">
        <v>196</v>
      </c>
      <c r="J19" s="28" t="s">
        <v>159</v>
      </c>
      <c r="K19" s="28" t="s">
        <v>197</v>
      </c>
      <c r="L19" s="28" t="s">
        <v>198</v>
      </c>
      <c r="M19" s="28" t="s">
        <v>199</v>
      </c>
      <c r="N19" s="1"/>
    </row>
    <row r="20" spans="1:14" ht="30" x14ac:dyDescent="0.25">
      <c r="A20" s="1"/>
      <c r="B20" s="28" t="s">
        <v>32</v>
      </c>
      <c r="C20" s="28"/>
      <c r="D20" s="28"/>
      <c r="E20" s="28"/>
      <c r="F20" s="28"/>
      <c r="G20" s="28"/>
      <c r="H20" s="28"/>
      <c r="I20" s="28"/>
      <c r="J20" s="28"/>
      <c r="K20" s="28"/>
      <c r="L20" s="28"/>
      <c r="M20" s="28"/>
      <c r="N20" s="1"/>
    </row>
    <row r="21" spans="1:14" ht="30" x14ac:dyDescent="0.25">
      <c r="A21" s="1"/>
      <c r="B21" s="28" t="s">
        <v>33</v>
      </c>
      <c r="C21" s="28"/>
      <c r="D21" s="28"/>
      <c r="E21" s="28"/>
      <c r="F21" s="28"/>
      <c r="G21" s="28"/>
      <c r="H21" s="28"/>
      <c r="I21" s="28"/>
      <c r="J21" s="28"/>
      <c r="K21" s="28"/>
      <c r="L21" s="28"/>
      <c r="M21" s="28"/>
      <c r="N21" s="1"/>
    </row>
    <row r="22" spans="1:14" ht="30" x14ac:dyDescent="0.25">
      <c r="A22" s="1"/>
      <c r="B22" s="28" t="s">
        <v>34</v>
      </c>
      <c r="C22" s="28"/>
      <c r="D22" s="28"/>
      <c r="E22" s="28"/>
      <c r="F22" s="28"/>
      <c r="G22" s="28"/>
      <c r="H22" s="28"/>
      <c r="I22" s="28"/>
      <c r="J22" s="28"/>
      <c r="K22" s="28"/>
      <c r="L22" s="28"/>
      <c r="M22" s="28"/>
      <c r="N22" s="1"/>
    </row>
    <row r="23" spans="1:14" x14ac:dyDescent="0.25">
      <c r="A23" s="1"/>
      <c r="B23" s="1"/>
      <c r="C23" s="1"/>
      <c r="D23" s="1"/>
      <c r="E23" s="1"/>
      <c r="F23" s="1"/>
      <c r="G23" s="1"/>
      <c r="H23" s="1"/>
      <c r="I23" s="1"/>
      <c r="J23" s="1"/>
      <c r="K23" s="1"/>
      <c r="L23" s="1"/>
      <c r="M23" s="1"/>
      <c r="N23" s="1"/>
    </row>
    <row r="24" spans="1:14" x14ac:dyDescent="0.25">
      <c r="A24" s="1"/>
      <c r="B24" s="1"/>
      <c r="C24" s="1"/>
      <c r="D24" s="1"/>
      <c r="E24" s="1"/>
      <c r="F24" s="1"/>
      <c r="G24" s="1"/>
      <c r="H24" s="1"/>
      <c r="I24" s="1"/>
      <c r="J24" s="1"/>
      <c r="K24" s="1"/>
      <c r="L24" s="1"/>
      <c r="M24" s="1"/>
      <c r="N24" s="1"/>
    </row>
  </sheetData>
  <pageMargins left="0.23622047244094491" right="0.23622047244094491" top="0.59055118110236227" bottom="0.59055118110236227" header="0.31496062992125984" footer="0.31496062992125984"/>
  <pageSetup paperSize="9" scale="59" fitToHeight="0" orientation="landscape" horizontalDpi="1200" verticalDpi="1200" r:id="rId1"/>
  <headerFooter>
    <oddFooter>&amp;L&amp;D&amp;CPage &amp;P of &amp;N</oddFoot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7422-259C-45C9-B3E5-B5A2340DC659}">
  <dimension ref="A2:P140"/>
  <sheetViews>
    <sheetView showGridLines="0" zoomScaleNormal="100" workbookViewId="0"/>
  </sheetViews>
  <sheetFormatPr defaultRowHeight="15" x14ac:dyDescent="0.25"/>
  <cols>
    <col min="1" max="1" width="2.85546875" style="34" customWidth="1"/>
    <col min="2" max="2" width="14.140625" style="34" customWidth="1"/>
    <col min="3" max="3" width="17" style="34" customWidth="1"/>
    <col min="4" max="4" width="25.5703125" style="34" bestFit="1" customWidth="1"/>
    <col min="5" max="5" width="12.5703125" style="34" customWidth="1"/>
    <col min="6" max="6" width="17" style="34" customWidth="1"/>
    <col min="7" max="7" width="17.5703125" style="34" customWidth="1"/>
    <col min="8" max="8" width="18" style="34" bestFit="1" customWidth="1"/>
    <col min="9" max="9" width="9.42578125" style="34" customWidth="1"/>
    <col min="10" max="10" width="14.85546875" style="34" customWidth="1"/>
    <col min="11" max="11" width="19.5703125" style="34" customWidth="1"/>
    <col min="12" max="12" width="30.28515625" style="34" customWidth="1"/>
    <col min="13" max="16384" width="9.140625" style="34"/>
  </cols>
  <sheetData>
    <row r="2" spans="2:9" x14ac:dyDescent="0.25">
      <c r="B2" s="33"/>
    </row>
    <row r="3" spans="2:9" x14ac:dyDescent="0.25">
      <c r="B3" s="33"/>
    </row>
    <row r="4" spans="2:9" x14ac:dyDescent="0.25">
      <c r="B4" s="33"/>
    </row>
    <row r="5" spans="2:9" x14ac:dyDescent="0.25">
      <c r="B5" s="33"/>
    </row>
    <row r="6" spans="2:9" x14ac:dyDescent="0.25">
      <c r="B6" s="33"/>
    </row>
    <row r="8" spans="2:9" ht="21" x14ac:dyDescent="0.25">
      <c r="B8" s="35" t="s">
        <v>48</v>
      </c>
      <c r="C8" s="36"/>
      <c r="D8" s="36"/>
      <c r="E8" s="36"/>
      <c r="F8" s="36"/>
      <c r="G8" s="36"/>
      <c r="H8" s="36"/>
    </row>
    <row r="9" spans="2:9" x14ac:dyDescent="0.25">
      <c r="B9" s="38" t="s">
        <v>49</v>
      </c>
      <c r="C9" s="36"/>
      <c r="D9" s="36"/>
      <c r="E9" s="36"/>
      <c r="F9" s="36"/>
      <c r="G9" s="36"/>
      <c r="H9" s="36"/>
    </row>
    <row r="11" spans="2:9" ht="21" customHeight="1" x14ac:dyDescent="0.25">
      <c r="B11" s="59" t="s">
        <v>65</v>
      </c>
      <c r="C11" s="59"/>
      <c r="D11" s="60" t="s">
        <v>118</v>
      </c>
      <c r="E11" s="59" t="str">
        <f>IF(ISBLANK(+'Key Business Activities'!C13),"[Business activity]",+'Key Business Activities'!C13)</f>
        <v>Sales and Marketing</v>
      </c>
      <c r="F11" s="59"/>
      <c r="G11" s="59"/>
      <c r="H11" s="59"/>
      <c r="I11" s="59"/>
    </row>
    <row r="12" spans="2:9" ht="30" x14ac:dyDescent="0.25">
      <c r="B12" s="37" t="s">
        <v>50</v>
      </c>
      <c r="C12" s="37" t="s">
        <v>58</v>
      </c>
      <c r="D12" s="37" t="s">
        <v>59</v>
      </c>
      <c r="E12" s="37" t="s">
        <v>60</v>
      </c>
      <c r="F12" s="37" t="s">
        <v>61</v>
      </c>
      <c r="G12" s="37" t="s">
        <v>62</v>
      </c>
      <c r="H12" s="37" t="s">
        <v>63</v>
      </c>
      <c r="I12" s="37" t="s">
        <v>64</v>
      </c>
    </row>
    <row r="13" spans="2:9" x14ac:dyDescent="0.25">
      <c r="B13" s="37" t="s">
        <v>51</v>
      </c>
      <c r="C13" s="30">
        <v>1</v>
      </c>
      <c r="D13" s="30">
        <v>1</v>
      </c>
      <c r="E13" s="30">
        <v>1</v>
      </c>
      <c r="F13" s="30">
        <v>1</v>
      </c>
      <c r="G13" s="30">
        <v>1</v>
      </c>
      <c r="H13" s="30">
        <v>1</v>
      </c>
      <c r="I13" s="37">
        <v>6</v>
      </c>
    </row>
    <row r="14" spans="2:9" x14ac:dyDescent="0.25">
      <c r="B14" s="37" t="s">
        <v>52</v>
      </c>
      <c r="C14" s="30">
        <v>1</v>
      </c>
      <c r="D14" s="30">
        <v>1</v>
      </c>
      <c r="E14" s="30">
        <v>1</v>
      </c>
      <c r="F14" s="30">
        <v>1</v>
      </c>
      <c r="G14" s="30">
        <v>1</v>
      </c>
      <c r="H14" s="30">
        <v>1</v>
      </c>
      <c r="I14" s="37">
        <v>6</v>
      </c>
    </row>
    <row r="15" spans="2:9" x14ac:dyDescent="0.25">
      <c r="B15" s="37" t="s">
        <v>53</v>
      </c>
      <c r="C15" s="30">
        <v>1</v>
      </c>
      <c r="D15" s="30">
        <v>1</v>
      </c>
      <c r="E15" s="30">
        <v>1</v>
      </c>
      <c r="F15" s="30">
        <v>2</v>
      </c>
      <c r="G15" s="30">
        <v>1</v>
      </c>
      <c r="H15" s="30">
        <v>1</v>
      </c>
      <c r="I15" s="37">
        <v>7</v>
      </c>
    </row>
    <row r="16" spans="2:9" x14ac:dyDescent="0.25">
      <c r="B16" s="37" t="s">
        <v>54</v>
      </c>
      <c r="C16" s="30">
        <v>2</v>
      </c>
      <c r="D16" s="30">
        <v>1</v>
      </c>
      <c r="E16" s="30">
        <v>2</v>
      </c>
      <c r="F16" s="30">
        <v>2</v>
      </c>
      <c r="G16" s="30">
        <v>1</v>
      </c>
      <c r="H16" s="30">
        <v>1</v>
      </c>
      <c r="I16" s="37">
        <v>9</v>
      </c>
    </row>
    <row r="17" spans="2:15" x14ac:dyDescent="0.25">
      <c r="B17" s="37" t="s">
        <v>55</v>
      </c>
      <c r="C17" s="30">
        <v>2</v>
      </c>
      <c r="D17" s="30">
        <v>1</v>
      </c>
      <c r="E17" s="30">
        <v>2</v>
      </c>
      <c r="F17" s="30">
        <v>2</v>
      </c>
      <c r="G17" s="30">
        <v>1</v>
      </c>
      <c r="H17" s="30">
        <v>1</v>
      </c>
      <c r="I17" s="37">
        <v>9</v>
      </c>
    </row>
    <row r="18" spans="2:15" x14ac:dyDescent="0.25">
      <c r="B18" s="37" t="s">
        <v>56</v>
      </c>
      <c r="C18" s="30">
        <v>3</v>
      </c>
      <c r="D18" s="30">
        <v>1</v>
      </c>
      <c r="E18" s="30">
        <v>3</v>
      </c>
      <c r="F18" s="30">
        <v>4</v>
      </c>
      <c r="G18" s="30">
        <v>1</v>
      </c>
      <c r="H18" s="30">
        <v>1</v>
      </c>
      <c r="I18" s="37">
        <v>13</v>
      </c>
    </row>
    <row r="19" spans="2:15" x14ac:dyDescent="0.25">
      <c r="G19" s="47"/>
      <c r="H19" s="47"/>
      <c r="I19" s="47"/>
    </row>
    <row r="20" spans="2:15" x14ac:dyDescent="0.25">
      <c r="B20" s="38" t="s">
        <v>75</v>
      </c>
      <c r="C20" s="36"/>
      <c r="F20" s="47"/>
      <c r="G20" s="61" t="s">
        <v>112</v>
      </c>
      <c r="H20" s="62" t="s">
        <v>200</v>
      </c>
      <c r="I20" s="63"/>
    </row>
    <row r="21" spans="2:15" x14ac:dyDescent="0.25">
      <c r="F21" s="47"/>
      <c r="G21" s="64" t="s">
        <v>113</v>
      </c>
      <c r="H21" s="65" t="s">
        <v>201</v>
      </c>
      <c r="I21" s="66"/>
    </row>
    <row r="24" spans="2:15" ht="21" customHeight="1" x14ac:dyDescent="0.25">
      <c r="B24" s="59" t="s">
        <v>66</v>
      </c>
      <c r="C24" s="59"/>
      <c r="D24" s="60" t="s">
        <v>118</v>
      </c>
      <c r="E24" s="59" t="str">
        <f>IF(ISBLANK(+'Key Business Activities'!C14),"[Business activity]",+'Key Business Activities'!C14)</f>
        <v>Finance</v>
      </c>
      <c r="F24" s="59"/>
      <c r="G24" s="59"/>
      <c r="H24" s="59"/>
      <c r="I24" s="59"/>
    </row>
    <row r="25" spans="2:15" ht="30" x14ac:dyDescent="0.25">
      <c r="B25" s="37" t="s">
        <v>50</v>
      </c>
      <c r="C25" s="37" t="s">
        <v>58</v>
      </c>
      <c r="D25" s="37" t="s">
        <v>59</v>
      </c>
      <c r="E25" s="37" t="s">
        <v>60</v>
      </c>
      <c r="F25" s="37" t="s">
        <v>61</v>
      </c>
      <c r="G25" s="37" t="s">
        <v>62</v>
      </c>
      <c r="H25" s="37" t="s">
        <v>63</v>
      </c>
      <c r="I25" s="37" t="s">
        <v>64</v>
      </c>
      <c r="K25" s="40"/>
      <c r="L25" s="41"/>
      <c r="M25" s="41"/>
      <c r="N25" s="40"/>
      <c r="O25" s="40"/>
    </row>
    <row r="26" spans="2:15" x14ac:dyDescent="0.25">
      <c r="B26" s="37" t="s">
        <v>51</v>
      </c>
      <c r="C26" s="30">
        <v>1</v>
      </c>
      <c r="D26" s="30">
        <v>1</v>
      </c>
      <c r="E26" s="30">
        <v>1</v>
      </c>
      <c r="F26" s="30">
        <v>1</v>
      </c>
      <c r="G26" s="30">
        <v>1</v>
      </c>
      <c r="H26" s="30">
        <v>1</v>
      </c>
      <c r="I26" s="37">
        <v>6</v>
      </c>
    </row>
    <row r="27" spans="2:15" x14ac:dyDescent="0.25">
      <c r="B27" s="37" t="s">
        <v>52</v>
      </c>
      <c r="C27" s="30">
        <v>1</v>
      </c>
      <c r="D27" s="30">
        <v>1</v>
      </c>
      <c r="E27" s="30">
        <v>1</v>
      </c>
      <c r="F27" s="30">
        <v>1</v>
      </c>
      <c r="G27" s="30">
        <v>1</v>
      </c>
      <c r="H27" s="30">
        <v>1</v>
      </c>
      <c r="I27" s="37">
        <v>6</v>
      </c>
    </row>
    <row r="28" spans="2:15" x14ac:dyDescent="0.25">
      <c r="B28" s="37" t="s">
        <v>53</v>
      </c>
      <c r="C28" s="30">
        <v>1</v>
      </c>
      <c r="D28" s="30">
        <v>1</v>
      </c>
      <c r="E28" s="30">
        <v>1</v>
      </c>
      <c r="F28" s="30">
        <v>2</v>
      </c>
      <c r="G28" s="30">
        <v>1</v>
      </c>
      <c r="H28" s="30">
        <v>1</v>
      </c>
      <c r="I28" s="37">
        <v>7</v>
      </c>
    </row>
    <row r="29" spans="2:15" x14ac:dyDescent="0.25">
      <c r="B29" s="37" t="s">
        <v>54</v>
      </c>
      <c r="C29" s="30">
        <v>2</v>
      </c>
      <c r="D29" s="30">
        <v>2</v>
      </c>
      <c r="E29" s="30">
        <v>2</v>
      </c>
      <c r="F29" s="30">
        <v>3</v>
      </c>
      <c r="G29" s="30">
        <v>1</v>
      </c>
      <c r="H29" s="30">
        <v>1</v>
      </c>
      <c r="I29" s="37">
        <v>11</v>
      </c>
    </row>
    <row r="30" spans="2:15" x14ac:dyDescent="0.25">
      <c r="B30" s="37" t="s">
        <v>55</v>
      </c>
      <c r="C30" s="30">
        <v>2</v>
      </c>
      <c r="D30" s="30">
        <v>3</v>
      </c>
      <c r="E30" s="30">
        <v>3</v>
      </c>
      <c r="F30" s="30">
        <v>4</v>
      </c>
      <c r="G30" s="30">
        <v>2</v>
      </c>
      <c r="H30" s="30">
        <v>1</v>
      </c>
      <c r="I30" s="37">
        <v>15</v>
      </c>
    </row>
    <row r="31" spans="2:15" x14ac:dyDescent="0.25">
      <c r="B31" s="37" t="s">
        <v>56</v>
      </c>
      <c r="C31" s="30">
        <v>3</v>
      </c>
      <c r="D31" s="30">
        <v>4</v>
      </c>
      <c r="E31" s="30">
        <v>4</v>
      </c>
      <c r="F31" s="30">
        <v>4</v>
      </c>
      <c r="G31" s="30">
        <v>2</v>
      </c>
      <c r="H31" s="30">
        <v>1</v>
      </c>
      <c r="I31" s="37">
        <v>18</v>
      </c>
    </row>
    <row r="32" spans="2:15" x14ac:dyDescent="0.25">
      <c r="G32" s="47"/>
      <c r="H32" s="47"/>
      <c r="I32" s="47"/>
    </row>
    <row r="33" spans="1:13" x14ac:dyDescent="0.25">
      <c r="B33" s="38" t="s">
        <v>75</v>
      </c>
      <c r="F33" s="47"/>
      <c r="G33" s="61" t="s">
        <v>112</v>
      </c>
      <c r="H33" s="62" t="s">
        <v>202</v>
      </c>
      <c r="I33" s="63"/>
    </row>
    <row r="34" spans="1:13" x14ac:dyDescent="0.25">
      <c r="F34" s="47"/>
      <c r="G34" s="64" t="s">
        <v>113</v>
      </c>
      <c r="H34" s="65" t="s">
        <v>201</v>
      </c>
      <c r="I34" s="66"/>
    </row>
    <row r="36" spans="1:13" x14ac:dyDescent="0.25">
      <c r="L36" s="42"/>
      <c r="M36" s="42"/>
    </row>
    <row r="37" spans="1:13" ht="21" customHeight="1" x14ac:dyDescent="0.25">
      <c r="B37" s="59" t="s">
        <v>67</v>
      </c>
      <c r="C37" s="59"/>
      <c r="D37" s="60" t="s">
        <v>118</v>
      </c>
      <c r="E37" s="59" t="str">
        <f>IF(ISBLANK(+'Key Business Activities'!C15),"[Business activity]",+'Key Business Activities'!C15)</f>
        <v>Human Resources</v>
      </c>
      <c r="F37" s="59"/>
      <c r="G37" s="59"/>
      <c r="H37" s="59"/>
      <c r="I37" s="59"/>
      <c r="L37" s="42"/>
      <c r="M37" s="42"/>
    </row>
    <row r="38" spans="1:13" ht="30" x14ac:dyDescent="0.25">
      <c r="A38" s="43"/>
      <c r="B38" s="37" t="s">
        <v>50</v>
      </c>
      <c r="C38" s="37" t="s">
        <v>58</v>
      </c>
      <c r="D38" s="37" t="s">
        <v>59</v>
      </c>
      <c r="E38" s="37" t="s">
        <v>60</v>
      </c>
      <c r="F38" s="37" t="s">
        <v>61</v>
      </c>
      <c r="G38" s="37" t="s">
        <v>62</v>
      </c>
      <c r="H38" s="37" t="s">
        <v>63</v>
      </c>
      <c r="I38" s="37" t="s">
        <v>64</v>
      </c>
      <c r="J38" s="42"/>
      <c r="K38" s="42"/>
      <c r="L38" s="42"/>
      <c r="M38" s="42"/>
    </row>
    <row r="39" spans="1:13" x14ac:dyDescent="0.25">
      <c r="A39" s="43"/>
      <c r="B39" s="37" t="s">
        <v>51</v>
      </c>
      <c r="C39" s="30">
        <v>1</v>
      </c>
      <c r="D39" s="30">
        <v>1</v>
      </c>
      <c r="E39" s="30">
        <v>1</v>
      </c>
      <c r="F39" s="30">
        <v>1</v>
      </c>
      <c r="G39" s="30">
        <v>1</v>
      </c>
      <c r="H39" s="30">
        <v>1</v>
      </c>
      <c r="I39" s="37">
        <v>6</v>
      </c>
      <c r="M39" s="42"/>
    </row>
    <row r="40" spans="1:13" x14ac:dyDescent="0.25">
      <c r="A40" s="43"/>
      <c r="B40" s="37" t="s">
        <v>52</v>
      </c>
      <c r="C40" s="30">
        <v>1</v>
      </c>
      <c r="D40" s="30">
        <v>1</v>
      </c>
      <c r="E40" s="30">
        <v>1</v>
      </c>
      <c r="F40" s="30">
        <v>1</v>
      </c>
      <c r="G40" s="30">
        <v>1</v>
      </c>
      <c r="H40" s="30">
        <v>1</v>
      </c>
      <c r="I40" s="37">
        <v>6</v>
      </c>
      <c r="M40" s="42"/>
    </row>
    <row r="41" spans="1:13" x14ac:dyDescent="0.25">
      <c r="A41" s="43"/>
      <c r="B41" s="37" t="s">
        <v>53</v>
      </c>
      <c r="C41" s="30">
        <v>2</v>
      </c>
      <c r="D41" s="30">
        <v>2</v>
      </c>
      <c r="E41" s="30">
        <v>1</v>
      </c>
      <c r="F41" s="30">
        <v>1</v>
      </c>
      <c r="G41" s="30">
        <v>1</v>
      </c>
      <c r="H41" s="30">
        <v>1</v>
      </c>
      <c r="I41" s="37">
        <v>8</v>
      </c>
      <c r="M41" s="42"/>
    </row>
    <row r="42" spans="1:13" x14ac:dyDescent="0.25">
      <c r="A42" s="43"/>
      <c r="B42" s="37" t="s">
        <v>54</v>
      </c>
      <c r="C42" s="30">
        <v>3</v>
      </c>
      <c r="D42" s="30">
        <v>2</v>
      </c>
      <c r="E42" s="30">
        <v>2</v>
      </c>
      <c r="F42" s="30">
        <v>2</v>
      </c>
      <c r="G42" s="30">
        <v>1</v>
      </c>
      <c r="H42" s="30">
        <v>1</v>
      </c>
      <c r="I42" s="37">
        <v>11</v>
      </c>
      <c r="M42" s="43"/>
    </row>
    <row r="43" spans="1:13" x14ac:dyDescent="0.25">
      <c r="A43" s="43"/>
      <c r="B43" s="37" t="s">
        <v>55</v>
      </c>
      <c r="C43" s="30">
        <v>4</v>
      </c>
      <c r="D43" s="30">
        <v>3</v>
      </c>
      <c r="E43" s="30">
        <v>2</v>
      </c>
      <c r="F43" s="30">
        <v>2</v>
      </c>
      <c r="G43" s="30">
        <v>2</v>
      </c>
      <c r="H43" s="30">
        <v>2</v>
      </c>
      <c r="I43" s="37">
        <v>15</v>
      </c>
      <c r="M43" s="43"/>
    </row>
    <row r="44" spans="1:13" x14ac:dyDescent="0.25">
      <c r="A44" s="43"/>
      <c r="B44" s="37" t="s">
        <v>56</v>
      </c>
      <c r="C44" s="30">
        <v>4</v>
      </c>
      <c r="D44" s="30">
        <v>4</v>
      </c>
      <c r="E44" s="30">
        <v>3</v>
      </c>
      <c r="F44" s="30">
        <v>3</v>
      </c>
      <c r="G44" s="30">
        <v>2</v>
      </c>
      <c r="H44" s="30">
        <v>2</v>
      </c>
      <c r="I44" s="37">
        <v>18</v>
      </c>
      <c r="M44" s="43"/>
    </row>
    <row r="45" spans="1:13" x14ac:dyDescent="0.25">
      <c r="G45" s="47"/>
      <c r="H45" s="47"/>
      <c r="I45" s="47"/>
      <c r="M45" s="43"/>
    </row>
    <row r="46" spans="1:13" x14ac:dyDescent="0.25">
      <c r="B46" s="38" t="s">
        <v>75</v>
      </c>
      <c r="F46" s="47"/>
      <c r="G46" s="61" t="s">
        <v>112</v>
      </c>
      <c r="H46" s="62" t="s">
        <v>203</v>
      </c>
      <c r="I46" s="63"/>
      <c r="M46" s="43"/>
    </row>
    <row r="47" spans="1:13" x14ac:dyDescent="0.25">
      <c r="F47" s="47"/>
      <c r="G47" s="64" t="s">
        <v>113</v>
      </c>
      <c r="H47" s="65" t="s">
        <v>201</v>
      </c>
      <c r="I47" s="66"/>
      <c r="M47" s="43"/>
    </row>
    <row r="48" spans="1:13" x14ac:dyDescent="0.25">
      <c r="M48" s="43"/>
    </row>
    <row r="49" spans="1:16" x14ac:dyDescent="0.25">
      <c r="M49" s="43"/>
    </row>
    <row r="50" spans="1:16" ht="21" customHeight="1" x14ac:dyDescent="0.25">
      <c r="B50" s="59" t="s">
        <v>68</v>
      </c>
      <c r="C50" s="59"/>
      <c r="D50" s="60" t="s">
        <v>118</v>
      </c>
      <c r="E50" s="59" t="str">
        <f>IF(ISBLANK(+'Key Business Activities'!C16),"[Business activity]",+'Key Business Activities'!C16)</f>
        <v>Manufacturing</v>
      </c>
      <c r="F50" s="59"/>
      <c r="G50" s="59"/>
      <c r="H50" s="59"/>
      <c r="I50" s="59"/>
      <c r="M50" s="43"/>
    </row>
    <row r="51" spans="1:16" ht="30" x14ac:dyDescent="0.25">
      <c r="A51" s="43"/>
      <c r="B51" s="37" t="s">
        <v>50</v>
      </c>
      <c r="C51" s="37" t="s">
        <v>58</v>
      </c>
      <c r="D51" s="37" t="s">
        <v>59</v>
      </c>
      <c r="E51" s="37" t="s">
        <v>60</v>
      </c>
      <c r="F51" s="37" t="s">
        <v>61</v>
      </c>
      <c r="G51" s="37" t="s">
        <v>62</v>
      </c>
      <c r="H51" s="37" t="s">
        <v>63</v>
      </c>
      <c r="I51" s="37" t="s">
        <v>64</v>
      </c>
      <c r="M51" s="43"/>
    </row>
    <row r="52" spans="1:16" x14ac:dyDescent="0.25">
      <c r="A52" s="43"/>
      <c r="B52" s="37" t="s">
        <v>51</v>
      </c>
      <c r="C52" s="30">
        <v>1</v>
      </c>
      <c r="D52" s="30">
        <v>1</v>
      </c>
      <c r="E52" s="30">
        <v>2</v>
      </c>
      <c r="F52" s="30">
        <v>2</v>
      </c>
      <c r="G52" s="30">
        <v>2</v>
      </c>
      <c r="H52" s="30">
        <v>2</v>
      </c>
      <c r="I52" s="37">
        <v>10</v>
      </c>
      <c r="M52" s="43"/>
    </row>
    <row r="53" spans="1:16" x14ac:dyDescent="0.25">
      <c r="A53" s="43"/>
      <c r="B53" s="37" t="s">
        <v>52</v>
      </c>
      <c r="C53" s="30">
        <v>1</v>
      </c>
      <c r="D53" s="30">
        <v>1</v>
      </c>
      <c r="E53" s="30">
        <v>2</v>
      </c>
      <c r="F53" s="30">
        <v>3</v>
      </c>
      <c r="G53" s="30">
        <v>2</v>
      </c>
      <c r="H53" s="30">
        <v>2</v>
      </c>
      <c r="I53" s="37">
        <v>11</v>
      </c>
      <c r="M53" s="43"/>
      <c r="N53" s="43"/>
      <c r="O53" s="43"/>
      <c r="P53" s="43"/>
    </row>
    <row r="54" spans="1:16" x14ac:dyDescent="0.25">
      <c r="A54" s="43"/>
      <c r="B54" s="37" t="s">
        <v>53</v>
      </c>
      <c r="C54" s="30">
        <v>2</v>
      </c>
      <c r="D54" s="30">
        <v>1</v>
      </c>
      <c r="E54" s="30">
        <v>3</v>
      </c>
      <c r="F54" s="30">
        <v>3</v>
      </c>
      <c r="G54" s="30">
        <v>2</v>
      </c>
      <c r="H54" s="30">
        <v>3</v>
      </c>
      <c r="I54" s="37">
        <v>14</v>
      </c>
      <c r="M54" s="42"/>
      <c r="N54" s="42"/>
      <c r="O54" s="43"/>
      <c r="P54" s="43"/>
    </row>
    <row r="55" spans="1:16" x14ac:dyDescent="0.25">
      <c r="A55" s="43"/>
      <c r="B55" s="37" t="s">
        <v>54</v>
      </c>
      <c r="C55" s="30">
        <v>3</v>
      </c>
      <c r="D55" s="30">
        <v>2</v>
      </c>
      <c r="E55" s="30">
        <v>3</v>
      </c>
      <c r="F55" s="30">
        <v>4</v>
      </c>
      <c r="G55" s="30">
        <v>3</v>
      </c>
      <c r="H55" s="30">
        <v>3</v>
      </c>
      <c r="I55" s="37">
        <v>18</v>
      </c>
      <c r="M55" s="42"/>
      <c r="N55" s="42"/>
      <c r="O55" s="43"/>
      <c r="P55" s="43"/>
    </row>
    <row r="56" spans="1:16" x14ac:dyDescent="0.25">
      <c r="A56" s="43"/>
      <c r="B56" s="37" t="s">
        <v>55</v>
      </c>
      <c r="C56" s="30">
        <v>3</v>
      </c>
      <c r="D56" s="30">
        <v>2</v>
      </c>
      <c r="E56" s="30">
        <v>4</v>
      </c>
      <c r="F56" s="30">
        <v>4</v>
      </c>
      <c r="G56" s="30">
        <v>3</v>
      </c>
      <c r="H56" s="30">
        <v>3</v>
      </c>
      <c r="I56" s="37">
        <v>19</v>
      </c>
      <c r="M56" s="42"/>
      <c r="N56" s="42"/>
      <c r="O56" s="43"/>
      <c r="P56" s="43"/>
    </row>
    <row r="57" spans="1:16" x14ac:dyDescent="0.25">
      <c r="B57" s="37" t="s">
        <v>56</v>
      </c>
      <c r="C57" s="30">
        <v>4</v>
      </c>
      <c r="D57" s="30">
        <v>3</v>
      </c>
      <c r="E57" s="30">
        <v>4</v>
      </c>
      <c r="F57" s="30">
        <v>5</v>
      </c>
      <c r="G57" s="30">
        <v>4</v>
      </c>
      <c r="H57" s="30">
        <v>3</v>
      </c>
      <c r="I57" s="37">
        <v>23</v>
      </c>
    </row>
    <row r="58" spans="1:16" x14ac:dyDescent="0.25">
      <c r="G58" s="47"/>
      <c r="H58" s="47"/>
      <c r="I58" s="47"/>
    </row>
    <row r="59" spans="1:16" x14ac:dyDescent="0.25">
      <c r="B59" s="38" t="s">
        <v>75</v>
      </c>
      <c r="F59" s="47"/>
      <c r="G59" s="61" t="s">
        <v>112</v>
      </c>
      <c r="H59" s="62" t="s">
        <v>204</v>
      </c>
      <c r="I59" s="63"/>
    </row>
    <row r="60" spans="1:16" x14ac:dyDescent="0.25">
      <c r="F60" s="47"/>
      <c r="G60" s="64" t="s">
        <v>113</v>
      </c>
      <c r="H60" s="65" t="s">
        <v>201</v>
      </c>
      <c r="I60" s="66"/>
    </row>
    <row r="63" spans="1:16" ht="21" customHeight="1" x14ac:dyDescent="0.25">
      <c r="B63" s="59" t="s">
        <v>69</v>
      </c>
      <c r="C63" s="59"/>
      <c r="D63" s="60" t="s">
        <v>118</v>
      </c>
      <c r="E63" s="59" t="str">
        <f>IF(ISBLANK(+'Key Business Activities'!C17),"[Business activity]",+'Key Business Activities'!C17)</f>
        <v>Customer Services</v>
      </c>
      <c r="F63" s="59"/>
      <c r="G63" s="59"/>
      <c r="H63" s="59"/>
      <c r="I63" s="59"/>
    </row>
    <row r="64" spans="1:16" ht="30" x14ac:dyDescent="0.25">
      <c r="B64" s="37" t="s">
        <v>50</v>
      </c>
      <c r="C64" s="37" t="s">
        <v>58</v>
      </c>
      <c r="D64" s="37" t="s">
        <v>59</v>
      </c>
      <c r="E64" s="37" t="s">
        <v>60</v>
      </c>
      <c r="F64" s="37" t="s">
        <v>61</v>
      </c>
      <c r="G64" s="37" t="s">
        <v>62</v>
      </c>
      <c r="H64" s="37" t="s">
        <v>63</v>
      </c>
      <c r="I64" s="37" t="s">
        <v>64</v>
      </c>
    </row>
    <row r="65" spans="2:9" x14ac:dyDescent="0.25">
      <c r="B65" s="37" t="s">
        <v>51</v>
      </c>
      <c r="C65" s="30">
        <v>1</v>
      </c>
      <c r="D65" s="30">
        <v>1</v>
      </c>
      <c r="E65" s="30">
        <v>2</v>
      </c>
      <c r="F65" s="30">
        <v>1</v>
      </c>
      <c r="G65" s="30">
        <v>1</v>
      </c>
      <c r="H65" s="30">
        <v>1</v>
      </c>
      <c r="I65" s="37">
        <v>7</v>
      </c>
    </row>
    <row r="66" spans="2:9" x14ac:dyDescent="0.25">
      <c r="B66" s="37" t="s">
        <v>52</v>
      </c>
      <c r="C66" s="30">
        <v>1</v>
      </c>
      <c r="D66" s="30">
        <v>1</v>
      </c>
      <c r="E66" s="30">
        <v>3</v>
      </c>
      <c r="F66" s="30">
        <v>2</v>
      </c>
      <c r="G66" s="30">
        <v>1</v>
      </c>
      <c r="H66" s="30">
        <v>1</v>
      </c>
      <c r="I66" s="37">
        <v>9</v>
      </c>
    </row>
    <row r="67" spans="2:9" x14ac:dyDescent="0.25">
      <c r="B67" s="37" t="s">
        <v>53</v>
      </c>
      <c r="C67" s="30">
        <v>2</v>
      </c>
      <c r="D67" s="30">
        <v>2</v>
      </c>
      <c r="E67" s="30">
        <v>3</v>
      </c>
      <c r="F67" s="30">
        <v>2</v>
      </c>
      <c r="G67" s="30">
        <v>2</v>
      </c>
      <c r="H67" s="30">
        <v>1</v>
      </c>
      <c r="I67" s="37">
        <v>12</v>
      </c>
    </row>
    <row r="68" spans="2:9" x14ac:dyDescent="0.25">
      <c r="B68" s="37" t="s">
        <v>54</v>
      </c>
      <c r="C68" s="30">
        <v>2</v>
      </c>
      <c r="D68" s="30">
        <v>2</v>
      </c>
      <c r="E68" s="30">
        <v>4</v>
      </c>
      <c r="F68" s="30">
        <v>3</v>
      </c>
      <c r="G68" s="30">
        <v>2</v>
      </c>
      <c r="H68" s="30">
        <v>1</v>
      </c>
      <c r="I68" s="37">
        <v>14</v>
      </c>
    </row>
    <row r="69" spans="2:9" x14ac:dyDescent="0.25">
      <c r="B69" s="37" t="s">
        <v>55</v>
      </c>
      <c r="C69" s="30">
        <v>3</v>
      </c>
      <c r="D69" s="30">
        <v>3</v>
      </c>
      <c r="E69" s="30">
        <v>4</v>
      </c>
      <c r="F69" s="30">
        <v>3</v>
      </c>
      <c r="G69" s="30">
        <v>3</v>
      </c>
      <c r="H69" s="30">
        <v>1</v>
      </c>
      <c r="I69" s="37">
        <v>17</v>
      </c>
    </row>
    <row r="70" spans="2:9" x14ac:dyDescent="0.25">
      <c r="B70" s="37" t="s">
        <v>56</v>
      </c>
      <c r="C70" s="30">
        <v>4</v>
      </c>
      <c r="D70" s="30">
        <v>3</v>
      </c>
      <c r="E70" s="30">
        <v>5</v>
      </c>
      <c r="F70" s="30">
        <v>4</v>
      </c>
      <c r="G70" s="30">
        <v>4</v>
      </c>
      <c r="H70" s="30">
        <v>1</v>
      </c>
      <c r="I70" s="37">
        <v>21</v>
      </c>
    </row>
    <row r="71" spans="2:9" x14ac:dyDescent="0.25">
      <c r="G71" s="47"/>
      <c r="H71" s="47"/>
      <c r="I71" s="47"/>
    </row>
    <row r="72" spans="2:9" x14ac:dyDescent="0.25">
      <c r="B72" s="38" t="s">
        <v>75</v>
      </c>
      <c r="F72" s="47"/>
      <c r="G72" s="61" t="s">
        <v>112</v>
      </c>
      <c r="H72" s="62" t="s">
        <v>205</v>
      </c>
      <c r="I72" s="63"/>
    </row>
    <row r="73" spans="2:9" x14ac:dyDescent="0.25">
      <c r="F73" s="47"/>
      <c r="G73" s="64" t="s">
        <v>113</v>
      </c>
      <c r="H73" s="65" t="s">
        <v>201</v>
      </c>
      <c r="I73" s="66"/>
    </row>
    <row r="76" spans="2:9" ht="21" customHeight="1" x14ac:dyDescent="0.25">
      <c r="B76" s="59" t="s">
        <v>70</v>
      </c>
      <c r="C76" s="59"/>
      <c r="D76" s="60" t="s">
        <v>118</v>
      </c>
      <c r="E76" s="59" t="str">
        <f>IF(ISBLANK(+'Key Business Activities'!C18),"[Business activity]",+'Key Business Activities'!C18)</f>
        <v>Product Development</v>
      </c>
      <c r="F76" s="59"/>
      <c r="G76" s="59"/>
      <c r="H76" s="59"/>
      <c r="I76" s="59"/>
    </row>
    <row r="77" spans="2:9" ht="30" x14ac:dyDescent="0.25">
      <c r="B77" s="37" t="s">
        <v>50</v>
      </c>
      <c r="C77" s="37" t="s">
        <v>58</v>
      </c>
      <c r="D77" s="37" t="s">
        <v>59</v>
      </c>
      <c r="E77" s="37" t="s">
        <v>60</v>
      </c>
      <c r="F77" s="37" t="s">
        <v>61</v>
      </c>
      <c r="G77" s="37" t="s">
        <v>62</v>
      </c>
      <c r="H77" s="37" t="s">
        <v>63</v>
      </c>
      <c r="I77" s="37" t="s">
        <v>64</v>
      </c>
    </row>
    <row r="78" spans="2:9" x14ac:dyDescent="0.25">
      <c r="B78" s="37" t="s">
        <v>51</v>
      </c>
      <c r="C78" s="30">
        <v>1</v>
      </c>
      <c r="D78" s="30">
        <v>1</v>
      </c>
      <c r="E78" s="30">
        <v>1</v>
      </c>
      <c r="F78" s="30">
        <v>1</v>
      </c>
      <c r="G78" s="30">
        <v>1</v>
      </c>
      <c r="H78" s="30">
        <v>1</v>
      </c>
      <c r="I78" s="37">
        <v>6</v>
      </c>
    </row>
    <row r="79" spans="2:9" x14ac:dyDescent="0.25">
      <c r="B79" s="37" t="s">
        <v>52</v>
      </c>
      <c r="C79" s="30">
        <v>1</v>
      </c>
      <c r="D79" s="30">
        <v>1</v>
      </c>
      <c r="E79" s="30">
        <v>1</v>
      </c>
      <c r="F79" s="30">
        <v>1</v>
      </c>
      <c r="G79" s="30">
        <v>1</v>
      </c>
      <c r="H79" s="30">
        <v>1</v>
      </c>
      <c r="I79" s="37">
        <v>6</v>
      </c>
    </row>
    <row r="80" spans="2:9" x14ac:dyDescent="0.25">
      <c r="B80" s="37" t="s">
        <v>53</v>
      </c>
      <c r="C80" s="30">
        <v>1</v>
      </c>
      <c r="D80" s="30">
        <v>1</v>
      </c>
      <c r="E80" s="30">
        <v>1</v>
      </c>
      <c r="F80" s="30">
        <v>1</v>
      </c>
      <c r="G80" s="30">
        <v>2</v>
      </c>
      <c r="H80" s="30">
        <v>1</v>
      </c>
      <c r="I80" s="37">
        <v>7</v>
      </c>
    </row>
    <row r="81" spans="2:9" x14ac:dyDescent="0.25">
      <c r="B81" s="37" t="s">
        <v>54</v>
      </c>
      <c r="C81" s="30">
        <v>2</v>
      </c>
      <c r="D81" s="30">
        <v>2</v>
      </c>
      <c r="E81" s="30">
        <v>2</v>
      </c>
      <c r="F81" s="30">
        <v>2</v>
      </c>
      <c r="G81" s="30">
        <v>2</v>
      </c>
      <c r="H81" s="30">
        <v>1</v>
      </c>
      <c r="I81" s="37">
        <v>11</v>
      </c>
    </row>
    <row r="82" spans="2:9" x14ac:dyDescent="0.25">
      <c r="B82" s="37" t="s">
        <v>55</v>
      </c>
      <c r="C82" s="30">
        <v>2</v>
      </c>
      <c r="D82" s="30">
        <v>2</v>
      </c>
      <c r="E82" s="30">
        <v>2</v>
      </c>
      <c r="F82" s="30">
        <v>2</v>
      </c>
      <c r="G82" s="30">
        <v>3</v>
      </c>
      <c r="H82" s="30">
        <v>1</v>
      </c>
      <c r="I82" s="37">
        <v>12</v>
      </c>
    </row>
    <row r="83" spans="2:9" x14ac:dyDescent="0.25">
      <c r="B83" s="37" t="s">
        <v>56</v>
      </c>
      <c r="C83" s="30">
        <v>3</v>
      </c>
      <c r="D83" s="30">
        <v>2</v>
      </c>
      <c r="E83" s="30">
        <v>3</v>
      </c>
      <c r="F83" s="30">
        <v>3</v>
      </c>
      <c r="G83" s="30">
        <v>3</v>
      </c>
      <c r="H83" s="30">
        <v>1</v>
      </c>
      <c r="I83" s="37">
        <v>15</v>
      </c>
    </row>
    <row r="84" spans="2:9" x14ac:dyDescent="0.25">
      <c r="G84" s="47"/>
      <c r="H84" s="47"/>
      <c r="I84" s="47"/>
    </row>
    <row r="85" spans="2:9" x14ac:dyDescent="0.25">
      <c r="B85" s="38" t="s">
        <v>75</v>
      </c>
      <c r="F85" s="47"/>
      <c r="G85" s="61" t="s">
        <v>112</v>
      </c>
      <c r="H85" s="62" t="s">
        <v>206</v>
      </c>
      <c r="I85" s="63"/>
    </row>
    <row r="86" spans="2:9" x14ac:dyDescent="0.25">
      <c r="F86" s="47"/>
      <c r="G86" s="64" t="s">
        <v>113</v>
      </c>
      <c r="H86" s="65" t="s">
        <v>201</v>
      </c>
      <c r="I86" s="66"/>
    </row>
    <row r="89" spans="2:9" ht="21" customHeight="1" x14ac:dyDescent="0.25">
      <c r="B89" s="59" t="s">
        <v>71</v>
      </c>
      <c r="C89" s="59"/>
      <c r="D89" s="60" t="s">
        <v>118</v>
      </c>
      <c r="E89" s="59" t="str">
        <f>IF(ISBLANK(+'Key Business Activities'!C19),"[Business activity]",+'Key Business Activities'!C19)</f>
        <v>Website sales</v>
      </c>
      <c r="F89" s="59"/>
      <c r="G89" s="59"/>
      <c r="H89" s="59"/>
      <c r="I89" s="59"/>
    </row>
    <row r="90" spans="2:9" ht="30" x14ac:dyDescent="0.25">
      <c r="B90" s="37" t="s">
        <v>50</v>
      </c>
      <c r="C90" s="37" t="s">
        <v>58</v>
      </c>
      <c r="D90" s="37" t="s">
        <v>59</v>
      </c>
      <c r="E90" s="37" t="s">
        <v>60</v>
      </c>
      <c r="F90" s="37" t="s">
        <v>61</v>
      </c>
      <c r="G90" s="37" t="s">
        <v>62</v>
      </c>
      <c r="H90" s="37" t="s">
        <v>63</v>
      </c>
      <c r="I90" s="37" t="s">
        <v>64</v>
      </c>
    </row>
    <row r="91" spans="2:9" x14ac:dyDescent="0.25">
      <c r="B91" s="37" t="s">
        <v>51</v>
      </c>
      <c r="C91" s="30">
        <v>1</v>
      </c>
      <c r="D91" s="30">
        <v>1</v>
      </c>
      <c r="E91" s="30">
        <v>3</v>
      </c>
      <c r="F91" s="30">
        <v>3</v>
      </c>
      <c r="G91" s="30">
        <v>2</v>
      </c>
      <c r="H91" s="30">
        <v>1</v>
      </c>
      <c r="I91" s="37">
        <v>11</v>
      </c>
    </row>
    <row r="92" spans="2:9" x14ac:dyDescent="0.25">
      <c r="B92" s="37" t="s">
        <v>52</v>
      </c>
      <c r="C92" s="30">
        <v>2</v>
      </c>
      <c r="D92" s="30">
        <v>1</v>
      </c>
      <c r="E92" s="30">
        <v>3</v>
      </c>
      <c r="F92" s="30">
        <v>3</v>
      </c>
      <c r="G92" s="30">
        <v>2</v>
      </c>
      <c r="H92" s="30">
        <v>1</v>
      </c>
      <c r="I92" s="37">
        <v>12</v>
      </c>
    </row>
    <row r="93" spans="2:9" x14ac:dyDescent="0.25">
      <c r="B93" s="37" t="s">
        <v>53</v>
      </c>
      <c r="C93" s="30">
        <v>2</v>
      </c>
      <c r="D93" s="30">
        <v>2</v>
      </c>
      <c r="E93" s="30">
        <v>4</v>
      </c>
      <c r="F93" s="30">
        <v>4</v>
      </c>
      <c r="G93" s="30">
        <v>3</v>
      </c>
      <c r="H93" s="30">
        <v>1</v>
      </c>
      <c r="I93" s="37">
        <v>16</v>
      </c>
    </row>
    <row r="94" spans="2:9" x14ac:dyDescent="0.25">
      <c r="B94" s="37" t="s">
        <v>54</v>
      </c>
      <c r="C94" s="30">
        <v>3</v>
      </c>
      <c r="D94" s="30">
        <v>2</v>
      </c>
      <c r="E94" s="30">
        <v>4</v>
      </c>
      <c r="F94" s="30">
        <v>4</v>
      </c>
      <c r="G94" s="30">
        <v>3</v>
      </c>
      <c r="H94" s="30">
        <v>1</v>
      </c>
      <c r="I94" s="37">
        <v>17</v>
      </c>
    </row>
    <row r="95" spans="2:9" x14ac:dyDescent="0.25">
      <c r="B95" s="37" t="s">
        <v>55</v>
      </c>
      <c r="C95" s="30">
        <v>3</v>
      </c>
      <c r="D95" s="30">
        <v>2</v>
      </c>
      <c r="E95" s="30">
        <v>4</v>
      </c>
      <c r="F95" s="30">
        <v>4</v>
      </c>
      <c r="G95" s="30">
        <v>3</v>
      </c>
      <c r="H95" s="30">
        <v>1</v>
      </c>
      <c r="I95" s="37">
        <v>17</v>
      </c>
    </row>
    <row r="96" spans="2:9" x14ac:dyDescent="0.25">
      <c r="B96" s="37" t="s">
        <v>56</v>
      </c>
      <c r="C96" s="30">
        <v>3</v>
      </c>
      <c r="D96" s="30">
        <v>2</v>
      </c>
      <c r="E96" s="30">
        <v>5</v>
      </c>
      <c r="F96" s="30">
        <v>5</v>
      </c>
      <c r="G96" s="30">
        <v>4</v>
      </c>
      <c r="H96" s="30">
        <v>1</v>
      </c>
      <c r="I96" s="37">
        <v>20</v>
      </c>
    </row>
    <row r="97" spans="2:9" x14ac:dyDescent="0.25">
      <c r="G97" s="47"/>
      <c r="H97" s="47"/>
      <c r="I97" s="47"/>
    </row>
    <row r="98" spans="2:9" x14ac:dyDescent="0.25">
      <c r="B98" s="38" t="s">
        <v>75</v>
      </c>
      <c r="F98" s="47"/>
      <c r="G98" s="61" t="s">
        <v>112</v>
      </c>
      <c r="H98" s="62" t="s">
        <v>200</v>
      </c>
      <c r="I98" s="63"/>
    </row>
    <row r="99" spans="2:9" x14ac:dyDescent="0.25">
      <c r="F99" s="47"/>
      <c r="G99" s="64" t="s">
        <v>113</v>
      </c>
      <c r="H99" s="65" t="s">
        <v>201</v>
      </c>
      <c r="I99" s="66"/>
    </row>
    <row r="102" spans="2:9" ht="21" customHeight="1" x14ac:dyDescent="0.25">
      <c r="B102" s="59" t="s">
        <v>72</v>
      </c>
      <c r="C102" s="59"/>
      <c r="D102" s="60" t="s">
        <v>118</v>
      </c>
      <c r="E102" s="59" t="str">
        <f>IF(ISBLANK(+'Key Business Activities'!C20),"[Business activity]",+'Key Business Activities'!C20)</f>
        <v>[Business activity]</v>
      </c>
      <c r="F102" s="59"/>
      <c r="G102" s="59"/>
      <c r="H102" s="59"/>
      <c r="I102" s="59"/>
    </row>
    <row r="103" spans="2:9" ht="30" x14ac:dyDescent="0.25">
      <c r="B103" s="37" t="s">
        <v>50</v>
      </c>
      <c r="C103" s="37" t="s">
        <v>58</v>
      </c>
      <c r="D103" s="37" t="s">
        <v>59</v>
      </c>
      <c r="E103" s="37" t="s">
        <v>60</v>
      </c>
      <c r="F103" s="37" t="s">
        <v>61</v>
      </c>
      <c r="G103" s="37" t="s">
        <v>62</v>
      </c>
      <c r="H103" s="37" t="s">
        <v>63</v>
      </c>
      <c r="I103" s="37" t="s">
        <v>64</v>
      </c>
    </row>
    <row r="104" spans="2:9" x14ac:dyDescent="0.25">
      <c r="B104" s="37" t="s">
        <v>51</v>
      </c>
      <c r="C104" s="30" t="s">
        <v>0</v>
      </c>
      <c r="D104" s="30" t="s">
        <v>0</v>
      </c>
      <c r="E104" s="30" t="s">
        <v>0</v>
      </c>
      <c r="F104" s="30" t="s">
        <v>0</v>
      </c>
      <c r="G104" s="30" t="s">
        <v>0</v>
      </c>
      <c r="H104" s="30" t="s">
        <v>0</v>
      </c>
      <c r="I104" s="37">
        <f>SUM(Impact8[[#This Row],[Impact on staff or public well-being]:[Environmental damage]])</f>
        <v>0</v>
      </c>
    </row>
    <row r="105" spans="2:9" x14ac:dyDescent="0.25">
      <c r="B105" s="37" t="s">
        <v>52</v>
      </c>
      <c r="C105" s="30" t="s">
        <v>0</v>
      </c>
      <c r="D105" s="30" t="s">
        <v>0</v>
      </c>
      <c r="E105" s="30" t="s">
        <v>0</v>
      </c>
      <c r="F105" s="30" t="s">
        <v>0</v>
      </c>
      <c r="G105" s="30" t="s">
        <v>0</v>
      </c>
      <c r="H105" s="30" t="s">
        <v>0</v>
      </c>
      <c r="I105" s="37">
        <f>SUM(Impact8[[#This Row],[Impact on staff or public well-being]:[Environmental damage]])</f>
        <v>0</v>
      </c>
    </row>
    <row r="106" spans="2:9" x14ac:dyDescent="0.25">
      <c r="B106" s="37" t="s">
        <v>53</v>
      </c>
      <c r="C106" s="30" t="s">
        <v>0</v>
      </c>
      <c r="D106" s="30" t="s">
        <v>0</v>
      </c>
      <c r="E106" s="30" t="s">
        <v>0</v>
      </c>
      <c r="F106" s="30" t="s">
        <v>0</v>
      </c>
      <c r="G106" s="30" t="s">
        <v>0</v>
      </c>
      <c r="H106" s="30" t="s">
        <v>0</v>
      </c>
      <c r="I106" s="37">
        <f>SUM(Impact8[[#This Row],[Impact on staff or public well-being]:[Environmental damage]])</f>
        <v>0</v>
      </c>
    </row>
    <row r="107" spans="2:9" x14ac:dyDescent="0.25">
      <c r="B107" s="37" t="s">
        <v>54</v>
      </c>
      <c r="C107" s="30" t="s">
        <v>0</v>
      </c>
      <c r="D107" s="30" t="s">
        <v>0</v>
      </c>
      <c r="E107" s="30" t="s">
        <v>0</v>
      </c>
      <c r="F107" s="30" t="s">
        <v>0</v>
      </c>
      <c r="G107" s="30" t="s">
        <v>0</v>
      </c>
      <c r="H107" s="30" t="s">
        <v>0</v>
      </c>
      <c r="I107" s="37">
        <f>SUM(Impact8[[#This Row],[Impact on staff or public well-being]:[Environmental damage]])</f>
        <v>0</v>
      </c>
    </row>
    <row r="108" spans="2:9" x14ac:dyDescent="0.25">
      <c r="B108" s="37" t="s">
        <v>55</v>
      </c>
      <c r="C108" s="30" t="s">
        <v>0</v>
      </c>
      <c r="D108" s="30" t="s">
        <v>0</v>
      </c>
      <c r="E108" s="30" t="s">
        <v>0</v>
      </c>
      <c r="F108" s="30" t="s">
        <v>0</v>
      </c>
      <c r="G108" s="30" t="s">
        <v>0</v>
      </c>
      <c r="H108" s="30" t="s">
        <v>0</v>
      </c>
      <c r="I108" s="37">
        <f>SUM(Impact8[[#This Row],[Impact on staff or public well-being]:[Environmental damage]])</f>
        <v>0</v>
      </c>
    </row>
    <row r="109" spans="2:9" x14ac:dyDescent="0.25">
      <c r="B109" s="37" t="s">
        <v>56</v>
      </c>
      <c r="C109" s="30" t="s">
        <v>0</v>
      </c>
      <c r="D109" s="30" t="s">
        <v>0</v>
      </c>
      <c r="E109" s="30" t="s">
        <v>0</v>
      </c>
      <c r="F109" s="30" t="s">
        <v>0</v>
      </c>
      <c r="G109" s="30" t="s">
        <v>0</v>
      </c>
      <c r="H109" s="30" t="s">
        <v>0</v>
      </c>
      <c r="I109" s="37">
        <f>SUM(Impact8[[#This Row],[Impact on staff or public well-being]:[Environmental damage]])</f>
        <v>0</v>
      </c>
    </row>
    <row r="110" spans="2:9" x14ac:dyDescent="0.25">
      <c r="G110" s="47"/>
      <c r="H110" s="47"/>
      <c r="I110" s="47"/>
    </row>
    <row r="111" spans="2:9" x14ac:dyDescent="0.25">
      <c r="B111" s="38" t="s">
        <v>75</v>
      </c>
      <c r="F111" s="47"/>
      <c r="G111" s="61" t="s">
        <v>112</v>
      </c>
      <c r="H111" s="62" t="s">
        <v>114</v>
      </c>
      <c r="I111" s="63"/>
    </row>
    <row r="112" spans="2:9" x14ac:dyDescent="0.25">
      <c r="F112" s="47"/>
      <c r="G112" s="64" t="s">
        <v>113</v>
      </c>
      <c r="H112" s="65" t="s">
        <v>115</v>
      </c>
      <c r="I112" s="66"/>
    </row>
    <row r="115" spans="2:9" ht="21" customHeight="1" x14ac:dyDescent="0.25">
      <c r="B115" s="59" t="s">
        <v>73</v>
      </c>
      <c r="C115" s="59"/>
      <c r="D115" s="60" t="s">
        <v>118</v>
      </c>
      <c r="E115" s="59" t="str">
        <f>IF(ISBLANK(+'Key Business Activities'!C21),"[Business activity]",+'Key Business Activities'!C21)</f>
        <v>[Business activity]</v>
      </c>
      <c r="F115" s="59"/>
      <c r="G115" s="59"/>
      <c r="H115" s="59"/>
      <c r="I115" s="59"/>
    </row>
    <row r="116" spans="2:9" ht="30" x14ac:dyDescent="0.25">
      <c r="B116" s="37" t="s">
        <v>50</v>
      </c>
      <c r="C116" s="37" t="s">
        <v>58</v>
      </c>
      <c r="D116" s="37" t="s">
        <v>59</v>
      </c>
      <c r="E116" s="37" t="s">
        <v>60</v>
      </c>
      <c r="F116" s="37" t="s">
        <v>61</v>
      </c>
      <c r="G116" s="37" t="s">
        <v>62</v>
      </c>
      <c r="H116" s="37" t="s">
        <v>63</v>
      </c>
      <c r="I116" s="37" t="s">
        <v>64</v>
      </c>
    </row>
    <row r="117" spans="2:9" x14ac:dyDescent="0.25">
      <c r="B117" s="37" t="s">
        <v>51</v>
      </c>
      <c r="C117" s="30" t="s">
        <v>0</v>
      </c>
      <c r="D117" s="30" t="s">
        <v>0</v>
      </c>
      <c r="E117" s="30" t="s">
        <v>0</v>
      </c>
      <c r="F117" s="30" t="s">
        <v>0</v>
      </c>
      <c r="G117" s="30" t="s">
        <v>0</v>
      </c>
      <c r="H117" s="30" t="s">
        <v>0</v>
      </c>
      <c r="I117" s="37">
        <f>SUM(Impact9[[#This Row],[Impact on staff or public well-being]:[Environmental damage]])</f>
        <v>0</v>
      </c>
    </row>
    <row r="118" spans="2:9" x14ac:dyDescent="0.25">
      <c r="B118" s="37" t="s">
        <v>52</v>
      </c>
      <c r="C118" s="30" t="s">
        <v>0</v>
      </c>
      <c r="D118" s="30" t="s">
        <v>0</v>
      </c>
      <c r="E118" s="30" t="s">
        <v>0</v>
      </c>
      <c r="F118" s="30" t="s">
        <v>0</v>
      </c>
      <c r="G118" s="30" t="s">
        <v>0</v>
      </c>
      <c r="H118" s="30" t="s">
        <v>0</v>
      </c>
      <c r="I118" s="37">
        <f>SUM(Impact9[[#This Row],[Impact on staff or public well-being]:[Environmental damage]])</f>
        <v>0</v>
      </c>
    </row>
    <row r="119" spans="2:9" x14ac:dyDescent="0.25">
      <c r="B119" s="37" t="s">
        <v>53</v>
      </c>
      <c r="C119" s="30" t="s">
        <v>0</v>
      </c>
      <c r="D119" s="30" t="s">
        <v>0</v>
      </c>
      <c r="E119" s="30" t="s">
        <v>0</v>
      </c>
      <c r="F119" s="30" t="s">
        <v>0</v>
      </c>
      <c r="G119" s="30" t="s">
        <v>0</v>
      </c>
      <c r="H119" s="30" t="s">
        <v>0</v>
      </c>
      <c r="I119" s="37">
        <f>SUM(Impact9[[#This Row],[Impact on staff or public well-being]:[Environmental damage]])</f>
        <v>0</v>
      </c>
    </row>
    <row r="120" spans="2:9" x14ac:dyDescent="0.25">
      <c r="B120" s="37" t="s">
        <v>54</v>
      </c>
      <c r="C120" s="30" t="s">
        <v>0</v>
      </c>
      <c r="D120" s="30" t="s">
        <v>0</v>
      </c>
      <c r="E120" s="30" t="s">
        <v>0</v>
      </c>
      <c r="F120" s="30" t="s">
        <v>0</v>
      </c>
      <c r="G120" s="30" t="s">
        <v>0</v>
      </c>
      <c r="H120" s="30" t="s">
        <v>0</v>
      </c>
      <c r="I120" s="37">
        <f>SUM(Impact9[[#This Row],[Impact on staff or public well-being]:[Environmental damage]])</f>
        <v>0</v>
      </c>
    </row>
    <row r="121" spans="2:9" x14ac:dyDescent="0.25">
      <c r="B121" s="37" t="s">
        <v>55</v>
      </c>
      <c r="C121" s="30" t="s">
        <v>0</v>
      </c>
      <c r="D121" s="30" t="s">
        <v>0</v>
      </c>
      <c r="E121" s="30" t="s">
        <v>0</v>
      </c>
      <c r="F121" s="30" t="s">
        <v>0</v>
      </c>
      <c r="G121" s="30" t="s">
        <v>0</v>
      </c>
      <c r="H121" s="30" t="s">
        <v>0</v>
      </c>
      <c r="I121" s="37">
        <f>SUM(Impact9[[#This Row],[Impact on staff or public well-being]:[Environmental damage]])</f>
        <v>0</v>
      </c>
    </row>
    <row r="122" spans="2:9" x14ac:dyDescent="0.25">
      <c r="B122" s="37" t="s">
        <v>56</v>
      </c>
      <c r="C122" s="30" t="s">
        <v>0</v>
      </c>
      <c r="D122" s="30" t="s">
        <v>0</v>
      </c>
      <c r="E122" s="30" t="s">
        <v>0</v>
      </c>
      <c r="F122" s="30" t="s">
        <v>0</v>
      </c>
      <c r="G122" s="30" t="s">
        <v>0</v>
      </c>
      <c r="H122" s="30" t="s">
        <v>0</v>
      </c>
      <c r="I122" s="37">
        <f>SUM(Impact9[[#This Row],[Impact on staff or public well-being]:[Environmental damage]])</f>
        <v>0</v>
      </c>
    </row>
    <row r="123" spans="2:9" x14ac:dyDescent="0.25">
      <c r="B123" s="43"/>
      <c r="C123" s="43"/>
      <c r="D123" s="43"/>
      <c r="E123" s="43"/>
      <c r="G123" s="47"/>
      <c r="H123" s="47"/>
      <c r="I123" s="47"/>
    </row>
    <row r="124" spans="2:9" x14ac:dyDescent="0.25">
      <c r="B124" s="38" t="s">
        <v>75</v>
      </c>
      <c r="C124" s="43"/>
      <c r="D124" s="43"/>
      <c r="E124" s="43"/>
      <c r="F124" s="47"/>
      <c r="G124" s="61" t="s">
        <v>112</v>
      </c>
      <c r="H124" s="62" t="s">
        <v>114</v>
      </c>
      <c r="I124" s="63"/>
    </row>
    <row r="125" spans="2:9" x14ac:dyDescent="0.25">
      <c r="B125" s="43"/>
      <c r="C125" s="43"/>
      <c r="D125" s="43"/>
      <c r="E125" s="43"/>
      <c r="F125" s="47"/>
      <c r="G125" s="64" t="s">
        <v>113</v>
      </c>
      <c r="H125" s="65" t="s">
        <v>115</v>
      </c>
      <c r="I125" s="66"/>
    </row>
    <row r="126" spans="2:9" x14ac:dyDescent="0.25">
      <c r="B126" s="43"/>
      <c r="C126" s="43"/>
      <c r="D126" s="43"/>
      <c r="E126" s="43"/>
    </row>
    <row r="127" spans="2:9" x14ac:dyDescent="0.25">
      <c r="B127" s="43"/>
      <c r="C127" s="43"/>
      <c r="D127" s="43"/>
      <c r="E127" s="43"/>
      <c r="F127" s="43"/>
      <c r="G127" s="42"/>
      <c r="H127" s="42"/>
      <c r="I127" s="42"/>
    </row>
    <row r="128" spans="2:9" ht="21" customHeight="1" x14ac:dyDescent="0.25">
      <c r="B128" s="59" t="s">
        <v>74</v>
      </c>
      <c r="C128" s="59"/>
      <c r="D128" s="60" t="s">
        <v>118</v>
      </c>
      <c r="E128" s="59" t="str">
        <f>IF(ISBLANK(+'Key Business Activities'!C22),"[Business activity]",+'Key Business Activities'!C22)</f>
        <v>[Business activity]</v>
      </c>
      <c r="F128" s="59"/>
      <c r="G128" s="59"/>
      <c r="H128" s="59"/>
      <c r="I128" s="59"/>
    </row>
    <row r="129" spans="2:9" ht="30" x14ac:dyDescent="0.25">
      <c r="B129" s="37" t="s">
        <v>50</v>
      </c>
      <c r="C129" s="37" t="s">
        <v>58</v>
      </c>
      <c r="D129" s="37" t="s">
        <v>59</v>
      </c>
      <c r="E129" s="37" t="s">
        <v>60</v>
      </c>
      <c r="F129" s="37" t="s">
        <v>61</v>
      </c>
      <c r="G129" s="37" t="s">
        <v>62</v>
      </c>
      <c r="H129" s="37" t="s">
        <v>63</v>
      </c>
      <c r="I129" s="37" t="s">
        <v>64</v>
      </c>
    </row>
    <row r="130" spans="2:9" x14ac:dyDescent="0.25">
      <c r="B130" s="37" t="s">
        <v>51</v>
      </c>
      <c r="C130" s="30" t="s">
        <v>0</v>
      </c>
      <c r="D130" s="30" t="s">
        <v>0</v>
      </c>
      <c r="E130" s="30" t="s">
        <v>0</v>
      </c>
      <c r="F130" s="30" t="s">
        <v>0</v>
      </c>
      <c r="G130" s="30" t="s">
        <v>0</v>
      </c>
      <c r="H130" s="30" t="s">
        <v>0</v>
      </c>
      <c r="I130" s="37">
        <f>SUM(Impact10[[#This Row],[Impact on staff or public well-being]:[Environmental damage]])</f>
        <v>0</v>
      </c>
    </row>
    <row r="131" spans="2:9" x14ac:dyDescent="0.25">
      <c r="B131" s="37" t="s">
        <v>52</v>
      </c>
      <c r="C131" s="30" t="s">
        <v>0</v>
      </c>
      <c r="D131" s="30" t="s">
        <v>0</v>
      </c>
      <c r="E131" s="30" t="s">
        <v>0</v>
      </c>
      <c r="F131" s="30" t="s">
        <v>0</v>
      </c>
      <c r="G131" s="30" t="s">
        <v>0</v>
      </c>
      <c r="H131" s="30" t="s">
        <v>0</v>
      </c>
      <c r="I131" s="37">
        <f>SUM(Impact10[[#This Row],[Impact on staff or public well-being]:[Environmental damage]])</f>
        <v>0</v>
      </c>
    </row>
    <row r="132" spans="2:9" x14ac:dyDescent="0.25">
      <c r="B132" s="37" t="s">
        <v>53</v>
      </c>
      <c r="C132" s="30" t="s">
        <v>0</v>
      </c>
      <c r="D132" s="30" t="s">
        <v>0</v>
      </c>
      <c r="E132" s="30" t="s">
        <v>0</v>
      </c>
      <c r="F132" s="30" t="s">
        <v>0</v>
      </c>
      <c r="G132" s="30" t="s">
        <v>0</v>
      </c>
      <c r="H132" s="30" t="s">
        <v>0</v>
      </c>
      <c r="I132" s="37">
        <f>SUM(Impact10[[#This Row],[Impact on staff or public well-being]:[Environmental damage]])</f>
        <v>0</v>
      </c>
    </row>
    <row r="133" spans="2:9" x14ac:dyDescent="0.25">
      <c r="B133" s="37" t="s">
        <v>54</v>
      </c>
      <c r="C133" s="30" t="s">
        <v>0</v>
      </c>
      <c r="D133" s="30" t="s">
        <v>0</v>
      </c>
      <c r="E133" s="30" t="s">
        <v>0</v>
      </c>
      <c r="F133" s="30" t="s">
        <v>0</v>
      </c>
      <c r="G133" s="30" t="s">
        <v>0</v>
      </c>
      <c r="H133" s="30" t="s">
        <v>0</v>
      </c>
      <c r="I133" s="37">
        <f>SUM(Impact10[[#This Row],[Impact on staff or public well-being]:[Environmental damage]])</f>
        <v>0</v>
      </c>
    </row>
    <row r="134" spans="2:9" x14ac:dyDescent="0.25">
      <c r="B134" s="37" t="s">
        <v>55</v>
      </c>
      <c r="C134" s="30" t="s">
        <v>0</v>
      </c>
      <c r="D134" s="30" t="s">
        <v>0</v>
      </c>
      <c r="E134" s="30" t="s">
        <v>0</v>
      </c>
      <c r="F134" s="30" t="s">
        <v>0</v>
      </c>
      <c r="G134" s="30" t="s">
        <v>0</v>
      </c>
      <c r="H134" s="30" t="s">
        <v>0</v>
      </c>
      <c r="I134" s="37">
        <f>SUM(Impact10[[#This Row],[Impact on staff or public well-being]:[Environmental damage]])</f>
        <v>0</v>
      </c>
    </row>
    <row r="135" spans="2:9" x14ac:dyDescent="0.25">
      <c r="B135" s="37" t="s">
        <v>56</v>
      </c>
      <c r="C135" s="30" t="s">
        <v>0</v>
      </c>
      <c r="D135" s="30" t="s">
        <v>0</v>
      </c>
      <c r="E135" s="30" t="s">
        <v>0</v>
      </c>
      <c r="F135" s="30" t="s">
        <v>0</v>
      </c>
      <c r="G135" s="30" t="s">
        <v>0</v>
      </c>
      <c r="H135" s="30" t="s">
        <v>0</v>
      </c>
      <c r="I135" s="37">
        <f>SUM(Impact10[[#This Row],[Impact on staff or public well-being]:[Environmental damage]])</f>
        <v>0</v>
      </c>
    </row>
    <row r="136" spans="2:9" x14ac:dyDescent="0.25">
      <c r="G136" s="47"/>
      <c r="H136" s="47"/>
      <c r="I136" s="47"/>
    </row>
    <row r="137" spans="2:9" x14ac:dyDescent="0.25">
      <c r="B137" s="38" t="s">
        <v>75</v>
      </c>
      <c r="F137" s="47"/>
      <c r="G137" s="61" t="s">
        <v>112</v>
      </c>
      <c r="H137" s="62" t="s">
        <v>114</v>
      </c>
      <c r="I137" s="63"/>
    </row>
    <row r="138" spans="2:9" x14ac:dyDescent="0.25">
      <c r="F138" s="47"/>
      <c r="G138" s="64" t="s">
        <v>113</v>
      </c>
      <c r="H138" s="65" t="s">
        <v>115</v>
      </c>
      <c r="I138" s="66"/>
    </row>
    <row r="140" spans="2:9" x14ac:dyDescent="0.25">
      <c r="F140" s="43"/>
      <c r="G140" s="42"/>
      <c r="H140" s="42"/>
      <c r="I140" s="42"/>
    </row>
  </sheetData>
  <pageMargins left="0.23622047244094491" right="0.23622047244094491" top="0.39370078740157483" bottom="0.39370078740157483" header="0.31496062992125984" footer="0.31496062992125984"/>
  <pageSetup paperSize="9" scale="99" orientation="landscape" horizontalDpi="1200" verticalDpi="1200" r:id="rId1"/>
  <headerFooter>
    <oddFooter>&amp;L&amp;D&amp;CPage &amp;P of &amp;N</oddFooter>
  </headerFooter>
  <rowBreaks count="4" manualBreakCount="4">
    <brk id="34" max="16383" man="1"/>
    <brk id="61" max="16383" man="1"/>
    <brk id="87" max="16383" man="1"/>
    <brk id="113" max="16383" man="1"/>
  </rowBreaks>
  <drawing r:id="rId2"/>
  <tableParts count="10">
    <tablePart r:id="rId3"/>
    <tablePart r:id="rId4"/>
    <tablePart r:id="rId5"/>
    <tablePart r:id="rId6"/>
    <tablePart r:id="rId7"/>
    <tablePart r:id="rId8"/>
    <tablePart r:id="rId9"/>
    <tablePart r:id="rId10"/>
    <tablePart r:id="rId11"/>
    <tablePart r:id="rId12"/>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24BD273-9288-4DDB-AAC6-4D41C2596FC8}">
          <x14:formula1>
            <xm:f>Tables!$A$2:$A$7</xm:f>
          </x14:formula1>
          <xm:sqref>C13:H18 C130:H135 C26:H31 C52:H57 C65:H70 C78:H83 C91:H96 C104:H109 C117:H122 C39:H44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70E02-2A38-4B70-8BE4-D0E25AC8885B}">
  <sheetPr>
    <pageSetUpPr fitToPage="1"/>
  </sheetPr>
  <dimension ref="A2:Q32"/>
  <sheetViews>
    <sheetView showGridLines="0" zoomScaleNormal="100" workbookViewId="0"/>
  </sheetViews>
  <sheetFormatPr defaultRowHeight="15" x14ac:dyDescent="0.25"/>
  <cols>
    <col min="1" max="1" width="2.85546875" style="7" customWidth="1"/>
    <col min="2" max="2" width="5" style="7" customWidth="1"/>
    <col min="3" max="7" width="21.42578125" style="7" customWidth="1"/>
    <col min="8" max="8" width="9.140625" style="7"/>
    <col min="9" max="9" width="58.5703125" style="7" customWidth="1"/>
    <col min="10" max="16384" width="9.140625" style="7"/>
  </cols>
  <sheetData>
    <row r="2" spans="1:9" x14ac:dyDescent="0.25">
      <c r="B2" s="8"/>
    </row>
    <row r="3" spans="1:9" x14ac:dyDescent="0.25">
      <c r="B3" s="8"/>
    </row>
    <row r="4" spans="1:9" x14ac:dyDescent="0.25">
      <c r="B4" s="8"/>
    </row>
    <row r="5" spans="1:9" x14ac:dyDescent="0.25">
      <c r="B5" s="8"/>
    </row>
    <row r="6" spans="1:9" x14ac:dyDescent="0.25">
      <c r="B6" s="8"/>
    </row>
    <row r="8" spans="1:9" ht="21" x14ac:dyDescent="0.25">
      <c r="B8" s="19" t="s">
        <v>76</v>
      </c>
      <c r="I8" s="12"/>
    </row>
    <row r="9" spans="1:9" x14ac:dyDescent="0.25">
      <c r="B9" s="58" t="s">
        <v>121</v>
      </c>
    </row>
    <row r="10" spans="1:9" x14ac:dyDescent="0.25">
      <c r="B10" s="9"/>
      <c r="C10" s="9"/>
      <c r="D10" s="9"/>
      <c r="E10" s="9"/>
      <c r="F10" s="9"/>
      <c r="G10" s="9"/>
      <c r="H10" s="9"/>
      <c r="I10" s="9"/>
    </row>
    <row r="11" spans="1:9" ht="21" customHeight="1" x14ac:dyDescent="0.25">
      <c r="A11" s="1"/>
      <c r="B11" s="10" t="s">
        <v>81</v>
      </c>
      <c r="C11" s="10" t="s">
        <v>82</v>
      </c>
      <c r="D11" s="10" t="s">
        <v>77</v>
      </c>
      <c r="E11" s="10" t="s">
        <v>78</v>
      </c>
      <c r="F11" s="10" t="s">
        <v>79</v>
      </c>
      <c r="G11" s="10" t="s">
        <v>80</v>
      </c>
      <c r="I11" s="72" t="s">
        <v>120</v>
      </c>
    </row>
    <row r="12" spans="1:9" ht="30" x14ac:dyDescent="0.25">
      <c r="A12" s="1"/>
      <c r="B12" s="5" t="s">
        <v>25</v>
      </c>
      <c r="C12" s="5" t="str">
        <f>IF(ISBLANK(+'Key Business Activities'!C13),"[Business activity]",+'Key Business Activities'!C13)</f>
        <v>Sales and Marketing</v>
      </c>
      <c r="D12" s="30" t="s">
        <v>207</v>
      </c>
      <c r="E12" s="30" t="s">
        <v>207</v>
      </c>
      <c r="F12" s="30" t="s">
        <v>208</v>
      </c>
      <c r="G12" s="30" t="s">
        <v>209</v>
      </c>
      <c r="I12" s="73"/>
    </row>
    <row r="13" spans="1:9" ht="30" x14ac:dyDescent="0.25">
      <c r="A13" s="1"/>
      <c r="B13" s="5" t="s">
        <v>26</v>
      </c>
      <c r="C13" s="5" t="str">
        <f>IF(ISBLANK(+'Key Business Activities'!C14),"[Business activity]",+'Key Business Activities'!C14)</f>
        <v>Finance</v>
      </c>
      <c r="D13" s="30" t="s">
        <v>209</v>
      </c>
      <c r="E13" s="30" t="s">
        <v>210</v>
      </c>
      <c r="F13" s="30" t="s">
        <v>211</v>
      </c>
      <c r="G13" s="30" t="s">
        <v>212</v>
      </c>
      <c r="I13" s="73"/>
    </row>
    <row r="14" spans="1:9" ht="30" x14ac:dyDescent="0.25">
      <c r="A14" s="1"/>
      <c r="B14" s="5" t="s">
        <v>27</v>
      </c>
      <c r="C14" s="5" t="str">
        <f>IF(ISBLANK(+'Key Business Activities'!C15),"[Business activity]",+'Key Business Activities'!C15)</f>
        <v>Human Resources</v>
      </c>
      <c r="D14" s="30" t="s">
        <v>209</v>
      </c>
      <c r="E14" s="30" t="s">
        <v>210</v>
      </c>
      <c r="F14" s="30" t="s">
        <v>213</v>
      </c>
      <c r="G14" s="30" t="s">
        <v>209</v>
      </c>
      <c r="I14" s="73"/>
    </row>
    <row r="15" spans="1:9" ht="30" x14ac:dyDescent="0.25">
      <c r="A15" s="1"/>
      <c r="B15" s="5" t="s">
        <v>28</v>
      </c>
      <c r="C15" s="5" t="str">
        <f>IF(ISBLANK(+'Key Business Activities'!C16),"[Business activity]",+'Key Business Activities'!C16)</f>
        <v>Manufacturing</v>
      </c>
      <c r="D15" s="30" t="s">
        <v>210</v>
      </c>
      <c r="E15" s="30" t="s">
        <v>210</v>
      </c>
      <c r="F15" s="30" t="s">
        <v>214</v>
      </c>
      <c r="G15" s="30" t="s">
        <v>212</v>
      </c>
      <c r="I15" s="73"/>
    </row>
    <row r="16" spans="1:9" ht="30" x14ac:dyDescent="0.25">
      <c r="A16" s="1"/>
      <c r="B16" s="5" t="s">
        <v>29</v>
      </c>
      <c r="C16" s="5" t="str">
        <f>IF(ISBLANK(+'Key Business Activities'!C17),"[Business activity]",+'Key Business Activities'!C17)</f>
        <v>Customer Services</v>
      </c>
      <c r="D16" s="30" t="s">
        <v>210</v>
      </c>
      <c r="E16" s="30" t="s">
        <v>210</v>
      </c>
      <c r="F16" s="30" t="s">
        <v>215</v>
      </c>
      <c r="G16" s="30" t="s">
        <v>212</v>
      </c>
      <c r="I16" s="73"/>
    </row>
    <row r="17" spans="1:17" ht="30" x14ac:dyDescent="0.25">
      <c r="A17" s="1"/>
      <c r="B17" s="5" t="s">
        <v>30</v>
      </c>
      <c r="C17" s="5" t="str">
        <f>IF(ISBLANK(+'Key Business Activities'!C18),"[Business activity]",+'Key Business Activities'!C18)</f>
        <v>Product Development</v>
      </c>
      <c r="D17" s="30" t="s">
        <v>216</v>
      </c>
      <c r="E17" s="30" t="s">
        <v>207</v>
      </c>
      <c r="F17" s="30" t="s">
        <v>217</v>
      </c>
      <c r="G17" s="30" t="s">
        <v>209</v>
      </c>
      <c r="I17" s="73"/>
      <c r="Q17" s="12"/>
    </row>
    <row r="18" spans="1:17" ht="30" x14ac:dyDescent="0.25">
      <c r="A18" s="1"/>
      <c r="B18" s="5" t="s">
        <v>31</v>
      </c>
      <c r="C18" s="5" t="str">
        <f>IF(ISBLANK(+'Key Business Activities'!C19),"[Business activity]",+'Key Business Activities'!C19)</f>
        <v>Website sales</v>
      </c>
      <c r="D18" s="30" t="s">
        <v>212</v>
      </c>
      <c r="E18" s="30" t="s">
        <v>218</v>
      </c>
      <c r="F18" s="30" t="s">
        <v>219</v>
      </c>
      <c r="G18" s="30" t="s">
        <v>220</v>
      </c>
      <c r="I18" s="73"/>
    </row>
    <row r="19" spans="1:17" ht="30" x14ac:dyDescent="0.25">
      <c r="A19" s="1"/>
      <c r="B19" s="5" t="s">
        <v>32</v>
      </c>
      <c r="C19" s="5" t="str">
        <f>IF(ISBLANK(+'Key Business Activities'!C20),"[Business activity]",+'Key Business Activities'!C20)</f>
        <v>[Business activity]</v>
      </c>
      <c r="D19" s="30"/>
      <c r="E19" s="30"/>
      <c r="F19" s="30"/>
      <c r="G19" s="30"/>
      <c r="I19" s="73"/>
    </row>
    <row r="20" spans="1:17" ht="30" x14ac:dyDescent="0.25">
      <c r="A20" s="1"/>
      <c r="B20" s="5" t="s">
        <v>33</v>
      </c>
      <c r="C20" s="5" t="str">
        <f>IF(ISBLANK(+'Key Business Activities'!C21),"[Business activity]",+'Key Business Activities'!C21)</f>
        <v>[Business activity]</v>
      </c>
      <c r="D20" s="30"/>
      <c r="E20" s="30"/>
      <c r="F20" s="30"/>
      <c r="G20" s="30"/>
      <c r="I20" s="73"/>
    </row>
    <row r="21" spans="1:17" ht="30" x14ac:dyDescent="0.25">
      <c r="A21" s="1"/>
      <c r="B21" s="5" t="s">
        <v>34</v>
      </c>
      <c r="C21" s="5" t="str">
        <f>IF(ISBLANK(+'Key Business Activities'!C22),"[Business activity]",+'Key Business Activities'!C22)</f>
        <v>[Business activity]</v>
      </c>
      <c r="D21" s="30"/>
      <c r="E21" s="30"/>
      <c r="F21" s="30"/>
      <c r="G21" s="30"/>
      <c r="I21" s="74"/>
    </row>
    <row r="22" spans="1:17" x14ac:dyDescent="0.25">
      <c r="A22" s="1"/>
      <c r="B22" s="1"/>
      <c r="C22" s="1"/>
      <c r="D22" s="1"/>
      <c r="E22" s="1"/>
      <c r="F22" s="1"/>
      <c r="G22" s="1"/>
    </row>
    <row r="23" spans="1:17" x14ac:dyDescent="0.25">
      <c r="A23" s="1"/>
      <c r="B23" s="15"/>
      <c r="D23" s="1"/>
    </row>
    <row r="24" spans="1:17" x14ac:dyDescent="0.25">
      <c r="A24" s="1"/>
      <c r="B24" s="15"/>
    </row>
    <row r="25" spans="1:17" x14ac:dyDescent="0.25">
      <c r="A25" s="1"/>
      <c r="B25" s="15"/>
    </row>
    <row r="26" spans="1:17" x14ac:dyDescent="0.25">
      <c r="A26" s="1"/>
      <c r="B26" s="15"/>
    </row>
    <row r="27" spans="1:17" x14ac:dyDescent="0.25">
      <c r="A27" s="1"/>
    </row>
    <row r="28" spans="1:17" x14ac:dyDescent="0.25">
      <c r="A28" s="1"/>
    </row>
    <row r="29" spans="1:17" x14ac:dyDescent="0.25">
      <c r="A29" s="1"/>
      <c r="H29" s="1"/>
      <c r="I29" s="1"/>
      <c r="J29" s="1"/>
    </row>
    <row r="30" spans="1:17" x14ac:dyDescent="0.25">
      <c r="A30" s="1"/>
      <c r="H30" s="4"/>
      <c r="I30" s="1"/>
      <c r="J30" s="1"/>
    </row>
    <row r="31" spans="1:17" x14ac:dyDescent="0.25">
      <c r="A31" s="1"/>
      <c r="H31" s="4"/>
      <c r="I31" s="1"/>
      <c r="J31" s="1"/>
    </row>
    <row r="32" spans="1:17" x14ac:dyDescent="0.25">
      <c r="A32" s="1"/>
      <c r="H32" s="4"/>
      <c r="I32" s="1"/>
      <c r="J32" s="1"/>
    </row>
  </sheetData>
  <mergeCells count="1">
    <mergeCell ref="I11:I21"/>
  </mergeCells>
  <phoneticPr fontId="11" type="noConversion"/>
  <pageMargins left="0.23622047244094491" right="0.23622047244094491" top="0.59055118110236227" bottom="0.59055118110236227" header="0.31496062992125984" footer="0.31496062992125984"/>
  <pageSetup paperSize="9" scale="79" orientation="landscape" horizontalDpi="1200" verticalDpi="1200" r:id="rId1"/>
  <headerFooter>
    <oddFooter>&amp;L&amp;D&amp;CPage &amp;P of &amp;N</oddFoot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F00BD-BA6F-44A0-BA07-7557D4EC98F6}">
  <sheetPr>
    <pageSetUpPr fitToPage="1"/>
  </sheetPr>
  <dimension ref="B2:P177"/>
  <sheetViews>
    <sheetView showGridLines="0" zoomScaleNormal="100" workbookViewId="0"/>
  </sheetViews>
  <sheetFormatPr defaultRowHeight="15" x14ac:dyDescent="0.25"/>
  <cols>
    <col min="1" max="1" width="2.85546875" style="34" customWidth="1"/>
    <col min="2" max="2" width="40.140625" style="34" customWidth="1"/>
    <col min="3" max="3" width="22.140625" style="34" customWidth="1"/>
    <col min="4" max="4" width="21.42578125" style="34" customWidth="1"/>
    <col min="5" max="6" width="20.7109375" style="34" bestFit="1" customWidth="1"/>
    <col min="7" max="7" width="43.42578125" style="34" bestFit="1" customWidth="1"/>
    <col min="8" max="8" width="32.5703125" style="34" bestFit="1" customWidth="1"/>
    <col min="9" max="9" width="36.28515625" style="34" customWidth="1"/>
    <col min="10" max="10" width="2.42578125" style="34" customWidth="1"/>
    <col min="11" max="11" width="19.5703125" style="34" customWidth="1"/>
    <col min="12" max="12" width="30.28515625" style="34" customWidth="1"/>
    <col min="13" max="16384" width="9.140625" style="34"/>
  </cols>
  <sheetData>
    <row r="2" spans="2:9" x14ac:dyDescent="0.25">
      <c r="B2" s="33"/>
    </row>
    <row r="3" spans="2:9" x14ac:dyDescent="0.25">
      <c r="B3" s="33"/>
    </row>
    <row r="4" spans="2:9" x14ac:dyDescent="0.25">
      <c r="B4" s="33"/>
    </row>
    <row r="5" spans="2:9" x14ac:dyDescent="0.25">
      <c r="B5" s="33"/>
    </row>
    <row r="6" spans="2:9" x14ac:dyDescent="0.25">
      <c r="B6" s="33"/>
    </row>
    <row r="8" spans="2:9" ht="21" x14ac:dyDescent="0.25">
      <c r="B8" s="35" t="s">
        <v>87</v>
      </c>
    </row>
    <row r="9" spans="2:9" x14ac:dyDescent="0.25">
      <c r="B9" s="38" t="s">
        <v>88</v>
      </c>
    </row>
    <row r="10" spans="2:9" x14ac:dyDescent="0.25">
      <c r="B10" s="38" t="s">
        <v>89</v>
      </c>
    </row>
    <row r="12" spans="2:9" ht="18.75" x14ac:dyDescent="0.25">
      <c r="B12" s="44" t="s">
        <v>90</v>
      </c>
    </row>
    <row r="14" spans="2:9" ht="21" customHeight="1" x14ac:dyDescent="0.25">
      <c r="B14" s="67" t="s">
        <v>93</v>
      </c>
      <c r="C14" s="67" t="s">
        <v>118</v>
      </c>
      <c r="D14" s="67" t="s">
        <v>119</v>
      </c>
      <c r="E14" s="67"/>
      <c r="F14" s="67"/>
      <c r="G14" s="67"/>
      <c r="H14" s="67"/>
      <c r="I14" s="67"/>
    </row>
    <row r="15" spans="2:9" ht="21" customHeight="1" x14ac:dyDescent="0.25">
      <c r="B15" s="41" t="s">
        <v>86</v>
      </c>
      <c r="C15" s="41" t="s">
        <v>84</v>
      </c>
      <c r="D15" s="41" t="s">
        <v>51</v>
      </c>
      <c r="E15" s="41" t="s">
        <v>52</v>
      </c>
      <c r="F15" s="41" t="s">
        <v>53</v>
      </c>
      <c r="G15" s="41" t="s">
        <v>54</v>
      </c>
      <c r="H15" s="41" t="s">
        <v>55</v>
      </c>
      <c r="I15" s="41" t="s">
        <v>56</v>
      </c>
    </row>
    <row r="16" spans="2:9" ht="240" x14ac:dyDescent="0.25">
      <c r="B16" s="37" t="s">
        <v>1</v>
      </c>
      <c r="C16" s="30"/>
      <c r="D16" s="30"/>
      <c r="E16" s="30" t="s">
        <v>192</v>
      </c>
      <c r="F16" s="30" t="s">
        <v>192</v>
      </c>
      <c r="G16" s="30" t="s">
        <v>221</v>
      </c>
      <c r="H16" s="30" t="s">
        <v>221</v>
      </c>
      <c r="I16" s="30" t="s">
        <v>222</v>
      </c>
    </row>
    <row r="17" spans="2:9" ht="225" x14ac:dyDescent="0.25">
      <c r="B17" s="37" t="s">
        <v>83</v>
      </c>
      <c r="C17" s="30"/>
      <c r="D17" s="30"/>
      <c r="E17" s="30" t="s">
        <v>193</v>
      </c>
      <c r="F17" s="30" t="s">
        <v>193</v>
      </c>
      <c r="G17" s="30" t="s">
        <v>223</v>
      </c>
      <c r="H17" s="30" t="s">
        <v>223</v>
      </c>
      <c r="I17" s="30" t="s">
        <v>224</v>
      </c>
    </row>
    <row r="18" spans="2:9" ht="105" x14ac:dyDescent="0.25">
      <c r="B18" s="37" t="s">
        <v>40</v>
      </c>
      <c r="C18" s="30"/>
      <c r="D18" s="30"/>
      <c r="E18" s="30" t="s">
        <v>194</v>
      </c>
      <c r="F18" s="30" t="s">
        <v>194</v>
      </c>
      <c r="G18" s="30" t="s">
        <v>253</v>
      </c>
      <c r="H18" s="30" t="s">
        <v>253</v>
      </c>
      <c r="I18" s="30" t="s">
        <v>254</v>
      </c>
    </row>
    <row r="19" spans="2:9" ht="60" x14ac:dyDescent="0.25">
      <c r="B19" s="37" t="s">
        <v>41</v>
      </c>
      <c r="C19" s="30"/>
      <c r="D19" s="30"/>
      <c r="E19" s="30" t="s">
        <v>166</v>
      </c>
      <c r="F19" s="30" t="s">
        <v>166</v>
      </c>
      <c r="G19" s="30" t="s">
        <v>225</v>
      </c>
      <c r="H19" s="30" t="s">
        <v>225</v>
      </c>
      <c r="I19" s="30" t="s">
        <v>226</v>
      </c>
    </row>
    <row r="20" spans="2:9" ht="180" x14ac:dyDescent="0.25">
      <c r="B20" s="37" t="s">
        <v>42</v>
      </c>
      <c r="C20" s="30"/>
      <c r="D20" s="30"/>
      <c r="E20" s="30" t="s">
        <v>195</v>
      </c>
      <c r="F20" s="30" t="s">
        <v>195</v>
      </c>
      <c r="G20" s="30" t="s">
        <v>227</v>
      </c>
      <c r="H20" s="30" t="s">
        <v>227</v>
      </c>
      <c r="I20" s="30" t="s">
        <v>228</v>
      </c>
    </row>
    <row r="21" spans="2:9" ht="45" x14ac:dyDescent="0.25">
      <c r="B21" s="37" t="s">
        <v>43</v>
      </c>
      <c r="C21" s="30"/>
      <c r="D21" s="30"/>
      <c r="E21" s="30" t="s">
        <v>196</v>
      </c>
      <c r="F21" s="30" t="s">
        <v>196</v>
      </c>
      <c r="G21" s="30" t="s">
        <v>148</v>
      </c>
      <c r="H21" s="30" t="s">
        <v>148</v>
      </c>
      <c r="I21" s="31" t="s">
        <v>138</v>
      </c>
    </row>
    <row r="22" spans="2:9" ht="90" x14ac:dyDescent="0.25">
      <c r="B22" s="37" t="s">
        <v>44</v>
      </c>
      <c r="C22" s="30"/>
      <c r="D22" s="30"/>
      <c r="E22" s="30" t="s">
        <v>159</v>
      </c>
      <c r="F22" s="30" t="s">
        <v>159</v>
      </c>
      <c r="G22" s="30" t="s">
        <v>229</v>
      </c>
      <c r="H22" s="30" t="s">
        <v>229</v>
      </c>
      <c r="I22" s="31" t="s">
        <v>230</v>
      </c>
    </row>
    <row r="23" spans="2:9" ht="135" x14ac:dyDescent="0.25">
      <c r="B23" s="37" t="s">
        <v>45</v>
      </c>
      <c r="C23" s="30"/>
      <c r="D23" s="30"/>
      <c r="E23" s="30" t="s">
        <v>197</v>
      </c>
      <c r="F23" s="30" t="s">
        <v>197</v>
      </c>
      <c r="G23" s="30" t="s">
        <v>231</v>
      </c>
      <c r="H23" s="30" t="s">
        <v>231</v>
      </c>
      <c r="I23" s="31" t="s">
        <v>232</v>
      </c>
    </row>
    <row r="24" spans="2:9" x14ac:dyDescent="0.25">
      <c r="G24" s="47"/>
      <c r="H24" s="47"/>
      <c r="I24" s="47"/>
    </row>
    <row r="25" spans="2:9" x14ac:dyDescent="0.25">
      <c r="F25" s="47"/>
      <c r="G25" s="61" t="s">
        <v>112</v>
      </c>
      <c r="H25" s="62" t="s">
        <v>126</v>
      </c>
      <c r="I25" s="63"/>
    </row>
    <row r="26" spans="2:9" x14ac:dyDescent="0.25">
      <c r="F26" s="47"/>
      <c r="G26" s="64" t="s">
        <v>113</v>
      </c>
      <c r="H26" s="65" t="s">
        <v>201</v>
      </c>
      <c r="I26" s="66"/>
    </row>
    <row r="27" spans="2:9" ht="18.75" x14ac:dyDescent="0.25">
      <c r="B27" s="44" t="s">
        <v>91</v>
      </c>
    </row>
    <row r="29" spans="2:9" ht="21" customHeight="1" x14ac:dyDescent="0.25">
      <c r="B29" s="68" t="s">
        <v>85</v>
      </c>
      <c r="C29" s="68" t="s">
        <v>118</v>
      </c>
      <c r="D29" s="68" t="str">
        <f>IF(ISBLANK(+'Key Business Activities'!C13),"[Business  activity]",+'Key Business Activities'!C13)</f>
        <v>Sales and Marketing</v>
      </c>
      <c r="E29" s="68"/>
      <c r="F29" s="68"/>
      <c r="G29" s="68"/>
      <c r="H29" s="68"/>
      <c r="I29" s="68"/>
    </row>
    <row r="30" spans="2:9" ht="21" customHeight="1" x14ac:dyDescent="0.25">
      <c r="B30" s="45" t="s">
        <v>86</v>
      </c>
      <c r="C30" s="45" t="s">
        <v>84</v>
      </c>
      <c r="D30" s="45" t="s">
        <v>51</v>
      </c>
      <c r="E30" s="45" t="s">
        <v>52</v>
      </c>
      <c r="F30" s="45" t="s">
        <v>53</v>
      </c>
      <c r="G30" s="45" t="s">
        <v>54</v>
      </c>
      <c r="H30" s="45" t="s">
        <v>55</v>
      </c>
      <c r="I30" s="45" t="s">
        <v>56</v>
      </c>
    </row>
    <row r="31" spans="2:9" ht="90" x14ac:dyDescent="0.25">
      <c r="B31" s="46" t="s">
        <v>1</v>
      </c>
      <c r="C31" s="46" t="str">
        <f>IF(ISBLANK(+'Key Business Activities'!D13),"[Normal Requirement]",+'Key Business Activities'!D13)</f>
        <v>Head of Sales and Marketing
3 x sales representatives
2 x marketing managers</v>
      </c>
      <c r="D31" s="32"/>
      <c r="E31" s="32"/>
      <c r="F31" s="32"/>
      <c r="G31" s="32"/>
      <c r="H31" s="32"/>
      <c r="I31" s="32" t="s">
        <v>233</v>
      </c>
    </row>
    <row r="32" spans="2:9" ht="30" x14ac:dyDescent="0.25">
      <c r="B32" s="46" t="s">
        <v>83</v>
      </c>
      <c r="C32" s="46" t="str">
        <f>IF(ISBLANK(+'Key Business Activities'!E13),"[Normal Requirement]",+'Key Business Activities'!E13)</f>
        <v>Customer database
Marketing database</v>
      </c>
      <c r="D32" s="32"/>
      <c r="E32" s="32"/>
      <c r="F32" s="32"/>
      <c r="G32" s="32"/>
      <c r="H32" s="32"/>
      <c r="I32" s="32" t="s">
        <v>134</v>
      </c>
    </row>
    <row r="33" spans="2:9" ht="30" x14ac:dyDescent="0.25">
      <c r="B33" s="46" t="s">
        <v>40</v>
      </c>
      <c r="C33" s="46" t="str">
        <f>IF(ISBLANK(+'Key Business Activities'!F13),"[Normal Requirement]",+'Key Business Activities'!F13)</f>
        <v>6 desks in HQ building, power and HVAC</v>
      </c>
      <c r="D33" s="32"/>
      <c r="E33" s="32"/>
      <c r="F33" s="32"/>
      <c r="G33" s="32"/>
      <c r="H33" s="32"/>
      <c r="I33" s="32" t="s">
        <v>234</v>
      </c>
    </row>
    <row r="34" spans="2:9" ht="60" x14ac:dyDescent="0.25">
      <c r="B34" s="46" t="s">
        <v>41</v>
      </c>
      <c r="C34" s="46" t="str">
        <f>IF(ISBLANK(+'Key Business Activities'!G13),"[Normal Requirement]",+'Key Business Activities'!G13)</f>
        <v>3 desktop computers, 3 laptops with access to printer, copier, scanner and fax</v>
      </c>
      <c r="D34" s="32"/>
      <c r="E34" s="32"/>
      <c r="F34" s="32"/>
      <c r="G34" s="32"/>
      <c r="H34" s="32"/>
      <c r="I34" s="32" t="s">
        <v>235</v>
      </c>
    </row>
    <row r="35" spans="2:9" ht="45" x14ac:dyDescent="0.25">
      <c r="B35" s="46" t="s">
        <v>42</v>
      </c>
      <c r="C35" s="46" t="str">
        <f>IF(ISBLANK(+'Key Business Activities'!H13),"[Normal Requirement]",+'Key Business Activities'!H13)</f>
        <v>CRM system
Email
Internet access</v>
      </c>
      <c r="D35" s="32"/>
      <c r="E35" s="32"/>
      <c r="F35" s="32"/>
      <c r="G35" s="32"/>
      <c r="H35" s="32"/>
      <c r="I35" s="32" t="s">
        <v>137</v>
      </c>
    </row>
    <row r="36" spans="2:9" ht="45" x14ac:dyDescent="0.25">
      <c r="B36" s="46" t="s">
        <v>43</v>
      </c>
      <c r="C36" s="46" t="str">
        <f>IF(ISBLANK(+'Key Business Activities'!I13),"[Normal Requirement]",+'Key Business Activities'!I13)</f>
        <v>Commuting from home to work and back
Sales visits by car</v>
      </c>
      <c r="D36" s="32"/>
      <c r="E36" s="32"/>
      <c r="F36" s="32"/>
      <c r="G36" s="32"/>
      <c r="H36" s="32"/>
      <c r="I36" s="32" t="s">
        <v>138</v>
      </c>
    </row>
    <row r="37" spans="2:9" x14ac:dyDescent="0.25">
      <c r="B37" s="46" t="s">
        <v>44</v>
      </c>
      <c r="C37" s="46" t="str">
        <f>IF(ISBLANK(+'Key Business Activities'!J13),"[Normal Requirement]",+'Key Business Activities'!J13)</f>
        <v>Expenses and payroll</v>
      </c>
      <c r="D37" s="32"/>
      <c r="E37" s="32"/>
      <c r="F37" s="32"/>
      <c r="G37" s="32"/>
      <c r="H37" s="32"/>
      <c r="I37" s="32" t="s">
        <v>139</v>
      </c>
    </row>
    <row r="38" spans="2:9" x14ac:dyDescent="0.25">
      <c r="B38" s="46" t="s">
        <v>45</v>
      </c>
      <c r="C38" s="46" t="str">
        <f>IF(ISBLANK(+'Key Business Activities'!K13),"[Normal Requirement]",+'Key Business Activities'!K13)</f>
        <v>Telemarketing bureau</v>
      </c>
      <c r="D38" s="32"/>
      <c r="E38" s="32"/>
      <c r="F38" s="32"/>
      <c r="G38" s="32"/>
      <c r="H38" s="32"/>
      <c r="I38" s="32" t="s">
        <v>140</v>
      </c>
    </row>
    <row r="39" spans="2:9" x14ac:dyDescent="0.25">
      <c r="G39" s="47"/>
      <c r="H39" s="47"/>
      <c r="I39" s="47"/>
    </row>
    <row r="40" spans="2:9" x14ac:dyDescent="0.25">
      <c r="G40" s="61" t="s">
        <v>116</v>
      </c>
      <c r="H40" s="69" t="str">
        <f>IF(ISBLANK(+'Key Targets'!E12),"[RTO]",+'Key Targets'!E12)</f>
        <v>1 month</v>
      </c>
      <c r="I40" s="63"/>
    </row>
    <row r="41" spans="2:9" x14ac:dyDescent="0.25">
      <c r="G41" s="64" t="s">
        <v>117</v>
      </c>
      <c r="H41" s="70" t="str">
        <f>IF(ISBLANK(+'Key Targets'!F12),"[MBCO]",+'Key Targets'!F12)</f>
        <v>50% of normal sales activity</v>
      </c>
      <c r="I41" s="66"/>
    </row>
    <row r="42" spans="2:9" x14ac:dyDescent="0.25">
      <c r="H42" s="39"/>
      <c r="I42" s="47"/>
    </row>
    <row r="44" spans="2:9" ht="21" customHeight="1" x14ac:dyDescent="0.25">
      <c r="B44" s="67" t="s">
        <v>92</v>
      </c>
      <c r="C44" s="68" t="s">
        <v>118</v>
      </c>
      <c r="D44" s="68" t="str">
        <f>IF(ISBLANK(+'Key Business Activities'!C14),"[Business activity]",+'Key Business Activities'!C14)</f>
        <v>Finance</v>
      </c>
      <c r="E44" s="67"/>
      <c r="F44" s="67"/>
      <c r="G44" s="67"/>
      <c r="H44" s="67"/>
      <c r="I44" s="67"/>
    </row>
    <row r="45" spans="2:9" ht="21" customHeight="1" x14ac:dyDescent="0.25">
      <c r="B45" s="41" t="s">
        <v>86</v>
      </c>
      <c r="C45" s="41" t="s">
        <v>84</v>
      </c>
      <c r="D45" s="41" t="s">
        <v>51</v>
      </c>
      <c r="E45" s="41" t="s">
        <v>52</v>
      </c>
      <c r="F45" s="41" t="s">
        <v>53</v>
      </c>
      <c r="G45" s="41" t="s">
        <v>54</v>
      </c>
      <c r="H45" s="41" t="s">
        <v>55</v>
      </c>
      <c r="I45" s="41" t="s">
        <v>56</v>
      </c>
    </row>
    <row r="46" spans="2:9" ht="30" x14ac:dyDescent="0.25">
      <c r="B46" s="37" t="s">
        <v>1</v>
      </c>
      <c r="C46" s="46" t="str">
        <f>IF(ISBLANK(+'Key Business Activities'!D14),"[Normal Requirement]",+'Key Business Activities'!D14)</f>
        <v>Head of Finance
6 in team</v>
      </c>
      <c r="D46" s="30"/>
      <c r="E46" s="30"/>
      <c r="F46" s="30"/>
      <c r="G46" s="30" t="s">
        <v>236</v>
      </c>
      <c r="H46" s="30" t="s">
        <v>236</v>
      </c>
      <c r="I46" s="30" t="s">
        <v>143</v>
      </c>
    </row>
    <row r="47" spans="2:9" x14ac:dyDescent="0.25">
      <c r="B47" s="37" t="s">
        <v>83</v>
      </c>
      <c r="C47" s="46" t="str">
        <f>IF(ISBLANK(+'Key Business Activities'!E14),"[Normal Requirement]",+'Key Business Activities'!E14)</f>
        <v>Accounting database</v>
      </c>
      <c r="D47" s="30"/>
      <c r="E47" s="30"/>
      <c r="F47" s="30"/>
      <c r="G47" s="30" t="s">
        <v>144</v>
      </c>
      <c r="H47" s="30" t="s">
        <v>144</v>
      </c>
      <c r="I47" s="30" t="s">
        <v>144</v>
      </c>
    </row>
    <row r="48" spans="2:9" ht="30" x14ac:dyDescent="0.25">
      <c r="B48" s="37" t="s">
        <v>40</v>
      </c>
      <c r="C48" s="46" t="str">
        <f>IF(ISBLANK(+'Key Business Activities'!F14),"[Normal Requirement]",+'Key Business Activities'!F14)</f>
        <v>7 desks in HQ building, power and HVAC</v>
      </c>
      <c r="D48" s="30"/>
      <c r="E48" s="30"/>
      <c r="F48" s="30"/>
      <c r="G48" s="30" t="s">
        <v>234</v>
      </c>
      <c r="H48" s="30" t="s">
        <v>234</v>
      </c>
      <c r="I48" s="30" t="s">
        <v>145</v>
      </c>
    </row>
    <row r="49" spans="2:9" ht="45" x14ac:dyDescent="0.25">
      <c r="B49" s="37" t="s">
        <v>41</v>
      </c>
      <c r="C49" s="46" t="str">
        <f>IF(ISBLANK(+'Key Business Activities'!G14),"[Normal Requirement]",+'Key Business Activities'!G14)</f>
        <v>7 desktop computers with access to printer, copier, scanner and fax</v>
      </c>
      <c r="D49" s="30"/>
      <c r="E49" s="30"/>
      <c r="F49" s="30"/>
      <c r="G49" s="30" t="s">
        <v>237</v>
      </c>
      <c r="H49" s="30" t="s">
        <v>237</v>
      </c>
      <c r="I49" s="30" t="s">
        <v>146</v>
      </c>
    </row>
    <row r="50" spans="2:9" ht="45" x14ac:dyDescent="0.25">
      <c r="B50" s="37" t="s">
        <v>42</v>
      </c>
      <c r="C50" s="46" t="str">
        <f>IF(ISBLANK(+'Key Business Activities'!H14),"[Normal Requirement]",+'Key Business Activities'!H14)</f>
        <v>Finance system
Email
Internet access</v>
      </c>
      <c r="D50" s="30"/>
      <c r="E50" s="30"/>
      <c r="F50" s="30"/>
      <c r="G50" s="30" t="s">
        <v>147</v>
      </c>
      <c r="H50" s="30" t="s">
        <v>147</v>
      </c>
      <c r="I50" s="30" t="s">
        <v>147</v>
      </c>
    </row>
    <row r="51" spans="2:9" ht="30" x14ac:dyDescent="0.25">
      <c r="B51" s="37" t="s">
        <v>43</v>
      </c>
      <c r="C51" s="46" t="str">
        <f>IF(ISBLANK(+'Key Business Activities'!I14),"[Normal Requirement]",+'Key Business Activities'!I14)</f>
        <v>Commuting from home to work and back</v>
      </c>
      <c r="D51" s="30"/>
      <c r="E51" s="30"/>
      <c r="F51" s="30"/>
      <c r="G51" s="30" t="s">
        <v>148</v>
      </c>
      <c r="H51" s="30" t="s">
        <v>148</v>
      </c>
      <c r="I51" s="31" t="s">
        <v>148</v>
      </c>
    </row>
    <row r="52" spans="2:9" ht="60" x14ac:dyDescent="0.25">
      <c r="B52" s="37" t="s">
        <v>44</v>
      </c>
      <c r="C52" s="46" t="str">
        <f>IF(ISBLANK(+'Key Business Activities'!J14),"[Normal Requirement]",+'Key Business Activities'!J14)</f>
        <v>Access to company bank account to pay suppliers and employees</v>
      </c>
      <c r="D52" s="30"/>
      <c r="E52" s="30"/>
      <c r="F52" s="30"/>
      <c r="G52" s="30" t="s">
        <v>149</v>
      </c>
      <c r="H52" s="30" t="s">
        <v>149</v>
      </c>
      <c r="I52" s="31" t="s">
        <v>149</v>
      </c>
    </row>
    <row r="53" spans="2:9" ht="45" x14ac:dyDescent="0.25">
      <c r="B53" s="37" t="s">
        <v>45</v>
      </c>
      <c r="C53" s="46" t="str">
        <f>IF(ISBLANK(+'Key Business Activities'!K14),"[Normal Requirement]",+'Key Business Activities'!K14)</f>
        <v>Cloud accounting system providers
Tax agency</v>
      </c>
      <c r="D53" s="30"/>
      <c r="E53" s="30"/>
      <c r="F53" s="30"/>
      <c r="G53" s="30" t="s">
        <v>238</v>
      </c>
      <c r="H53" s="30" t="s">
        <v>238</v>
      </c>
      <c r="I53" s="31" t="s">
        <v>150</v>
      </c>
    </row>
    <row r="54" spans="2:9" x14ac:dyDescent="0.25">
      <c r="G54" s="47"/>
      <c r="H54" s="47"/>
      <c r="I54" s="47"/>
    </row>
    <row r="55" spans="2:9" x14ac:dyDescent="0.25">
      <c r="G55" s="61" t="s">
        <v>116</v>
      </c>
      <c r="H55" s="69" t="str">
        <f>IF(ISBLANK(+'Key Targets'!E13),"[RTO]",+'Key Targets'!E13)</f>
        <v>3 days</v>
      </c>
      <c r="I55" s="63"/>
    </row>
    <row r="56" spans="2:9" x14ac:dyDescent="0.25">
      <c r="G56" s="64" t="s">
        <v>117</v>
      </c>
      <c r="H56" s="70" t="str">
        <f>IF(ISBLANK(+'Key Targets'!F13),"[MBCO]",+'Key Targets'!F13)</f>
        <v>Pay suppliers
Receive payments</v>
      </c>
      <c r="I56" s="66"/>
    </row>
    <row r="57" spans="2:9" x14ac:dyDescent="0.25">
      <c r="H57" s="39"/>
      <c r="I57" s="47"/>
    </row>
    <row r="59" spans="2:9" ht="21" customHeight="1" x14ac:dyDescent="0.25">
      <c r="B59" s="67" t="s">
        <v>97</v>
      </c>
      <c r="C59" s="68" t="s">
        <v>118</v>
      </c>
      <c r="D59" s="68" t="str">
        <f>IF(ISBLANK(+'Key Business Activities'!C15),"[Business activity]",+'Key Business Activities'!C15)</f>
        <v>Human Resources</v>
      </c>
      <c r="E59" s="67"/>
      <c r="F59" s="67"/>
      <c r="G59" s="67"/>
      <c r="H59" s="67"/>
      <c r="I59" s="67"/>
    </row>
    <row r="60" spans="2:9" ht="21" customHeight="1" x14ac:dyDescent="0.25">
      <c r="B60" s="41" t="s">
        <v>86</v>
      </c>
      <c r="C60" s="41" t="s">
        <v>84</v>
      </c>
      <c r="D60" s="41" t="s">
        <v>51</v>
      </c>
      <c r="E60" s="41" t="s">
        <v>52</v>
      </c>
      <c r="F60" s="41" t="s">
        <v>53</v>
      </c>
      <c r="G60" s="41" t="s">
        <v>54</v>
      </c>
      <c r="H60" s="41" t="s">
        <v>55</v>
      </c>
      <c r="I60" s="41" t="s">
        <v>56</v>
      </c>
    </row>
    <row r="61" spans="2:9" ht="60" x14ac:dyDescent="0.25">
      <c r="B61" s="37" t="s">
        <v>1</v>
      </c>
      <c r="C61" s="46" t="str">
        <f>IF(ISBLANK(+'Key Business Activities'!D15),"[Normal Requirement]",+'Key Business Activities'!D15)</f>
        <v>Human Resources Manager
3 people in team
1 trainer</v>
      </c>
      <c r="D61" s="30"/>
      <c r="E61" s="30"/>
      <c r="F61" s="30"/>
      <c r="G61" s="30" t="s">
        <v>239</v>
      </c>
      <c r="H61" s="30" t="s">
        <v>239</v>
      </c>
      <c r="I61" s="30" t="s">
        <v>154</v>
      </c>
    </row>
    <row r="62" spans="2:9" ht="45" x14ac:dyDescent="0.25">
      <c r="B62" s="37" t="s">
        <v>83</v>
      </c>
      <c r="C62" s="46" t="str">
        <f>IF(ISBLANK(+'Key Business Activities'!E15),"[Normal Requirement]",+'Key Business Activities'!E15)</f>
        <v>Employee records
Training records
Payroll data</v>
      </c>
      <c r="D62" s="30"/>
      <c r="E62" s="30"/>
      <c r="F62" s="30"/>
      <c r="G62" s="30" t="s">
        <v>155</v>
      </c>
      <c r="H62" s="30" t="s">
        <v>155</v>
      </c>
      <c r="I62" s="30" t="s">
        <v>155</v>
      </c>
    </row>
    <row r="63" spans="2:9" ht="30" x14ac:dyDescent="0.25">
      <c r="B63" s="37" t="s">
        <v>40</v>
      </c>
      <c r="C63" s="46" t="str">
        <f>IF(ISBLANK(+'Key Business Activities'!F15),"[Normal Requirement]",+'Key Business Activities'!F15)</f>
        <v>5 desks in HQ building, power and HVAC</v>
      </c>
      <c r="D63" s="30"/>
      <c r="E63" s="30"/>
      <c r="F63" s="30"/>
      <c r="G63" s="30" t="s">
        <v>240</v>
      </c>
      <c r="H63" s="30" t="s">
        <v>240</v>
      </c>
      <c r="I63" s="30" t="s">
        <v>156</v>
      </c>
    </row>
    <row r="64" spans="2:9" ht="45" x14ac:dyDescent="0.25">
      <c r="B64" s="37" t="s">
        <v>41</v>
      </c>
      <c r="C64" s="46" t="str">
        <f>IF(ISBLANK(+'Key Business Activities'!G15),"[Normal Requirement]",+'Key Business Activities'!G15)</f>
        <v>5 desktop computers with access to printer, copier, scanner and fax</v>
      </c>
      <c r="D64" s="30"/>
      <c r="E64" s="30"/>
      <c r="F64" s="30"/>
      <c r="G64" s="30" t="s">
        <v>166</v>
      </c>
      <c r="H64" s="30" t="s">
        <v>166</v>
      </c>
      <c r="I64" s="30" t="s">
        <v>157</v>
      </c>
    </row>
    <row r="65" spans="2:16" ht="75" x14ac:dyDescent="0.25">
      <c r="B65" s="37" t="s">
        <v>42</v>
      </c>
      <c r="C65" s="46" t="str">
        <f>IF(ISBLANK(+'Key Business Activities'!H15),"[Normal Requirement]",+'Key Business Activities'!H15)</f>
        <v>HR system
Email
Payroll system
Internet access
eLearning system</v>
      </c>
      <c r="D65" s="30"/>
      <c r="E65" s="30"/>
      <c r="F65" s="30"/>
      <c r="G65" s="30" t="s">
        <v>241</v>
      </c>
      <c r="H65" s="30" t="s">
        <v>241</v>
      </c>
      <c r="I65" s="30" t="s">
        <v>158</v>
      </c>
    </row>
    <row r="66" spans="2:16" ht="30" x14ac:dyDescent="0.25">
      <c r="B66" s="37" t="s">
        <v>43</v>
      </c>
      <c r="C66" s="46" t="str">
        <f>IF(ISBLANK(+'Key Business Activities'!I15),"[Normal Requirement]",+'Key Business Activities'!I15)</f>
        <v>Commuting from home to work and back</v>
      </c>
      <c r="D66" s="30"/>
      <c r="E66" s="30"/>
      <c r="F66" s="30"/>
      <c r="G66" s="30" t="s">
        <v>148</v>
      </c>
      <c r="H66" s="30" t="s">
        <v>148</v>
      </c>
      <c r="I66" s="31" t="s">
        <v>148</v>
      </c>
    </row>
    <row r="67" spans="2:16" x14ac:dyDescent="0.25">
      <c r="B67" s="37" t="s">
        <v>44</v>
      </c>
      <c r="C67" s="46" t="str">
        <f>IF(ISBLANK(+'Key Business Activities'!J15),"[Normal Requirement]",+'Key Business Activities'!J15)</f>
        <v>Operational expenses</v>
      </c>
      <c r="D67" s="30"/>
      <c r="E67" s="30"/>
      <c r="F67" s="30"/>
      <c r="G67" s="30" t="s">
        <v>159</v>
      </c>
      <c r="H67" s="30" t="s">
        <v>159</v>
      </c>
      <c r="I67" s="31" t="s">
        <v>159</v>
      </c>
      <c r="P67" s="43"/>
    </row>
    <row r="68" spans="2:16" ht="45" x14ac:dyDescent="0.25">
      <c r="B68" s="37" t="s">
        <v>45</v>
      </c>
      <c r="C68" s="46" t="str">
        <f>IF(ISBLANK(+'Key Business Activities'!K15),"[Normal Requirement]",+'Key Business Activities'!K15)</f>
        <v>Occupational health provider
Payroll bureau</v>
      </c>
      <c r="D68" s="30"/>
      <c r="E68" s="30"/>
      <c r="F68" s="30"/>
      <c r="G68" s="30" t="s">
        <v>160</v>
      </c>
      <c r="H68" s="30" t="s">
        <v>160</v>
      </c>
      <c r="I68" s="31" t="s">
        <v>160</v>
      </c>
      <c r="P68" s="43"/>
    </row>
    <row r="69" spans="2:16" x14ac:dyDescent="0.25">
      <c r="G69" s="47"/>
      <c r="H69" s="47"/>
      <c r="I69" s="47"/>
      <c r="P69" s="43"/>
    </row>
    <row r="70" spans="2:16" x14ac:dyDescent="0.25">
      <c r="G70" s="61" t="s">
        <v>116</v>
      </c>
      <c r="H70" s="69" t="str">
        <f>IF(ISBLANK(+'Key Targets'!E14),"[RTO]",+'Key Targets'!E14)</f>
        <v>3 days</v>
      </c>
      <c r="I70" s="63"/>
      <c r="P70" s="43"/>
    </row>
    <row r="71" spans="2:16" x14ac:dyDescent="0.25">
      <c r="G71" s="64" t="s">
        <v>117</v>
      </c>
      <c r="H71" s="70" t="str">
        <f>IF(ISBLANK(+'Key Targets'!F14),"[MBCO]",+'Key Targets'!F14)</f>
        <v>Basic enquiries service</v>
      </c>
      <c r="I71" s="66"/>
      <c r="P71" s="43"/>
    </row>
    <row r="72" spans="2:16" x14ac:dyDescent="0.25">
      <c r="H72" s="39"/>
      <c r="I72" s="47"/>
    </row>
    <row r="74" spans="2:16" ht="21" customHeight="1" x14ac:dyDescent="0.25">
      <c r="B74" s="67" t="s">
        <v>98</v>
      </c>
      <c r="C74" s="68" t="s">
        <v>118</v>
      </c>
      <c r="D74" s="68" t="str">
        <f>IF(ISBLANK(+'Key Business Activities'!C16),"[Business activity]",+'Key Business Activities'!C16)</f>
        <v>Manufacturing</v>
      </c>
      <c r="E74" s="67"/>
      <c r="F74" s="67"/>
      <c r="G74" s="67"/>
      <c r="H74" s="67"/>
      <c r="I74" s="67"/>
    </row>
    <row r="75" spans="2:16" ht="21" customHeight="1" x14ac:dyDescent="0.25">
      <c r="B75" s="41" t="s">
        <v>86</v>
      </c>
      <c r="C75" s="41" t="s">
        <v>84</v>
      </c>
      <c r="D75" s="41" t="s">
        <v>51</v>
      </c>
      <c r="E75" s="41" t="s">
        <v>52</v>
      </c>
      <c r="F75" s="41" t="s">
        <v>53</v>
      </c>
      <c r="G75" s="41" t="s">
        <v>54</v>
      </c>
      <c r="H75" s="41" t="s">
        <v>55</v>
      </c>
      <c r="I75" s="41" t="s">
        <v>56</v>
      </c>
    </row>
    <row r="76" spans="2:16" ht="45" x14ac:dyDescent="0.25">
      <c r="B76" s="37" t="s">
        <v>1</v>
      </c>
      <c r="C76" s="46" t="str">
        <f>IF(ISBLANK(+'Key Business Activities'!D16),"[Normal Requirement]",+'Key Business Activities'!D16)</f>
        <v>Manufacturing Manager
30 shop-floor staff</v>
      </c>
      <c r="D76" s="30"/>
      <c r="E76" s="30"/>
      <c r="F76" s="30"/>
      <c r="G76" s="30" t="s">
        <v>242</v>
      </c>
      <c r="H76" s="30" t="s">
        <v>242</v>
      </c>
      <c r="I76" s="30" t="s">
        <v>164</v>
      </c>
    </row>
    <row r="77" spans="2:16" ht="30" x14ac:dyDescent="0.25">
      <c r="B77" s="37" t="s">
        <v>83</v>
      </c>
      <c r="C77" s="46" t="str">
        <f>IF(ISBLANK(+'Key Business Activities'!E16),"[Normal Requirement]",+'Key Business Activities'!E16)</f>
        <v>Process documentation
Product sheets</v>
      </c>
      <c r="D77" s="30"/>
      <c r="E77" s="30"/>
      <c r="F77" s="30"/>
      <c r="G77" s="30" t="s">
        <v>165</v>
      </c>
      <c r="H77" s="30" t="s">
        <v>165</v>
      </c>
      <c r="I77" s="30" t="s">
        <v>165</v>
      </c>
    </row>
    <row r="78" spans="2:16" ht="90" x14ac:dyDescent="0.25">
      <c r="B78" s="37" t="s">
        <v>40</v>
      </c>
      <c r="C78" s="46" t="str">
        <f>IF(ISBLANK(+'Key Business Activities'!F16),"[Normal Requirement]",+'Key Business Activities'!F16)</f>
        <v>Purpose-built manufacturing plant with limited office accommodation, significant power requirements</v>
      </c>
      <c r="D78" s="30"/>
      <c r="E78" s="30"/>
      <c r="F78" s="30"/>
      <c r="G78" s="30" t="s">
        <v>255</v>
      </c>
      <c r="H78" s="30" t="s">
        <v>255</v>
      </c>
      <c r="I78" s="30" t="s">
        <v>252</v>
      </c>
    </row>
    <row r="79" spans="2:16" ht="45" x14ac:dyDescent="0.25">
      <c r="B79" s="37" t="s">
        <v>41</v>
      </c>
      <c r="C79" s="46" t="str">
        <f>IF(ISBLANK(+'Key Business Activities'!G16),"[Normal Requirement]",+'Key Business Activities'!G16)</f>
        <v>2 desktop computers with access to printer, copier, scanner and fax</v>
      </c>
      <c r="D79" s="30"/>
      <c r="E79" s="30"/>
      <c r="F79" s="30"/>
      <c r="G79" s="30" t="s">
        <v>243</v>
      </c>
      <c r="H79" s="30" t="s">
        <v>243</v>
      </c>
      <c r="I79" s="30" t="s">
        <v>166</v>
      </c>
    </row>
    <row r="80" spans="2:16" ht="45" x14ac:dyDescent="0.25">
      <c r="B80" s="37" t="s">
        <v>42</v>
      </c>
      <c r="C80" s="46" t="str">
        <f>IF(ISBLANK(+'Key Business Activities'!H16),"[Normal Requirement]",+'Key Business Activities'!H16)</f>
        <v>Manufacturing control system
Limited access to email</v>
      </c>
      <c r="D80" s="30"/>
      <c r="E80" s="30"/>
      <c r="F80" s="30"/>
      <c r="G80" s="30" t="s">
        <v>167</v>
      </c>
      <c r="H80" s="30" t="s">
        <v>167</v>
      </c>
      <c r="I80" s="30" t="s">
        <v>167</v>
      </c>
    </row>
    <row r="81" spans="2:9" ht="30" x14ac:dyDescent="0.25">
      <c r="B81" s="37" t="s">
        <v>43</v>
      </c>
      <c r="C81" s="46" t="str">
        <f>IF(ISBLANK(+'Key Business Activities'!I16),"[Normal Requirement]",+'Key Business Activities'!I16)</f>
        <v>Commuting from home to work and back</v>
      </c>
      <c r="D81" s="30"/>
      <c r="E81" s="30"/>
      <c r="F81" s="30"/>
      <c r="G81" s="30" t="s">
        <v>148</v>
      </c>
      <c r="H81" s="30" t="s">
        <v>148</v>
      </c>
      <c r="I81" s="31" t="s">
        <v>148</v>
      </c>
    </row>
    <row r="82" spans="2:9" ht="30" x14ac:dyDescent="0.25">
      <c r="B82" s="37" t="s">
        <v>44</v>
      </c>
      <c r="C82" s="46" t="str">
        <f>IF(ISBLANK(+'Key Business Activities'!J16),"[Normal Requirement]",+'Key Business Activities'!J16)</f>
        <v>Operational expenses
Petty cash</v>
      </c>
      <c r="D82" s="30"/>
      <c r="E82" s="30"/>
      <c r="F82" s="30"/>
      <c r="G82" s="30" t="s">
        <v>168</v>
      </c>
      <c r="H82" s="30" t="s">
        <v>168</v>
      </c>
      <c r="I82" s="31" t="s">
        <v>168</v>
      </c>
    </row>
    <row r="83" spans="2:9" ht="30" x14ac:dyDescent="0.25">
      <c r="B83" s="37" t="s">
        <v>45</v>
      </c>
      <c r="C83" s="46" t="str">
        <f>IF(ISBLANK(+'Key Business Activities'!K16),"[Normal Requirement]",+'Key Business Activities'!K16)</f>
        <v>Wide range of component suppliers</v>
      </c>
      <c r="D83" s="30"/>
      <c r="E83" s="30"/>
      <c r="F83" s="30"/>
      <c r="G83" s="30" t="s">
        <v>244</v>
      </c>
      <c r="H83" s="30" t="s">
        <v>244</v>
      </c>
      <c r="I83" s="31" t="s">
        <v>169</v>
      </c>
    </row>
    <row r="84" spans="2:9" x14ac:dyDescent="0.25">
      <c r="G84" s="47"/>
      <c r="H84" s="47"/>
      <c r="I84" s="47"/>
    </row>
    <row r="85" spans="2:9" x14ac:dyDescent="0.25">
      <c r="G85" s="61" t="s">
        <v>116</v>
      </c>
      <c r="H85" s="69" t="str">
        <f>IF(ISBLANK(+'Key Targets'!E15),"[RTO]",+'Key Targets'!E15)</f>
        <v>3 days</v>
      </c>
      <c r="I85" s="63"/>
    </row>
    <row r="86" spans="2:9" x14ac:dyDescent="0.25">
      <c r="G86" s="64" t="s">
        <v>117</v>
      </c>
      <c r="H86" s="70" t="str">
        <f>IF(ISBLANK(+'Key Targets'!F15),"[MBCO]",+'Key Targets'!F15)</f>
        <v>50% of normal capacity</v>
      </c>
      <c r="I86" s="66"/>
    </row>
    <row r="87" spans="2:9" x14ac:dyDescent="0.25">
      <c r="H87" s="39"/>
      <c r="I87" s="47"/>
    </row>
    <row r="89" spans="2:9" ht="21" customHeight="1" x14ac:dyDescent="0.25">
      <c r="B89" s="67" t="s">
        <v>99</v>
      </c>
      <c r="C89" s="68" t="s">
        <v>118</v>
      </c>
      <c r="D89" s="68" t="str">
        <f>IF(ISBLANK(+'Key Business Activities'!C17),"[Business activity]",+'Key Business Activities'!C17)</f>
        <v>Customer Services</v>
      </c>
      <c r="E89" s="67"/>
      <c r="F89" s="67"/>
      <c r="G89" s="67"/>
      <c r="H89" s="67"/>
      <c r="I89" s="67"/>
    </row>
    <row r="90" spans="2:9" ht="21" customHeight="1" x14ac:dyDescent="0.25">
      <c r="B90" s="41" t="s">
        <v>86</v>
      </c>
      <c r="C90" s="41" t="s">
        <v>84</v>
      </c>
      <c r="D90" s="41" t="s">
        <v>51</v>
      </c>
      <c r="E90" s="41" t="s">
        <v>52</v>
      </c>
      <c r="F90" s="41" t="s">
        <v>53</v>
      </c>
      <c r="G90" s="41" t="s">
        <v>54</v>
      </c>
      <c r="H90" s="41" t="s">
        <v>55</v>
      </c>
      <c r="I90" s="41" t="s">
        <v>56</v>
      </c>
    </row>
    <row r="91" spans="2:9" ht="60" x14ac:dyDescent="0.25">
      <c r="B91" s="37" t="s">
        <v>1</v>
      </c>
      <c r="C91" s="46" t="str">
        <f>IF(ISBLANK(+'Key Business Activities'!D17),"[Normal Requirement]",+'Key Business Activities'!D17)</f>
        <v>Customer Services Manager
2 x CS Supervisors
12 CS representatives</v>
      </c>
      <c r="D91" s="30"/>
      <c r="E91" s="30"/>
      <c r="F91" s="30"/>
      <c r="G91" s="30" t="s">
        <v>245</v>
      </c>
      <c r="H91" s="30" t="s">
        <v>245</v>
      </c>
      <c r="I91" s="30" t="s">
        <v>173</v>
      </c>
    </row>
    <row r="92" spans="2:9" ht="60" x14ac:dyDescent="0.25">
      <c r="B92" s="37" t="s">
        <v>83</v>
      </c>
      <c r="C92" s="46" t="str">
        <f>IF(ISBLANK(+'Key Business Activities'!E17),"[Normal Requirement]",+'Key Business Activities'!E17)</f>
        <v>Customer database
Appointments information
Product information</v>
      </c>
      <c r="D92" s="30"/>
      <c r="E92" s="30"/>
      <c r="F92" s="30"/>
      <c r="G92" s="30" t="s">
        <v>174</v>
      </c>
      <c r="H92" s="30" t="s">
        <v>174</v>
      </c>
      <c r="I92" s="30" t="s">
        <v>174</v>
      </c>
    </row>
    <row r="93" spans="2:9" ht="45" x14ac:dyDescent="0.25">
      <c r="B93" s="37" t="s">
        <v>40</v>
      </c>
      <c r="C93" s="46" t="str">
        <f>IF(ISBLANK(+'Key Business Activities'!F17),"[Normal Requirement]",+'Key Business Activities'!F17)</f>
        <v>15 desks in HQ building, power and HVAC. Post room</v>
      </c>
      <c r="D93" s="30"/>
      <c r="E93" s="30"/>
      <c r="F93" s="30"/>
      <c r="G93" s="30" t="s">
        <v>246</v>
      </c>
      <c r="H93" s="30" t="s">
        <v>246</v>
      </c>
      <c r="I93" s="30" t="s">
        <v>175</v>
      </c>
    </row>
    <row r="94" spans="2:9" ht="45" x14ac:dyDescent="0.25">
      <c r="B94" s="37" t="s">
        <v>41</v>
      </c>
      <c r="C94" s="46" t="str">
        <f>IF(ISBLANK(+'Key Business Activities'!G17),"[Normal Requirement]",+'Key Business Activities'!G17)</f>
        <v>15 desktop computers with access to printer, copier, scanner and fax</v>
      </c>
      <c r="D94" s="30"/>
      <c r="E94" s="30"/>
      <c r="F94" s="30"/>
      <c r="G94" s="30" t="s">
        <v>247</v>
      </c>
      <c r="H94" s="30" t="s">
        <v>247</v>
      </c>
      <c r="I94" s="30" t="s">
        <v>176</v>
      </c>
    </row>
    <row r="95" spans="2:9" ht="60" x14ac:dyDescent="0.25">
      <c r="B95" s="37" t="s">
        <v>42</v>
      </c>
      <c r="C95" s="46" t="str">
        <f>IF(ISBLANK(+'Key Business Activities'!H17),"[Normal Requirement]",+'Key Business Activities'!H17)</f>
        <v>CRM system
Email
Internet access
Website admin</v>
      </c>
      <c r="D95" s="30"/>
      <c r="E95" s="30"/>
      <c r="F95" s="30"/>
      <c r="G95" s="30" t="s">
        <v>177</v>
      </c>
      <c r="H95" s="30" t="s">
        <v>177</v>
      </c>
      <c r="I95" s="30" t="s">
        <v>177</v>
      </c>
    </row>
    <row r="96" spans="2:9" ht="30" x14ac:dyDescent="0.25">
      <c r="B96" s="37" t="s">
        <v>43</v>
      </c>
      <c r="C96" s="46" t="str">
        <f>IF(ISBLANK(+'Key Business Activities'!I17),"[Normal Requirement]",+'Key Business Activities'!I17)</f>
        <v>Commuting from home to work and back</v>
      </c>
      <c r="D96" s="30"/>
      <c r="E96" s="30"/>
      <c r="F96" s="30"/>
      <c r="G96" s="30" t="s">
        <v>148</v>
      </c>
      <c r="H96" s="30" t="s">
        <v>148</v>
      </c>
      <c r="I96" s="31" t="s">
        <v>148</v>
      </c>
    </row>
    <row r="97" spans="2:9" x14ac:dyDescent="0.25">
      <c r="B97" s="37" t="s">
        <v>44</v>
      </c>
      <c r="C97" s="46" t="str">
        <f>IF(ISBLANK(+'Key Business Activities'!J17),"[Normal Requirement]",+'Key Business Activities'!J17)</f>
        <v>Operational expenses</v>
      </c>
      <c r="D97" s="30"/>
      <c r="E97" s="30"/>
      <c r="F97" s="30"/>
      <c r="G97" s="30" t="s">
        <v>159</v>
      </c>
      <c r="H97" s="30" t="s">
        <v>159</v>
      </c>
      <c r="I97" s="31" t="s">
        <v>159</v>
      </c>
    </row>
    <row r="98" spans="2:9" ht="30" x14ac:dyDescent="0.25">
      <c r="B98" s="37" t="s">
        <v>45</v>
      </c>
      <c r="C98" s="46" t="str">
        <f>IF(ISBLANK(+'Key Business Activities'!K17),"[Normal Requirement]",+'Key Business Activities'!K17)</f>
        <v>Various commodity suppliers</v>
      </c>
      <c r="D98" s="30"/>
      <c r="E98" s="30"/>
      <c r="F98" s="30"/>
      <c r="G98" s="30" t="s">
        <v>196</v>
      </c>
      <c r="H98" s="30" t="s">
        <v>196</v>
      </c>
      <c r="I98" s="31" t="s">
        <v>178</v>
      </c>
    </row>
    <row r="99" spans="2:9" x14ac:dyDescent="0.25">
      <c r="G99" s="47"/>
      <c r="H99" s="47"/>
      <c r="I99" s="47"/>
    </row>
    <row r="100" spans="2:9" x14ac:dyDescent="0.25">
      <c r="G100" s="61" t="s">
        <v>116</v>
      </c>
      <c r="H100" s="69" t="str">
        <f>IF(ISBLANK(+'Key Targets'!E16),"[RTO]",+'Key Targets'!E16)</f>
        <v>3 days</v>
      </c>
      <c r="I100" s="63"/>
    </row>
    <row r="101" spans="2:9" x14ac:dyDescent="0.25">
      <c r="G101" s="64" t="s">
        <v>117</v>
      </c>
      <c r="H101" s="70" t="str">
        <f>IF(ISBLANK(+'Key Targets'!F16),"[MBCO]",+'Key Targets'!F16)</f>
        <v>Half of normal service level</v>
      </c>
      <c r="I101" s="66"/>
    </row>
    <row r="102" spans="2:9" x14ac:dyDescent="0.25">
      <c r="H102" s="39"/>
      <c r="I102" s="47"/>
    </row>
    <row r="104" spans="2:9" ht="21" customHeight="1" x14ac:dyDescent="0.25">
      <c r="B104" s="67" t="s">
        <v>100</v>
      </c>
      <c r="C104" s="68" t="s">
        <v>118</v>
      </c>
      <c r="D104" s="68" t="str">
        <f>IF(ISBLANK(+'Key Business Activities'!C18),"[Business activity]",+'Key Business Activities'!C18)</f>
        <v>Product Development</v>
      </c>
      <c r="E104" s="67"/>
      <c r="F104" s="67"/>
      <c r="G104" s="67"/>
      <c r="H104" s="67"/>
      <c r="I104" s="67"/>
    </row>
    <row r="105" spans="2:9" ht="21" customHeight="1" x14ac:dyDescent="0.25">
      <c r="B105" s="41" t="s">
        <v>86</v>
      </c>
      <c r="C105" s="41" t="s">
        <v>84</v>
      </c>
      <c r="D105" s="41" t="s">
        <v>51</v>
      </c>
      <c r="E105" s="41" t="s">
        <v>52</v>
      </c>
      <c r="F105" s="41" t="s">
        <v>53</v>
      </c>
      <c r="G105" s="41" t="s">
        <v>54</v>
      </c>
      <c r="H105" s="41" t="s">
        <v>55</v>
      </c>
      <c r="I105" s="41" t="s">
        <v>56</v>
      </c>
    </row>
    <row r="106" spans="2:9" ht="45" x14ac:dyDescent="0.25">
      <c r="B106" s="37" t="s">
        <v>1</v>
      </c>
      <c r="C106" s="46" t="str">
        <f>IF(ISBLANK(+'Key Business Activities'!D18),"[Normal Requirement]",+'Key Business Activities'!D18)</f>
        <v>Head of Product Development
4 x product managers</v>
      </c>
      <c r="D106" s="30"/>
      <c r="E106" s="30"/>
      <c r="F106" s="30"/>
      <c r="G106" s="30"/>
      <c r="H106" s="30"/>
      <c r="I106" s="30" t="s">
        <v>248</v>
      </c>
    </row>
    <row r="107" spans="2:9" ht="45" x14ac:dyDescent="0.25">
      <c r="B107" s="37" t="s">
        <v>83</v>
      </c>
      <c r="C107" s="46" t="str">
        <f>IF(ISBLANK(+'Key Business Activities'!E18),"[Normal Requirement]",+'Key Business Activities'!E18)</f>
        <v>Product plans
Product designs
Testing information</v>
      </c>
      <c r="D107" s="30"/>
      <c r="E107" s="30"/>
      <c r="F107" s="30"/>
      <c r="G107" s="30"/>
      <c r="H107" s="30"/>
      <c r="I107" s="30" t="s">
        <v>183</v>
      </c>
    </row>
    <row r="108" spans="2:9" ht="45" x14ac:dyDescent="0.25">
      <c r="B108" s="37" t="s">
        <v>40</v>
      </c>
      <c r="C108" s="46" t="str">
        <f>IF(ISBLANK(+'Key Business Activities'!F18),"[Normal Requirement]",+'Key Business Activities'!F18)</f>
        <v>5 desks in HQ building, power and HVAC. Test area</v>
      </c>
      <c r="D108" s="30"/>
      <c r="E108" s="30"/>
      <c r="F108" s="30"/>
      <c r="G108" s="30"/>
      <c r="H108" s="30"/>
      <c r="I108" s="30" t="s">
        <v>249</v>
      </c>
    </row>
    <row r="109" spans="2:9" ht="45" x14ac:dyDescent="0.25">
      <c r="B109" s="37" t="s">
        <v>41</v>
      </c>
      <c r="C109" s="46" t="str">
        <f>IF(ISBLANK(+'Key Business Activities'!G18),"[Normal Requirement]",+'Key Business Activities'!G18)</f>
        <v>6 desktop computers with access to printer, copier, scanner and fax</v>
      </c>
      <c r="D109" s="30"/>
      <c r="E109" s="30"/>
      <c r="F109" s="30"/>
      <c r="G109" s="30"/>
      <c r="H109" s="30"/>
      <c r="I109" s="30" t="s">
        <v>250</v>
      </c>
    </row>
    <row r="110" spans="2:9" ht="45" x14ac:dyDescent="0.25">
      <c r="B110" s="37" t="s">
        <v>42</v>
      </c>
      <c r="C110" s="46" t="str">
        <f>IF(ISBLANK(+'Key Business Activities'!H18),"[Normal Requirement]",+'Key Business Activities'!H18)</f>
        <v>Design software
Email
Internet access</v>
      </c>
      <c r="D110" s="30"/>
      <c r="E110" s="30"/>
      <c r="F110" s="30"/>
      <c r="G110" s="30"/>
      <c r="H110" s="30"/>
      <c r="I110" s="30" t="s">
        <v>186</v>
      </c>
    </row>
    <row r="111" spans="2:9" ht="30" x14ac:dyDescent="0.25">
      <c r="B111" s="37" t="s">
        <v>43</v>
      </c>
      <c r="C111" s="46" t="str">
        <f>IF(ISBLANK(+'Key Business Activities'!I18),"[Normal Requirement]",+'Key Business Activities'!I18)</f>
        <v>Commuting from home to work and back</v>
      </c>
      <c r="D111" s="30"/>
      <c r="E111" s="30"/>
      <c r="F111" s="30"/>
      <c r="G111" s="30"/>
      <c r="H111" s="30"/>
      <c r="I111" s="31" t="s">
        <v>148</v>
      </c>
    </row>
    <row r="112" spans="2:9" ht="45" x14ac:dyDescent="0.25">
      <c r="B112" s="37" t="s">
        <v>44</v>
      </c>
      <c r="C112" s="46" t="str">
        <f>IF(ISBLANK(+'Key Business Activities'!J18),"[Normal Requirement]",+'Key Business Activities'!J18)</f>
        <v>Operational expenses
Purchase of test components</v>
      </c>
      <c r="D112" s="30"/>
      <c r="E112" s="30"/>
      <c r="F112" s="30"/>
      <c r="G112" s="30"/>
      <c r="H112" s="30"/>
      <c r="I112" s="31" t="s">
        <v>187</v>
      </c>
    </row>
    <row r="113" spans="2:9" ht="30" x14ac:dyDescent="0.25">
      <c r="B113" s="37" t="s">
        <v>45</v>
      </c>
      <c r="C113" s="46" t="str">
        <f>IF(ISBLANK(+'Key Business Activities'!K18),"[Normal Requirement]",+'Key Business Activities'!K18)</f>
        <v>Partner with software company</v>
      </c>
      <c r="D113" s="30"/>
      <c r="E113" s="30"/>
      <c r="F113" s="30"/>
      <c r="G113" s="30"/>
      <c r="H113" s="30"/>
      <c r="I113" s="31" t="s">
        <v>188</v>
      </c>
    </row>
    <row r="114" spans="2:9" x14ac:dyDescent="0.25">
      <c r="G114" s="47"/>
      <c r="H114" s="47"/>
      <c r="I114" s="47"/>
    </row>
    <row r="115" spans="2:9" x14ac:dyDescent="0.25">
      <c r="G115" s="61" t="s">
        <v>116</v>
      </c>
      <c r="H115" s="69" t="str">
        <f>IF(ISBLANK(+'Key Targets'!E17),"[RTO]",+'Key Targets'!E17)</f>
        <v>1 month</v>
      </c>
      <c r="I115" s="63"/>
    </row>
    <row r="116" spans="2:9" x14ac:dyDescent="0.25">
      <c r="G116" s="64" t="s">
        <v>117</v>
      </c>
      <c r="H116" s="70" t="str">
        <f>IF(ISBLANK(+'Key Targets'!F17),"[MBCO]",+'Key Targets'!F17)</f>
        <v>Key products only</v>
      </c>
      <c r="I116" s="66"/>
    </row>
    <row r="117" spans="2:9" x14ac:dyDescent="0.25">
      <c r="H117" s="39"/>
      <c r="I117" s="47"/>
    </row>
    <row r="119" spans="2:9" ht="21" customHeight="1" x14ac:dyDescent="0.25">
      <c r="B119" s="67" t="s">
        <v>101</v>
      </c>
      <c r="C119" s="68" t="s">
        <v>118</v>
      </c>
      <c r="D119" s="68" t="str">
        <f>IF(ISBLANK(+'Key Business Activities'!C19),"[Business activity]",+'Key Business Activities'!C19)</f>
        <v>Website sales</v>
      </c>
      <c r="E119" s="67"/>
      <c r="F119" s="67"/>
      <c r="G119" s="67"/>
      <c r="H119" s="67"/>
      <c r="I119" s="67"/>
    </row>
    <row r="120" spans="2:9" ht="21" customHeight="1" x14ac:dyDescent="0.25">
      <c r="B120" s="41" t="s">
        <v>86</v>
      </c>
      <c r="C120" s="41" t="s">
        <v>84</v>
      </c>
      <c r="D120" s="41" t="s">
        <v>51</v>
      </c>
      <c r="E120" s="41" t="s">
        <v>52</v>
      </c>
      <c r="F120" s="41" t="s">
        <v>53</v>
      </c>
      <c r="G120" s="41" t="s">
        <v>54</v>
      </c>
      <c r="H120" s="41" t="s">
        <v>55</v>
      </c>
      <c r="I120" s="41" t="s">
        <v>56</v>
      </c>
    </row>
    <row r="121" spans="2:9" ht="30" x14ac:dyDescent="0.25">
      <c r="B121" s="37" t="s">
        <v>1</v>
      </c>
      <c r="C121" s="46" t="str">
        <f>IF(ISBLANK(+'Key Business Activities'!D19),"[Normal Requirement]",+'Key Business Activities'!D19)</f>
        <v>2 x website developers</v>
      </c>
      <c r="D121" s="30"/>
      <c r="E121" s="30" t="s">
        <v>192</v>
      </c>
      <c r="F121" s="30" t="s">
        <v>192</v>
      </c>
      <c r="G121" s="30" t="s">
        <v>192</v>
      </c>
      <c r="H121" s="30" t="s">
        <v>192</v>
      </c>
      <c r="I121" s="30" t="s">
        <v>192</v>
      </c>
    </row>
    <row r="122" spans="2:9" ht="30" x14ac:dyDescent="0.25">
      <c r="B122" s="37" t="s">
        <v>83</v>
      </c>
      <c r="C122" s="46" t="str">
        <f>IF(ISBLANK(+'Key Business Activities'!E19),"[Normal Requirement]",+'Key Business Activities'!E19)</f>
        <v>Product information
Pricing</v>
      </c>
      <c r="D122" s="30"/>
      <c r="E122" s="30" t="s">
        <v>193</v>
      </c>
      <c r="F122" s="30" t="s">
        <v>193</v>
      </c>
      <c r="G122" s="30" t="s">
        <v>193</v>
      </c>
      <c r="H122" s="30" t="s">
        <v>193</v>
      </c>
      <c r="I122" s="30" t="s">
        <v>193</v>
      </c>
    </row>
    <row r="123" spans="2:9" ht="30" x14ac:dyDescent="0.25">
      <c r="B123" s="37" t="s">
        <v>40</v>
      </c>
      <c r="C123" s="46" t="str">
        <f>IF(ISBLANK(+'Key Business Activities'!F19),"[Normal Requirement]",+'Key Business Activities'!F19)</f>
        <v>Hosted with third party</v>
      </c>
      <c r="D123" s="30"/>
      <c r="E123" s="30" t="s">
        <v>194</v>
      </c>
      <c r="F123" s="30" t="s">
        <v>194</v>
      </c>
      <c r="G123" s="30" t="s">
        <v>194</v>
      </c>
      <c r="H123" s="30" t="s">
        <v>194</v>
      </c>
      <c r="I123" s="30" t="s">
        <v>194</v>
      </c>
    </row>
    <row r="124" spans="2:9" ht="60" x14ac:dyDescent="0.25">
      <c r="B124" s="37" t="s">
        <v>41</v>
      </c>
      <c r="C124" s="46" t="str">
        <f>IF(ISBLANK(+'Key Business Activities'!G19),"[Normal Requirement]",+'Key Business Activities'!G19)</f>
        <v>2 desktop computers with access to printer, copier, scanner and fax</v>
      </c>
      <c r="D124" s="30"/>
      <c r="E124" s="30" t="s">
        <v>166</v>
      </c>
      <c r="F124" s="30" t="s">
        <v>166</v>
      </c>
      <c r="G124" s="30" t="s">
        <v>166</v>
      </c>
      <c r="H124" s="30" t="s">
        <v>166</v>
      </c>
      <c r="I124" s="30" t="s">
        <v>166</v>
      </c>
    </row>
    <row r="125" spans="2:9" ht="30" x14ac:dyDescent="0.25">
      <c r="B125" s="37" t="s">
        <v>42</v>
      </c>
      <c r="C125" s="46" t="str">
        <f>IF(ISBLANK(+'Key Business Activities'!H19),"[Normal Requirement]",+'Key Business Activities'!H19)</f>
        <v>Content management system</v>
      </c>
      <c r="D125" s="30"/>
      <c r="E125" s="30" t="s">
        <v>195</v>
      </c>
      <c r="F125" s="30" t="s">
        <v>195</v>
      </c>
      <c r="G125" s="30" t="s">
        <v>195</v>
      </c>
      <c r="H125" s="30" t="s">
        <v>195</v>
      </c>
      <c r="I125" s="30" t="s">
        <v>195</v>
      </c>
    </row>
    <row r="126" spans="2:9" x14ac:dyDescent="0.25">
      <c r="B126" s="37" t="s">
        <v>43</v>
      </c>
      <c r="C126" s="46" t="str">
        <f>IF(ISBLANK(+'Key Business Activities'!I19),"[Normal Requirement]",+'Key Business Activities'!I19)</f>
        <v>None</v>
      </c>
      <c r="D126" s="30"/>
      <c r="E126" s="30" t="s">
        <v>196</v>
      </c>
      <c r="F126" s="30" t="s">
        <v>196</v>
      </c>
      <c r="G126" s="30" t="s">
        <v>196</v>
      </c>
      <c r="H126" s="30" t="s">
        <v>196</v>
      </c>
      <c r="I126" s="31" t="s">
        <v>196</v>
      </c>
    </row>
    <row r="127" spans="2:9" x14ac:dyDescent="0.25">
      <c r="B127" s="37" t="s">
        <v>44</v>
      </c>
      <c r="C127" s="46" t="str">
        <f>IF(ISBLANK(+'Key Business Activities'!J19),"[Normal Requirement]",+'Key Business Activities'!J19)</f>
        <v>Operational expenses</v>
      </c>
      <c r="D127" s="30"/>
      <c r="E127" s="30" t="s">
        <v>159</v>
      </c>
      <c r="F127" s="30" t="s">
        <v>159</v>
      </c>
      <c r="G127" s="30" t="s">
        <v>159</v>
      </c>
      <c r="H127" s="30" t="s">
        <v>159</v>
      </c>
      <c r="I127" s="31" t="s">
        <v>159</v>
      </c>
    </row>
    <row r="128" spans="2:9" ht="30" x14ac:dyDescent="0.25">
      <c r="B128" s="37" t="s">
        <v>45</v>
      </c>
      <c r="C128" s="46" t="str">
        <f>IF(ISBLANK(+'Key Business Activities'!K19),"[Normal Requirement]",+'Key Business Activities'!K19)</f>
        <v>Website hosting company</v>
      </c>
      <c r="D128" s="30"/>
      <c r="E128" s="30" t="s">
        <v>197</v>
      </c>
      <c r="F128" s="30" t="s">
        <v>197</v>
      </c>
      <c r="G128" s="30" t="s">
        <v>197</v>
      </c>
      <c r="H128" s="30" t="s">
        <v>197</v>
      </c>
      <c r="I128" s="31" t="s">
        <v>197</v>
      </c>
    </row>
    <row r="129" spans="2:9" x14ac:dyDescent="0.25">
      <c r="G129" s="47"/>
      <c r="H129" s="47"/>
      <c r="I129" s="47"/>
    </row>
    <row r="130" spans="2:9" x14ac:dyDescent="0.25">
      <c r="G130" s="61" t="s">
        <v>116</v>
      </c>
      <c r="H130" s="69" t="str">
        <f>IF(ISBLANK(+'Key Targets'!E18),"[RTO]",+'Key Targets'!E18)</f>
        <v>3 hours</v>
      </c>
      <c r="I130" s="63"/>
    </row>
    <row r="131" spans="2:9" x14ac:dyDescent="0.25">
      <c r="G131" s="64" t="s">
        <v>117</v>
      </c>
      <c r="H131" s="70" t="str">
        <f>IF(ISBLANK(+'Key Targets'!F18),"[MBCO]",+'Key Targets'!F18)</f>
        <v>Normal service</v>
      </c>
      <c r="I131" s="66"/>
    </row>
    <row r="132" spans="2:9" x14ac:dyDescent="0.25">
      <c r="H132" s="39"/>
      <c r="I132" s="47"/>
    </row>
    <row r="134" spans="2:9" ht="21" customHeight="1" x14ac:dyDescent="0.25">
      <c r="B134" s="67" t="s">
        <v>102</v>
      </c>
      <c r="C134" s="68" t="s">
        <v>118</v>
      </c>
      <c r="D134" s="68" t="str">
        <f>IF(ISBLANK(+'Key Business Activities'!C20),"[Business activity]",+'Key Business Activities'!C20)</f>
        <v>[Business activity]</v>
      </c>
      <c r="E134" s="67"/>
      <c r="F134" s="67"/>
      <c r="G134" s="67"/>
      <c r="H134" s="67"/>
      <c r="I134" s="67"/>
    </row>
    <row r="135" spans="2:9" ht="21" customHeight="1" x14ac:dyDescent="0.25">
      <c r="B135" s="41" t="s">
        <v>86</v>
      </c>
      <c r="C135" s="41" t="s">
        <v>84</v>
      </c>
      <c r="D135" s="41" t="s">
        <v>51</v>
      </c>
      <c r="E135" s="41" t="s">
        <v>52</v>
      </c>
      <c r="F135" s="41" t="s">
        <v>53</v>
      </c>
      <c r="G135" s="41" t="s">
        <v>54</v>
      </c>
      <c r="H135" s="41" t="s">
        <v>55</v>
      </c>
      <c r="I135" s="41" t="s">
        <v>56</v>
      </c>
    </row>
    <row r="136" spans="2:9" x14ac:dyDescent="0.25">
      <c r="B136" s="37" t="s">
        <v>1</v>
      </c>
      <c r="C136" s="46" t="str">
        <f>IF(ISBLANK(+'Key Business Activities'!D20),"[Normal Requirement]",+'Key Business Activities'!D20)</f>
        <v>[Normal Requirement]</v>
      </c>
      <c r="D136" s="30"/>
      <c r="E136" s="30"/>
      <c r="F136" s="30"/>
      <c r="G136" s="30"/>
      <c r="H136" s="30"/>
      <c r="I136" s="30"/>
    </row>
    <row r="137" spans="2:9" x14ac:dyDescent="0.25">
      <c r="B137" s="37" t="s">
        <v>83</v>
      </c>
      <c r="C137" s="46" t="str">
        <f>IF(ISBLANK(+'Key Business Activities'!E21),"[Normal Requirement]",+'Key Business Activities'!E21)</f>
        <v>[Normal Requirement]</v>
      </c>
      <c r="D137" s="30"/>
      <c r="E137" s="30"/>
      <c r="F137" s="30"/>
      <c r="G137" s="30"/>
      <c r="H137" s="30"/>
      <c r="I137" s="30"/>
    </row>
    <row r="138" spans="2:9" x14ac:dyDescent="0.25">
      <c r="B138" s="37" t="s">
        <v>40</v>
      </c>
      <c r="C138" s="46" t="str">
        <f>IF(ISBLANK(+'Key Business Activities'!F20),"[Normal Requirement]",+'Key Business Activities'!F20)</f>
        <v>[Normal Requirement]</v>
      </c>
      <c r="D138" s="30"/>
      <c r="E138" s="30"/>
      <c r="F138" s="30"/>
      <c r="G138" s="30"/>
      <c r="H138" s="30"/>
      <c r="I138" s="30"/>
    </row>
    <row r="139" spans="2:9" x14ac:dyDescent="0.25">
      <c r="B139" s="37" t="s">
        <v>41</v>
      </c>
      <c r="C139" s="46" t="str">
        <f>IF(ISBLANK(+'Key Business Activities'!G20),"[Normal Requirement]",+'Key Business Activities'!G20)</f>
        <v>[Normal Requirement]</v>
      </c>
      <c r="D139" s="30"/>
      <c r="E139" s="30"/>
      <c r="F139" s="30"/>
      <c r="G139" s="30"/>
      <c r="H139" s="30"/>
      <c r="I139" s="30"/>
    </row>
    <row r="140" spans="2:9" x14ac:dyDescent="0.25">
      <c r="B140" s="37" t="s">
        <v>42</v>
      </c>
      <c r="C140" s="46" t="str">
        <f>IF(ISBLANK(+'Key Business Activities'!H20),"[Normal Requirement]",+'Key Business Activities'!H20)</f>
        <v>[Normal Requirement]</v>
      </c>
      <c r="D140" s="30"/>
      <c r="E140" s="30"/>
      <c r="F140" s="30"/>
      <c r="G140" s="30"/>
      <c r="H140" s="30"/>
      <c r="I140" s="30"/>
    </row>
    <row r="141" spans="2:9" x14ac:dyDescent="0.25">
      <c r="B141" s="37" t="s">
        <v>43</v>
      </c>
      <c r="C141" s="46" t="str">
        <f>IF(ISBLANK(+'Key Business Activities'!I20),"[Normal Requirement]",+'Key Business Activities'!I20)</f>
        <v>[Normal Requirement]</v>
      </c>
      <c r="D141" s="30"/>
      <c r="E141" s="30"/>
      <c r="F141" s="30"/>
      <c r="G141" s="30"/>
      <c r="H141" s="30"/>
      <c r="I141" s="31"/>
    </row>
    <row r="142" spans="2:9" x14ac:dyDescent="0.25">
      <c r="B142" s="37" t="s">
        <v>44</v>
      </c>
      <c r="C142" s="46" t="str">
        <f>IF(ISBLANK(+'Key Business Activities'!J20),"[Normal Requirement]",+'Key Business Activities'!J20)</f>
        <v>[Normal Requirement]</v>
      </c>
      <c r="D142" s="30"/>
      <c r="E142" s="30"/>
      <c r="F142" s="30"/>
      <c r="G142" s="30"/>
      <c r="H142" s="30"/>
      <c r="I142" s="31"/>
    </row>
    <row r="143" spans="2:9" x14ac:dyDescent="0.25">
      <c r="B143" s="37" t="s">
        <v>45</v>
      </c>
      <c r="C143" s="46" t="str">
        <f>IF(ISBLANK(+'Key Business Activities'!K20),"[Normal Requirement]",+'Key Business Activities'!K20)</f>
        <v>[Normal Requirement]</v>
      </c>
      <c r="D143" s="30"/>
      <c r="E143" s="30"/>
      <c r="F143" s="30"/>
      <c r="G143" s="30"/>
      <c r="H143" s="30"/>
      <c r="I143" s="31"/>
    </row>
    <row r="144" spans="2:9" x14ac:dyDescent="0.25">
      <c r="G144" s="47"/>
      <c r="H144" s="47"/>
      <c r="I144" s="47"/>
    </row>
    <row r="145" spans="2:9" x14ac:dyDescent="0.25">
      <c r="G145" s="61" t="s">
        <v>116</v>
      </c>
      <c r="H145" s="69" t="str">
        <f>IF(ISBLANK(+'Key Targets'!E19),"[RTO]",+'Key Targets'!E19)</f>
        <v>[RTO]</v>
      </c>
      <c r="I145" s="63"/>
    </row>
    <row r="146" spans="2:9" x14ac:dyDescent="0.25">
      <c r="G146" s="64" t="s">
        <v>117</v>
      </c>
      <c r="H146" s="70" t="str">
        <f>IF(ISBLANK(+'Key Targets'!F19),"[MBCO]",+'Key Targets'!F19)</f>
        <v>[MBCO]</v>
      </c>
      <c r="I146" s="66"/>
    </row>
    <row r="147" spans="2:9" x14ac:dyDescent="0.25">
      <c r="H147" s="39"/>
      <c r="I147" s="47"/>
    </row>
    <row r="149" spans="2:9" ht="21" customHeight="1" x14ac:dyDescent="0.25">
      <c r="B149" s="67" t="s">
        <v>103</v>
      </c>
      <c r="C149" s="68" t="s">
        <v>118</v>
      </c>
      <c r="D149" s="68" t="str">
        <f>IF(ISBLANK(+'Key Business Activities'!C21),"[Business activity]",+'Key Business Activities'!C21)</f>
        <v>[Business activity]</v>
      </c>
      <c r="E149" s="67"/>
      <c r="F149" s="67"/>
      <c r="G149" s="67"/>
      <c r="H149" s="67"/>
      <c r="I149" s="67"/>
    </row>
    <row r="150" spans="2:9" ht="21" customHeight="1" x14ac:dyDescent="0.25">
      <c r="B150" s="41" t="s">
        <v>86</v>
      </c>
      <c r="C150" s="41" t="s">
        <v>84</v>
      </c>
      <c r="D150" s="41" t="s">
        <v>51</v>
      </c>
      <c r="E150" s="41" t="s">
        <v>52</v>
      </c>
      <c r="F150" s="41" t="s">
        <v>53</v>
      </c>
      <c r="G150" s="41" t="s">
        <v>54</v>
      </c>
      <c r="H150" s="41" t="s">
        <v>55</v>
      </c>
      <c r="I150" s="41" t="s">
        <v>56</v>
      </c>
    </row>
    <row r="151" spans="2:9" x14ac:dyDescent="0.25">
      <c r="B151" s="37" t="s">
        <v>1</v>
      </c>
      <c r="C151" s="46" t="str">
        <f>IF(ISBLANK(+'Key Business Activities'!D21),"[Normal Requirement]",+'Key Business Activities'!D21)</f>
        <v>[Normal Requirement]</v>
      </c>
      <c r="D151" s="30"/>
      <c r="E151" s="30"/>
      <c r="F151" s="30"/>
      <c r="G151" s="30"/>
      <c r="H151" s="30"/>
      <c r="I151" s="30"/>
    </row>
    <row r="152" spans="2:9" x14ac:dyDescent="0.25">
      <c r="B152" s="37" t="s">
        <v>83</v>
      </c>
      <c r="C152" s="46" t="str">
        <f>IF(ISBLANK(+'Key Business Activities'!E21),"[Normal Requirement]",+'Key Business Activities'!E21)</f>
        <v>[Normal Requirement]</v>
      </c>
      <c r="D152" s="30"/>
      <c r="E152" s="30"/>
      <c r="F152" s="30"/>
      <c r="G152" s="30"/>
      <c r="H152" s="30"/>
      <c r="I152" s="30"/>
    </row>
    <row r="153" spans="2:9" x14ac:dyDescent="0.25">
      <c r="B153" s="37" t="s">
        <v>40</v>
      </c>
      <c r="C153" s="46" t="str">
        <f>IF(ISBLANK(+'Key Business Activities'!F21),"[Normal Requirement]",+'Key Business Activities'!F21)</f>
        <v>[Normal Requirement]</v>
      </c>
      <c r="D153" s="30"/>
      <c r="E153" s="30"/>
      <c r="F153" s="30"/>
      <c r="G153" s="30"/>
      <c r="H153" s="30"/>
      <c r="I153" s="30"/>
    </row>
    <row r="154" spans="2:9" x14ac:dyDescent="0.25">
      <c r="B154" s="37" t="s">
        <v>41</v>
      </c>
      <c r="C154" s="46" t="str">
        <f>IF(ISBLANK(+'Key Business Activities'!G21),"[Normal Requirement]",+'Key Business Activities'!G21)</f>
        <v>[Normal Requirement]</v>
      </c>
      <c r="D154" s="30"/>
      <c r="E154" s="30"/>
      <c r="F154" s="30"/>
      <c r="G154" s="30"/>
      <c r="H154" s="30"/>
      <c r="I154" s="30"/>
    </row>
    <row r="155" spans="2:9" x14ac:dyDescent="0.25">
      <c r="B155" s="37" t="s">
        <v>42</v>
      </c>
      <c r="C155" s="46" t="str">
        <f>IF(ISBLANK(+'Key Business Activities'!H21),"[Normal Requirement]",+'Key Business Activities'!H21)</f>
        <v>[Normal Requirement]</v>
      </c>
      <c r="D155" s="30"/>
      <c r="E155" s="30"/>
      <c r="F155" s="30"/>
      <c r="G155" s="30"/>
      <c r="H155" s="30"/>
      <c r="I155" s="30"/>
    </row>
    <row r="156" spans="2:9" x14ac:dyDescent="0.25">
      <c r="B156" s="37" t="s">
        <v>43</v>
      </c>
      <c r="C156" s="46" t="str">
        <f>IF(ISBLANK(+'Key Business Activities'!I21),"[Normal Requirement]",+'Key Business Activities'!I21)</f>
        <v>[Normal Requirement]</v>
      </c>
      <c r="D156" s="30"/>
      <c r="E156" s="30"/>
      <c r="F156" s="30"/>
      <c r="G156" s="30"/>
      <c r="H156" s="30"/>
      <c r="I156" s="31"/>
    </row>
    <row r="157" spans="2:9" x14ac:dyDescent="0.25">
      <c r="B157" s="37" t="s">
        <v>44</v>
      </c>
      <c r="C157" s="46" t="str">
        <f>IF(ISBLANK(+'Key Business Activities'!J21),"[Normal Requirement]",+'Key Business Activities'!J21)</f>
        <v>[Normal Requirement]</v>
      </c>
      <c r="D157" s="30"/>
      <c r="E157" s="30"/>
      <c r="F157" s="30"/>
      <c r="G157" s="30"/>
      <c r="H157" s="30"/>
      <c r="I157" s="31"/>
    </row>
    <row r="158" spans="2:9" x14ac:dyDescent="0.25">
      <c r="B158" s="37" t="s">
        <v>45</v>
      </c>
      <c r="C158" s="46" t="str">
        <f>IF(ISBLANK(+'Key Business Activities'!K21),"[Normal Requirement]",+'Key Business Activities'!K21)</f>
        <v>[Normal Requirement]</v>
      </c>
      <c r="D158" s="30"/>
      <c r="E158" s="30"/>
      <c r="F158" s="30"/>
      <c r="G158" s="30"/>
      <c r="H158" s="30"/>
      <c r="I158" s="31"/>
    </row>
    <row r="159" spans="2:9" x14ac:dyDescent="0.25">
      <c r="G159" s="47"/>
      <c r="H159" s="47"/>
      <c r="I159" s="47"/>
    </row>
    <row r="160" spans="2:9" x14ac:dyDescent="0.25">
      <c r="G160" s="61" t="s">
        <v>116</v>
      </c>
      <c r="H160" s="69" t="str">
        <f>IF(ISBLANK(+'Key Targets'!E20),"[RTO]",+'Key Targets'!E20)</f>
        <v>[RTO]</v>
      </c>
      <c r="I160" s="63"/>
    </row>
    <row r="161" spans="2:9" x14ac:dyDescent="0.25">
      <c r="G161" s="64" t="s">
        <v>117</v>
      </c>
      <c r="H161" s="70" t="str">
        <f>IF(ISBLANK(+'Key Targets'!F20),"[MBCO]",+'Key Targets'!F20)</f>
        <v>[MBCO]</v>
      </c>
      <c r="I161" s="66"/>
    </row>
    <row r="162" spans="2:9" x14ac:dyDescent="0.25">
      <c r="H162" s="39"/>
      <c r="I162" s="47"/>
    </row>
    <row r="164" spans="2:9" ht="21" customHeight="1" x14ac:dyDescent="0.25">
      <c r="B164" s="67" t="s">
        <v>104</v>
      </c>
      <c r="C164" s="68" t="s">
        <v>118</v>
      </c>
      <c r="D164" s="68" t="str">
        <f>IF(ISBLANK(+'Key Business Activities'!C22),"[Business activity]",+'Key Business Activities'!C22)</f>
        <v>[Business activity]</v>
      </c>
      <c r="E164" s="67"/>
      <c r="F164" s="67"/>
      <c r="G164" s="67"/>
      <c r="H164" s="67"/>
      <c r="I164" s="67"/>
    </row>
    <row r="165" spans="2:9" ht="21" customHeight="1" x14ac:dyDescent="0.25">
      <c r="B165" s="41" t="s">
        <v>86</v>
      </c>
      <c r="C165" s="41" t="s">
        <v>84</v>
      </c>
      <c r="D165" s="41" t="s">
        <v>51</v>
      </c>
      <c r="E165" s="41" t="s">
        <v>52</v>
      </c>
      <c r="F165" s="41" t="s">
        <v>53</v>
      </c>
      <c r="G165" s="41" t="s">
        <v>54</v>
      </c>
      <c r="H165" s="41" t="s">
        <v>55</v>
      </c>
      <c r="I165" s="41" t="s">
        <v>56</v>
      </c>
    </row>
    <row r="166" spans="2:9" x14ac:dyDescent="0.25">
      <c r="B166" s="37" t="s">
        <v>1</v>
      </c>
      <c r="C166" s="46" t="str">
        <f>IF(ISBLANK(+'Key Business Activities'!D22),"[Normal Requirement]",+'Key Business Activities'!D22)</f>
        <v>[Normal Requirement]</v>
      </c>
      <c r="D166" s="30"/>
      <c r="E166" s="30"/>
      <c r="F166" s="30"/>
      <c r="G166" s="30"/>
      <c r="H166" s="30"/>
      <c r="I166" s="30"/>
    </row>
    <row r="167" spans="2:9" x14ac:dyDescent="0.25">
      <c r="B167" s="37" t="s">
        <v>83</v>
      </c>
      <c r="C167" s="46" t="str">
        <f>IF(ISBLANK(+'Key Business Activities'!E22),"[Normal Requirement]",+'Key Business Activities'!E22)</f>
        <v>[Normal Requirement]</v>
      </c>
      <c r="D167" s="30"/>
      <c r="E167" s="30"/>
      <c r="F167" s="30"/>
      <c r="G167" s="30"/>
      <c r="H167" s="30"/>
      <c r="I167" s="30"/>
    </row>
    <row r="168" spans="2:9" x14ac:dyDescent="0.25">
      <c r="B168" s="37" t="s">
        <v>40</v>
      </c>
      <c r="C168" s="46" t="str">
        <f>IF(ISBLANK(+'Key Business Activities'!F22),"[Normal Requirement]",+'Key Business Activities'!F22)</f>
        <v>[Normal Requirement]</v>
      </c>
      <c r="D168" s="30"/>
      <c r="E168" s="30"/>
      <c r="F168" s="30"/>
      <c r="G168" s="30"/>
      <c r="H168" s="30"/>
      <c r="I168" s="30"/>
    </row>
    <row r="169" spans="2:9" x14ac:dyDescent="0.25">
      <c r="B169" s="37" t="s">
        <v>41</v>
      </c>
      <c r="C169" s="46" t="str">
        <f>IF(ISBLANK(+'Key Business Activities'!G22),"[Normal Requirement]",+'Key Business Activities'!G22)</f>
        <v>[Normal Requirement]</v>
      </c>
      <c r="D169" s="30"/>
      <c r="E169" s="30"/>
      <c r="F169" s="30"/>
      <c r="G169" s="30"/>
      <c r="H169" s="30"/>
      <c r="I169" s="30"/>
    </row>
    <row r="170" spans="2:9" x14ac:dyDescent="0.25">
      <c r="B170" s="37" t="s">
        <v>42</v>
      </c>
      <c r="C170" s="46" t="str">
        <f>IF(ISBLANK(+'Key Business Activities'!H22),"[Normal Requirement]",+'Key Business Activities'!H22)</f>
        <v>[Normal Requirement]</v>
      </c>
      <c r="D170" s="30"/>
      <c r="E170" s="30"/>
      <c r="F170" s="30"/>
      <c r="G170" s="30"/>
      <c r="H170" s="30"/>
      <c r="I170" s="30"/>
    </row>
    <row r="171" spans="2:9" x14ac:dyDescent="0.25">
      <c r="B171" s="37" t="s">
        <v>43</v>
      </c>
      <c r="C171" s="46" t="str">
        <f>IF(ISBLANK(+'Key Business Activities'!I22),"[Normal Requirement]",+'Key Business Activities'!I22)</f>
        <v>[Normal Requirement]</v>
      </c>
      <c r="D171" s="30"/>
      <c r="E171" s="30"/>
      <c r="F171" s="30"/>
      <c r="G171" s="30"/>
      <c r="H171" s="30"/>
      <c r="I171" s="31"/>
    </row>
    <row r="172" spans="2:9" x14ac:dyDescent="0.25">
      <c r="B172" s="37" t="s">
        <v>44</v>
      </c>
      <c r="C172" s="46" t="str">
        <f>IF(ISBLANK(+'Key Business Activities'!J22),"[Normal Requirement]",+'Key Business Activities'!J22)</f>
        <v>[Normal Requirement]</v>
      </c>
      <c r="D172" s="30"/>
      <c r="E172" s="30"/>
      <c r="F172" s="30"/>
      <c r="G172" s="30"/>
      <c r="H172" s="30"/>
      <c r="I172" s="31"/>
    </row>
    <row r="173" spans="2:9" x14ac:dyDescent="0.25">
      <c r="B173" s="37" t="s">
        <v>45</v>
      </c>
      <c r="C173" s="46" t="str">
        <f>IF(ISBLANK(+'Key Business Activities'!K22),"[Normal Requirement]",+'Key Business Activities'!K22)</f>
        <v>[Normal Requirement]</v>
      </c>
      <c r="D173" s="30"/>
      <c r="E173" s="30"/>
      <c r="F173" s="30"/>
      <c r="G173" s="30"/>
      <c r="H173" s="30"/>
      <c r="I173" s="31"/>
    </row>
    <row r="174" spans="2:9" x14ac:dyDescent="0.25">
      <c r="G174" s="47"/>
      <c r="H174" s="47"/>
      <c r="I174" s="47"/>
    </row>
    <row r="175" spans="2:9" x14ac:dyDescent="0.25">
      <c r="G175" s="61" t="s">
        <v>116</v>
      </c>
      <c r="H175" s="69" t="str">
        <f>IF(ISBLANK(+'Key Targets'!E21),"[RTO]",+'Key Targets'!E21)</f>
        <v>[RTO]</v>
      </c>
      <c r="I175" s="63"/>
    </row>
    <row r="176" spans="2:9" x14ac:dyDescent="0.25">
      <c r="G176" s="64" t="s">
        <v>117</v>
      </c>
      <c r="H176" s="70" t="str">
        <f>IF(ISBLANK(+'Key Targets'!F21),"[MBCO]",+'Key Targets'!F21)</f>
        <v>[MBCO]</v>
      </c>
      <c r="I176" s="66"/>
    </row>
    <row r="177" spans="8:9" x14ac:dyDescent="0.25">
      <c r="H177" s="39"/>
      <c r="I177" s="47"/>
    </row>
  </sheetData>
  <pageMargins left="0.23622047244094491" right="0.23622047244094491" top="0.59055118110236227" bottom="0.59055118110236227" header="0.31496062992125984" footer="0.31496062992125984"/>
  <pageSetup paperSize="9" scale="59" fitToHeight="0" orientation="landscape" horizontalDpi="1200" verticalDpi="1200" r:id="rId1"/>
  <headerFooter>
    <oddFooter>&amp;L&amp;D&amp;CPage &amp;P of &amp;N</oddFooter>
  </headerFooter>
  <rowBreaks count="2" manualBreakCount="2">
    <brk id="42" max="16383" man="1"/>
    <brk id="132" max="16383" man="1"/>
  </rowBreaks>
  <ignoredErrors>
    <ignoredError sqref="C32:C38 C47:C53 C62:C68 C77:C83 C92:C98 C107:C113 C122:C128 C137:C143 C152:C158 C167:C173" calculatedColumn="1"/>
    <ignoredError sqref="H40:H41 H55:H56 H70:H71 H85:H86 H100:H101 H115:H116 H130:H131 H145:H146 H160:H161 H175:H176" unlockedFormula="1"/>
  </ignoredErrors>
  <drawing r:id="rId2"/>
  <tableParts count="11">
    <tablePart r:id="rId3"/>
    <tablePart r:id="rId4"/>
    <tablePart r:id="rId5"/>
    <tablePart r:id="rId6"/>
    <tablePart r:id="rId7"/>
    <tablePart r:id="rId8"/>
    <tablePart r:id="rId9"/>
    <tablePart r:id="rId10"/>
    <tablePart r:id="rId11"/>
    <tablePart r:id="rId12"/>
    <tablePart r:id="rId1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95142-1002-401A-9E74-42D938210619}">
  <sheetPr>
    <pageSetUpPr fitToPage="1"/>
  </sheetPr>
  <dimension ref="A2:Q35"/>
  <sheetViews>
    <sheetView showGridLines="0" zoomScaleNormal="100" workbookViewId="0"/>
  </sheetViews>
  <sheetFormatPr defaultRowHeight="15" x14ac:dyDescent="0.25"/>
  <cols>
    <col min="1" max="1" width="2.85546875" style="7" customWidth="1"/>
    <col min="2" max="2" width="4.85546875" style="7" customWidth="1"/>
    <col min="3" max="3" width="42.85546875" style="7" customWidth="1"/>
    <col min="4" max="4" width="13.42578125" style="7" customWidth="1"/>
    <col min="5" max="5" width="80.28515625" style="7" customWidth="1"/>
    <col min="6" max="6" width="31" style="7" customWidth="1"/>
    <col min="7" max="7" width="20.85546875" style="7" customWidth="1"/>
    <col min="8" max="8" width="13.140625" style="7" customWidth="1"/>
    <col min="9" max="9" width="15" style="7" customWidth="1"/>
    <col min="10" max="10" width="10.28515625" style="7" customWidth="1"/>
    <col min="11" max="11" width="14.85546875" style="7" customWidth="1"/>
    <col min="12" max="12" width="19.5703125" style="7" customWidth="1"/>
    <col min="13" max="13" width="30.28515625" style="7" customWidth="1"/>
    <col min="14" max="16384" width="9.140625" style="7"/>
  </cols>
  <sheetData>
    <row r="2" spans="1:16" x14ac:dyDescent="0.25">
      <c r="B2" s="8"/>
    </row>
    <row r="3" spans="1:16" x14ac:dyDescent="0.25">
      <c r="B3" s="8"/>
    </row>
    <row r="4" spans="1:16" x14ac:dyDescent="0.25">
      <c r="B4" s="8"/>
    </row>
    <row r="5" spans="1:16" x14ac:dyDescent="0.25">
      <c r="B5" s="8"/>
    </row>
    <row r="6" spans="1:16" x14ac:dyDescent="0.25">
      <c r="B6" s="8"/>
    </row>
    <row r="8" spans="1:16" ht="21" x14ac:dyDescent="0.25">
      <c r="B8" s="19" t="s">
        <v>94</v>
      </c>
      <c r="C8" s="24"/>
      <c r="D8" s="24"/>
    </row>
    <row r="9" spans="1:16" x14ac:dyDescent="0.25">
      <c r="B9" s="58" t="s">
        <v>95</v>
      </c>
      <c r="C9" s="24"/>
      <c r="D9" s="24"/>
    </row>
    <row r="10" spans="1:16" x14ac:dyDescent="0.25">
      <c r="B10" s="9"/>
      <c r="C10" s="9"/>
      <c r="D10" s="9"/>
      <c r="E10" s="9"/>
      <c r="F10" s="9"/>
      <c r="G10" s="9"/>
      <c r="H10" s="10"/>
      <c r="I10" s="10"/>
      <c r="J10" s="10"/>
      <c r="K10" s="9"/>
      <c r="L10" s="9"/>
      <c r="M10" s="10"/>
      <c r="N10" s="10"/>
      <c r="O10" s="9"/>
      <c r="P10" s="9"/>
    </row>
    <row r="11" spans="1:16" ht="21" customHeight="1" x14ac:dyDescent="0.25">
      <c r="A11" s="1"/>
      <c r="B11" s="10" t="s">
        <v>81</v>
      </c>
      <c r="C11" s="10" t="s">
        <v>82</v>
      </c>
      <c r="D11" s="10" t="s">
        <v>78</v>
      </c>
      <c r="E11" s="10" t="s">
        <v>96</v>
      </c>
      <c r="F11" s="3"/>
    </row>
    <row r="12" spans="1:16" ht="30" x14ac:dyDescent="0.25">
      <c r="A12" s="1"/>
      <c r="B12" s="13" t="s">
        <v>25</v>
      </c>
      <c r="C12" s="5" t="s">
        <v>191</v>
      </c>
      <c r="D12" s="5" t="s">
        <v>218</v>
      </c>
      <c r="E12" s="5" t="s">
        <v>219</v>
      </c>
      <c r="F12" s="4"/>
    </row>
    <row r="13" spans="1:16" ht="30" x14ac:dyDescent="0.25">
      <c r="A13" s="1"/>
      <c r="B13" s="13" t="s">
        <v>26</v>
      </c>
      <c r="C13" s="5" t="s">
        <v>44</v>
      </c>
      <c r="D13" s="5" t="s">
        <v>210</v>
      </c>
      <c r="E13" s="5" t="s">
        <v>211</v>
      </c>
      <c r="F13" s="4"/>
    </row>
    <row r="14" spans="1:16" ht="30" x14ac:dyDescent="0.25">
      <c r="A14" s="1"/>
      <c r="B14" s="13" t="s">
        <v>27</v>
      </c>
      <c r="C14" s="5" t="s">
        <v>153</v>
      </c>
      <c r="D14" s="5" t="s">
        <v>210</v>
      </c>
      <c r="E14" s="5" t="s">
        <v>213</v>
      </c>
      <c r="F14" s="4"/>
    </row>
    <row r="15" spans="1:16" ht="30" x14ac:dyDescent="0.25">
      <c r="A15" s="1"/>
      <c r="B15" s="13" t="s">
        <v>28</v>
      </c>
      <c r="C15" s="5" t="s">
        <v>163</v>
      </c>
      <c r="D15" s="5" t="s">
        <v>210</v>
      </c>
      <c r="E15" s="5" t="s">
        <v>214</v>
      </c>
      <c r="F15" s="4"/>
    </row>
    <row r="16" spans="1:16" ht="30" x14ac:dyDescent="0.25">
      <c r="A16" s="1"/>
      <c r="B16" s="13" t="s">
        <v>29</v>
      </c>
      <c r="C16" s="5" t="s">
        <v>172</v>
      </c>
      <c r="D16" s="5" t="s">
        <v>210</v>
      </c>
      <c r="E16" s="5" t="s">
        <v>215</v>
      </c>
      <c r="F16" s="4"/>
    </row>
    <row r="17" spans="1:17" ht="30" x14ac:dyDescent="0.25">
      <c r="A17" s="1"/>
      <c r="B17" s="13" t="s">
        <v>30</v>
      </c>
      <c r="C17" s="5" t="s">
        <v>132</v>
      </c>
      <c r="D17" s="5" t="s">
        <v>207</v>
      </c>
      <c r="E17" s="5" t="s">
        <v>208</v>
      </c>
      <c r="F17" s="4"/>
    </row>
    <row r="18" spans="1:17" ht="30" x14ac:dyDescent="0.25">
      <c r="A18" s="1"/>
      <c r="B18" s="13" t="s">
        <v>31</v>
      </c>
      <c r="C18" s="5" t="s">
        <v>181</v>
      </c>
      <c r="D18" s="5" t="s">
        <v>207</v>
      </c>
      <c r="E18" s="5" t="s">
        <v>217</v>
      </c>
      <c r="F18" s="4"/>
    </row>
    <row r="19" spans="1:17" ht="30" x14ac:dyDescent="0.25">
      <c r="A19" s="1"/>
      <c r="B19" s="13" t="s">
        <v>32</v>
      </c>
      <c r="C19" s="5"/>
      <c r="D19" s="5"/>
      <c r="E19" s="5"/>
      <c r="F19" s="4"/>
    </row>
    <row r="20" spans="1:17" ht="30" x14ac:dyDescent="0.25">
      <c r="A20" s="1"/>
      <c r="B20" s="13" t="s">
        <v>33</v>
      </c>
      <c r="C20" s="5"/>
      <c r="D20" s="5"/>
      <c r="E20" s="5"/>
      <c r="F20" s="4"/>
    </row>
    <row r="21" spans="1:17" ht="30" x14ac:dyDescent="0.25">
      <c r="A21" s="1"/>
      <c r="B21" s="13" t="s">
        <v>34</v>
      </c>
      <c r="C21" s="5"/>
      <c r="D21" s="5"/>
      <c r="E21" s="5"/>
      <c r="F21" s="4"/>
    </row>
    <row r="22" spans="1:17" x14ac:dyDescent="0.25">
      <c r="A22" s="1"/>
      <c r="B22" s="1"/>
      <c r="C22" s="1"/>
      <c r="D22" s="1"/>
      <c r="E22" s="1"/>
      <c r="F22" s="1"/>
      <c r="G22" s="1"/>
      <c r="H22" s="1"/>
      <c r="I22" s="1"/>
      <c r="J22" s="1"/>
      <c r="K22" s="1"/>
      <c r="L22" s="1"/>
      <c r="M22" s="1"/>
      <c r="N22" s="4"/>
    </row>
    <row r="23" spans="1:17" x14ac:dyDescent="0.25">
      <c r="A23" s="1"/>
      <c r="B23" s="1"/>
      <c r="C23" s="1"/>
      <c r="D23" s="1"/>
      <c r="E23" s="1"/>
      <c r="F23" s="1"/>
      <c r="G23" s="4"/>
      <c r="H23" s="4"/>
      <c r="I23" s="4"/>
      <c r="J23" s="4"/>
      <c r="K23" s="4"/>
      <c r="L23" s="4"/>
      <c r="M23" s="4"/>
      <c r="N23" s="4"/>
    </row>
    <row r="24" spans="1:17" x14ac:dyDescent="0.25">
      <c r="A24" s="1"/>
      <c r="B24" s="1"/>
      <c r="C24" s="1"/>
      <c r="D24" s="1"/>
      <c r="E24" s="1"/>
      <c r="F24" s="4"/>
      <c r="G24" s="4"/>
      <c r="H24" s="4"/>
      <c r="I24" s="4"/>
      <c r="J24" s="4"/>
      <c r="K24" s="4"/>
      <c r="L24" s="4"/>
      <c r="M24" s="4"/>
      <c r="N24" s="4"/>
    </row>
    <row r="25" spans="1:17" x14ac:dyDescent="0.25">
      <c r="A25" s="1"/>
      <c r="B25" s="1"/>
      <c r="C25" s="1"/>
      <c r="D25" s="1"/>
      <c r="E25" s="1"/>
      <c r="F25" s="4"/>
      <c r="G25" s="4"/>
      <c r="H25" s="4"/>
      <c r="I25" s="4"/>
      <c r="J25" s="4"/>
      <c r="K25" s="4"/>
      <c r="L25" s="4"/>
      <c r="M25" s="4"/>
      <c r="N25" s="1"/>
    </row>
    <row r="26" spans="1:17" x14ac:dyDescent="0.25">
      <c r="A26" s="1"/>
      <c r="N26" s="1"/>
    </row>
    <row r="27" spans="1:17" x14ac:dyDescent="0.25">
      <c r="A27" s="1"/>
      <c r="N27" s="1"/>
    </row>
    <row r="28" spans="1:17" x14ac:dyDescent="0.25">
      <c r="A28" s="1"/>
      <c r="N28" s="1"/>
    </row>
    <row r="29" spans="1:17" x14ac:dyDescent="0.25">
      <c r="A29" s="1"/>
      <c r="N29" s="1"/>
    </row>
    <row r="30" spans="1:17" x14ac:dyDescent="0.25">
      <c r="A30" s="1"/>
      <c r="N30" s="1"/>
    </row>
    <row r="31" spans="1:17" x14ac:dyDescent="0.25">
      <c r="A31" s="1"/>
      <c r="N31" s="1"/>
    </row>
    <row r="32" spans="1:17" x14ac:dyDescent="0.25">
      <c r="A32" s="1"/>
      <c r="N32" s="1"/>
      <c r="O32" s="1"/>
      <c r="P32" s="1"/>
      <c r="Q32" s="1"/>
    </row>
    <row r="33" spans="1:17" x14ac:dyDescent="0.25">
      <c r="A33" s="1"/>
      <c r="N33" s="4"/>
      <c r="O33" s="4"/>
      <c r="P33" s="1"/>
      <c r="Q33" s="1"/>
    </row>
    <row r="34" spans="1:17" x14ac:dyDescent="0.25">
      <c r="A34" s="1"/>
      <c r="N34" s="4"/>
      <c r="O34" s="4"/>
      <c r="P34" s="1"/>
      <c r="Q34" s="1"/>
    </row>
    <row r="35" spans="1:17" x14ac:dyDescent="0.25">
      <c r="A35" s="1"/>
      <c r="N35" s="4"/>
      <c r="O35" s="4"/>
      <c r="P35" s="1"/>
      <c r="Q35" s="1"/>
    </row>
  </sheetData>
  <pageMargins left="0.23622047244094491" right="0.23622047244094491" top="0.59055118110236227" bottom="0.59055118110236227" header="0.31496062992125984" footer="0.31496062992125984"/>
  <pageSetup paperSize="9" scale="69" fitToHeight="0" orientation="portrait" horizontalDpi="1200" verticalDpi="1200" r:id="rId1"/>
  <headerFooter>
    <oddFooter>&amp;L&amp;D&amp;CPage &amp;P of &amp;N</oddFoot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dimension ref="A1:Q29"/>
  <sheetViews>
    <sheetView zoomScaleNormal="100" workbookViewId="0">
      <selection activeCell="I26" sqref="I26"/>
    </sheetView>
  </sheetViews>
  <sheetFormatPr defaultRowHeight="15" x14ac:dyDescent="0.25"/>
  <cols>
    <col min="1" max="1" width="15.28515625" customWidth="1"/>
    <col min="3" max="3" width="15.42578125" customWidth="1"/>
    <col min="5" max="5" width="18.28515625" customWidth="1"/>
    <col min="7" max="7" width="17.42578125" customWidth="1"/>
    <col min="8" max="8" width="26.85546875" customWidth="1"/>
    <col min="9" max="9" width="9" customWidth="1"/>
  </cols>
  <sheetData>
    <row r="1" spans="1:17" x14ac:dyDescent="0.25">
      <c r="A1" s="14" t="s">
        <v>57</v>
      </c>
    </row>
    <row r="2" spans="1:17" x14ac:dyDescent="0.25">
      <c r="A2" s="14" t="s">
        <v>0</v>
      </c>
    </row>
    <row r="3" spans="1:17" x14ac:dyDescent="0.25">
      <c r="A3" s="14">
        <v>1</v>
      </c>
      <c r="E3" s="16"/>
      <c r="F3" s="16"/>
      <c r="G3" s="16"/>
      <c r="H3" s="16"/>
      <c r="I3" s="16"/>
      <c r="J3" s="16"/>
      <c r="K3" s="16"/>
      <c r="L3" s="16"/>
    </row>
    <row r="4" spans="1:17" x14ac:dyDescent="0.25">
      <c r="A4" s="14">
        <v>2</v>
      </c>
      <c r="E4" s="16"/>
      <c r="F4" s="16"/>
      <c r="G4" s="16"/>
      <c r="H4" s="16"/>
      <c r="I4" s="16"/>
      <c r="J4" s="16"/>
      <c r="K4" s="16"/>
      <c r="L4" s="16"/>
    </row>
    <row r="5" spans="1:17" x14ac:dyDescent="0.25">
      <c r="A5" s="14">
        <v>3</v>
      </c>
      <c r="E5" s="16"/>
      <c r="F5" s="16"/>
      <c r="G5" s="16"/>
      <c r="H5" s="16"/>
      <c r="I5" s="16"/>
      <c r="J5" s="16"/>
      <c r="K5" s="16"/>
      <c r="L5" s="16"/>
      <c r="M5" s="16"/>
      <c r="N5" s="16"/>
      <c r="O5" s="16"/>
      <c r="P5" s="16"/>
      <c r="Q5" s="16"/>
    </row>
    <row r="6" spans="1:17" x14ac:dyDescent="0.25">
      <c r="A6" s="14">
        <v>4</v>
      </c>
      <c r="E6" s="16"/>
      <c r="F6" s="16"/>
      <c r="G6" s="17"/>
      <c r="H6" s="16"/>
      <c r="I6" s="16"/>
      <c r="J6" s="16"/>
      <c r="K6" s="16"/>
      <c r="L6" s="16"/>
      <c r="M6" s="16"/>
      <c r="N6" s="16"/>
      <c r="O6" s="16"/>
      <c r="P6" s="16"/>
      <c r="Q6" s="16"/>
    </row>
    <row r="7" spans="1:17" x14ac:dyDescent="0.25">
      <c r="A7" s="14">
        <v>5</v>
      </c>
      <c r="E7" s="16"/>
      <c r="F7" s="16"/>
      <c r="G7" s="17"/>
      <c r="H7" s="16"/>
      <c r="I7" s="16"/>
      <c r="J7" s="16"/>
      <c r="K7" s="16"/>
      <c r="L7" s="16"/>
      <c r="M7" s="16"/>
      <c r="N7" s="16"/>
      <c r="O7" s="16"/>
      <c r="P7" s="16"/>
      <c r="Q7" s="16"/>
    </row>
    <row r="8" spans="1:17" x14ac:dyDescent="0.25">
      <c r="E8" s="16"/>
      <c r="F8" s="16"/>
      <c r="G8" s="17"/>
      <c r="H8" s="16"/>
      <c r="I8" s="16"/>
      <c r="J8" s="16"/>
      <c r="K8" s="16"/>
      <c r="L8" s="16"/>
      <c r="M8" s="16"/>
      <c r="N8" s="16"/>
      <c r="O8" s="16"/>
      <c r="P8" s="16"/>
      <c r="Q8" s="16"/>
    </row>
    <row r="9" spans="1:17" x14ac:dyDescent="0.25">
      <c r="E9" s="16"/>
      <c r="F9" s="16"/>
      <c r="G9" s="17"/>
      <c r="H9" s="17"/>
      <c r="I9" s="17"/>
      <c r="J9" s="17"/>
      <c r="K9" s="17"/>
      <c r="L9" s="17"/>
      <c r="M9" s="17"/>
      <c r="N9" s="17"/>
      <c r="O9" s="16"/>
      <c r="P9" s="16"/>
      <c r="Q9" s="16"/>
    </row>
    <row r="10" spans="1:17" x14ac:dyDescent="0.25">
      <c r="E10" s="16"/>
      <c r="F10" s="16"/>
      <c r="G10" s="17"/>
      <c r="H10" s="16"/>
      <c r="I10" s="16"/>
      <c r="J10" s="16"/>
      <c r="K10" s="17"/>
      <c r="L10" s="16"/>
      <c r="M10" s="16"/>
      <c r="N10" s="16"/>
      <c r="O10" s="16"/>
      <c r="P10" s="16"/>
      <c r="Q10" s="16"/>
    </row>
    <row r="11" spans="1:17" x14ac:dyDescent="0.25">
      <c r="E11" s="16"/>
      <c r="F11" s="16"/>
      <c r="G11" s="17"/>
      <c r="H11" s="16"/>
      <c r="I11" s="16"/>
      <c r="J11" s="16"/>
      <c r="K11" s="17"/>
      <c r="L11" s="16"/>
      <c r="M11" s="16"/>
      <c r="N11" s="16"/>
      <c r="O11" s="16"/>
      <c r="P11" s="16"/>
      <c r="Q11" s="16"/>
    </row>
    <row r="12" spans="1:17" x14ac:dyDescent="0.25">
      <c r="E12" s="16"/>
      <c r="F12" s="16"/>
      <c r="G12" s="17"/>
      <c r="H12" s="16"/>
      <c r="I12" s="16"/>
      <c r="J12" s="16"/>
      <c r="K12" s="17"/>
      <c r="L12" s="16"/>
      <c r="M12" s="16"/>
      <c r="N12" s="16"/>
      <c r="O12" s="16"/>
      <c r="P12" s="16"/>
      <c r="Q12" s="16"/>
    </row>
    <row r="13" spans="1:17" x14ac:dyDescent="0.25">
      <c r="E13" s="16"/>
      <c r="F13" s="16"/>
      <c r="G13" s="17"/>
      <c r="H13" s="17"/>
      <c r="I13" s="17"/>
      <c r="J13" s="17"/>
      <c r="K13" s="17"/>
      <c r="L13" s="17"/>
      <c r="M13" s="17"/>
      <c r="N13" s="17"/>
      <c r="O13" s="16"/>
      <c r="P13" s="16"/>
      <c r="Q13" s="16"/>
    </row>
    <row r="14" spans="1:17" x14ac:dyDescent="0.25">
      <c r="E14" s="16"/>
      <c r="F14" s="16"/>
      <c r="G14" s="17"/>
      <c r="H14" s="16"/>
      <c r="I14" s="16"/>
      <c r="J14" s="16"/>
      <c r="K14" s="17"/>
      <c r="L14" s="16"/>
      <c r="M14" s="16"/>
      <c r="N14" s="16"/>
      <c r="O14" s="16"/>
      <c r="P14" s="16"/>
      <c r="Q14" s="16"/>
    </row>
    <row r="15" spans="1:17" x14ac:dyDescent="0.25">
      <c r="D15" s="16"/>
      <c r="E15" s="16"/>
      <c r="F15" s="16"/>
      <c r="G15" s="17"/>
      <c r="H15" s="16"/>
      <c r="I15" s="16"/>
      <c r="J15" s="16"/>
      <c r="K15" s="17"/>
      <c r="L15" s="16"/>
      <c r="M15" s="16"/>
      <c r="N15" s="16"/>
      <c r="O15" s="16"/>
      <c r="P15" s="16"/>
      <c r="Q15" s="16"/>
    </row>
    <row r="16" spans="1:17" x14ac:dyDescent="0.25">
      <c r="D16" s="16"/>
      <c r="E16" s="16"/>
      <c r="F16" s="16"/>
      <c r="G16" s="17"/>
      <c r="H16" s="16"/>
      <c r="I16" s="16"/>
      <c r="J16" s="16"/>
      <c r="K16" s="17"/>
      <c r="L16" s="16"/>
      <c r="M16" s="16"/>
      <c r="N16" s="16"/>
      <c r="O16" s="16"/>
      <c r="P16" s="16"/>
      <c r="Q16" s="16"/>
    </row>
    <row r="17" spans="5:17" x14ac:dyDescent="0.25">
      <c r="E17" s="16"/>
      <c r="F17" s="16"/>
      <c r="G17" s="17"/>
      <c r="H17" s="16"/>
      <c r="I17" s="16"/>
      <c r="J17" s="16"/>
      <c r="K17" s="17"/>
      <c r="L17" s="16"/>
      <c r="M17" s="16"/>
      <c r="N17" s="16"/>
      <c r="O17" s="16"/>
      <c r="P17" s="16"/>
      <c r="Q17" s="16"/>
    </row>
    <row r="18" spans="5:17" x14ac:dyDescent="0.25">
      <c r="E18" s="16"/>
      <c r="F18" s="16"/>
      <c r="G18" s="17"/>
      <c r="H18" s="16"/>
      <c r="I18" s="16"/>
      <c r="J18" s="16"/>
      <c r="K18" s="16"/>
      <c r="L18" s="16"/>
      <c r="M18" s="16"/>
      <c r="N18" s="16"/>
      <c r="O18" s="16"/>
      <c r="P18" s="16"/>
      <c r="Q18" s="16"/>
    </row>
    <row r="19" spans="5:17" x14ac:dyDescent="0.25">
      <c r="E19" s="16"/>
      <c r="F19" s="16"/>
      <c r="G19" s="17"/>
      <c r="H19" s="16"/>
      <c r="I19" s="16"/>
      <c r="J19" s="16"/>
      <c r="K19" s="16"/>
      <c r="L19" s="16"/>
      <c r="M19" s="16"/>
      <c r="N19" s="16"/>
      <c r="O19" s="16"/>
      <c r="P19" s="16"/>
      <c r="Q19" s="16"/>
    </row>
    <row r="20" spans="5:17" x14ac:dyDescent="0.25">
      <c r="E20" s="16"/>
      <c r="F20" s="16"/>
      <c r="G20" s="17"/>
      <c r="H20" s="16"/>
      <c r="I20" s="16"/>
      <c r="J20" s="16"/>
      <c r="K20" s="16"/>
      <c r="L20" s="16"/>
      <c r="M20" s="16"/>
      <c r="N20" s="16"/>
      <c r="O20" s="16"/>
      <c r="P20" s="16"/>
      <c r="Q20" s="16"/>
    </row>
    <row r="21" spans="5:17" x14ac:dyDescent="0.25">
      <c r="E21" s="16"/>
      <c r="F21" s="16"/>
      <c r="G21" s="17"/>
      <c r="H21" s="16"/>
      <c r="I21" s="16"/>
      <c r="J21" s="16"/>
      <c r="K21" s="16"/>
      <c r="L21" s="16"/>
      <c r="M21" s="16"/>
      <c r="N21" s="16"/>
      <c r="O21" s="16"/>
      <c r="P21" s="16"/>
      <c r="Q21" s="16"/>
    </row>
    <row r="22" spans="5:17" x14ac:dyDescent="0.25">
      <c r="E22" s="16"/>
      <c r="F22" s="16"/>
      <c r="G22" s="16"/>
      <c r="H22" s="16"/>
      <c r="I22" s="16"/>
      <c r="J22" s="16"/>
      <c r="K22" s="16"/>
      <c r="L22" s="16"/>
      <c r="M22" s="16"/>
      <c r="N22" s="16"/>
      <c r="O22" s="16"/>
      <c r="P22" s="16"/>
      <c r="Q22" s="16"/>
    </row>
    <row r="23" spans="5:17" x14ac:dyDescent="0.25">
      <c r="E23" s="16"/>
      <c r="F23" s="16"/>
      <c r="G23" s="16"/>
      <c r="H23" s="16"/>
      <c r="I23" s="16"/>
      <c r="J23" s="16"/>
      <c r="K23" s="16"/>
      <c r="L23" s="16"/>
      <c r="M23" s="16"/>
      <c r="N23" s="16"/>
      <c r="O23" s="16"/>
      <c r="P23" s="16"/>
      <c r="Q23" s="16"/>
    </row>
    <row r="24" spans="5:17" x14ac:dyDescent="0.25">
      <c r="E24" s="16"/>
      <c r="F24" s="16"/>
      <c r="G24" s="16"/>
      <c r="H24" s="16"/>
      <c r="I24" s="16"/>
      <c r="J24" s="16"/>
      <c r="K24" s="16"/>
      <c r="L24" s="16"/>
      <c r="M24" s="16"/>
      <c r="N24" s="16"/>
      <c r="O24" s="16"/>
      <c r="P24" s="16"/>
      <c r="Q24" s="16"/>
    </row>
    <row r="25" spans="5:17" x14ac:dyDescent="0.25">
      <c r="E25" s="16"/>
      <c r="F25" s="16"/>
      <c r="G25" s="16"/>
      <c r="H25" s="16"/>
      <c r="I25" s="16"/>
      <c r="J25" s="16"/>
      <c r="K25" s="16"/>
      <c r="L25" s="16"/>
      <c r="M25" s="16"/>
      <c r="N25" s="16"/>
      <c r="O25" s="16"/>
      <c r="P25" s="16"/>
      <c r="Q25" s="16"/>
    </row>
    <row r="26" spans="5:17" x14ac:dyDescent="0.25">
      <c r="E26" s="16"/>
      <c r="F26" s="16"/>
      <c r="G26" s="16"/>
      <c r="H26" s="16"/>
      <c r="I26" s="16"/>
      <c r="J26" s="16"/>
      <c r="K26" s="16"/>
      <c r="L26" s="16"/>
      <c r="M26" s="16"/>
      <c r="N26" s="16"/>
      <c r="O26" s="16"/>
      <c r="P26" s="16"/>
      <c r="Q26" s="16"/>
    </row>
    <row r="27" spans="5:17" x14ac:dyDescent="0.25">
      <c r="E27" s="16"/>
      <c r="F27" s="16"/>
      <c r="G27" s="16"/>
      <c r="H27" s="16"/>
      <c r="I27" s="16"/>
      <c r="J27" s="16"/>
      <c r="K27" s="16"/>
      <c r="L27" s="16"/>
      <c r="M27" s="16"/>
      <c r="N27" s="16"/>
      <c r="O27" s="16"/>
      <c r="P27" s="16"/>
      <c r="Q27" s="16"/>
    </row>
    <row r="28" spans="5:17" x14ac:dyDescent="0.25">
      <c r="E28" s="16"/>
      <c r="F28" s="16"/>
      <c r="G28" s="16"/>
      <c r="H28" s="16"/>
      <c r="I28" s="16"/>
      <c r="J28" s="16"/>
      <c r="K28" s="16"/>
      <c r="L28" s="16"/>
      <c r="M28" s="16"/>
      <c r="N28" s="16"/>
      <c r="O28" s="16"/>
      <c r="P28" s="16"/>
      <c r="Q28" s="16"/>
    </row>
    <row r="29" spans="5:17" x14ac:dyDescent="0.25">
      <c r="E29" s="16"/>
      <c r="F29" s="16"/>
      <c r="G29" s="16"/>
      <c r="H29" s="16"/>
      <c r="I29" s="16"/>
      <c r="J29" s="16"/>
      <c r="K29" s="16"/>
      <c r="L29" s="16"/>
      <c r="M29" s="16"/>
      <c r="N29" s="16"/>
      <c r="O29" s="16"/>
      <c r="P29" s="16"/>
      <c r="Q29" s="16"/>
    </row>
  </sheetData>
  <pageMargins left="0.7" right="0.7" top="0.75" bottom="0.75" header="0.3" footer="0.3"/>
  <pageSetup paperSize="9" orientation="portrait" horizontalDpi="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34F48D8F043AB4E88B8448C9A41E4F2" ma:contentTypeVersion="13" ma:contentTypeDescription="Create a new document." ma:contentTypeScope="" ma:versionID="3865feef376cda2e852ae1c7fd8e37fa">
  <xsd:schema xmlns:xsd="http://www.w3.org/2001/XMLSchema" xmlns:xs="http://www.w3.org/2001/XMLSchema" xmlns:p="http://schemas.microsoft.com/office/2006/metadata/properties" xmlns:ns2="df15456a-aabd-451a-b26d-603cb9643e03" xmlns:ns3="17366138-4c19-4296-90e1-fdecf533ae0c" targetNamespace="http://schemas.microsoft.com/office/2006/metadata/properties" ma:root="true" ma:fieldsID="e87ae09b166ae28a29ff95ac7a778b10" ns2:_="" ns3:_="">
    <xsd:import namespace="df15456a-aabd-451a-b26d-603cb9643e03"/>
    <xsd:import namespace="17366138-4c19-4296-90e1-fdecf533ae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5456a-aabd-451a-b26d-603cb9643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66138-4c19-4296-90e1-fdecf533ae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2.xml><?xml version="1.0" encoding="utf-8"?>
<ds:datastoreItem xmlns:ds="http://schemas.openxmlformats.org/officeDocument/2006/customXml" ds:itemID="{C08B4250-B95D-49BB-B3C5-3FC868E45619}">
  <ds:schemaRefs>
    <ds:schemaRef ds:uri="http://purl.org/dc/elements/1.1/"/>
    <ds:schemaRef ds:uri="http://schemas.microsoft.com/office/2006/metadata/properties"/>
    <ds:schemaRef ds:uri="http://purl.org/dc/terms/"/>
    <ds:schemaRef ds:uri="http://schemas.openxmlformats.org/package/2006/metadata/core-properties"/>
    <ds:schemaRef ds:uri="519c89c0-4739-45b7-90b4-c645f8135810"/>
    <ds:schemaRef ds:uri="http://schemas.microsoft.com/office/2006/documentManagement/types"/>
    <ds:schemaRef ds:uri="http://schemas.microsoft.com/office/infopath/2007/PartnerControls"/>
    <ds:schemaRef ds:uri="906258ce-5a0c-4f3f-a95b-99bb0331ce14"/>
    <ds:schemaRef ds:uri="http://www.w3.org/XML/1998/namespace"/>
    <ds:schemaRef ds:uri="http://purl.org/dc/dcmitype/"/>
  </ds:schemaRefs>
</ds:datastoreItem>
</file>

<file path=customXml/itemProps3.xml><?xml version="1.0" encoding="utf-8"?>
<ds:datastoreItem xmlns:ds="http://schemas.openxmlformats.org/officeDocument/2006/customXml" ds:itemID="{9B473DAC-3978-45B2-90DC-CE83A66DCF30}"/>
</file>

<file path=customXml/itemProps4.xml><?xml version="1.0" encoding="utf-8"?>
<ds:datastoreItem xmlns:ds="http://schemas.openxmlformats.org/officeDocument/2006/customXml" ds:itemID="{A578CA14-430D-4A5A-9C0A-B9DD4DB296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Definitions</vt:lpstr>
      <vt:lpstr>Analysis Details</vt:lpstr>
      <vt:lpstr>Key Business Activities</vt:lpstr>
      <vt:lpstr>Impact of Disruption</vt:lpstr>
      <vt:lpstr>Key Targets</vt:lpstr>
      <vt:lpstr>Dependencies and Recovery Needs</vt:lpstr>
      <vt:lpstr>Priority List</vt:lpstr>
      <vt:lpstr>Tables</vt:lpstr>
      <vt:lpstr>Definitions!Print_Area</vt:lpstr>
      <vt:lpstr>'Dependencies and Recovery Needs'!Print_Area</vt:lpstr>
      <vt:lpstr>'Key Business Activities'!Print_Area</vt:lpstr>
      <vt:lpstr>'Priority List'!Print_Area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ISO22301 Toolkit</dc:title>
  <dc:creator>Copyright CertiKit</dc:creator>
  <cp:lastModifiedBy>Andie Darlington</cp:lastModifiedBy>
  <cp:lastPrinted>2021-10-01T14:33:55Z</cp:lastPrinted>
  <dcterms:created xsi:type="dcterms:W3CDTF">2015-06-05T18:17:20Z</dcterms:created>
  <dcterms:modified xsi:type="dcterms:W3CDTF">2021-10-01T14:34:07Z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0x010100D34F48D8F043AB4E88B8448C9A41E4F2</vt:lpwstr>
  </property>
</Properties>
</file>