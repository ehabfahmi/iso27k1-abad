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drawings/drawing5.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drawings/drawing6.xml" ContentType="application/vnd.openxmlformats-officedocument.drawing+xml"/>
  <Override PartName="/xl/tables/table12.xml" ContentType="application/vnd.openxmlformats-officedocument.spreadsheetml.table+xml"/>
  <Override PartName="/xl/drawings/drawing7.xml" ContentType="application/vnd.openxmlformats-officedocument.drawing+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drawings/drawing8.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mc:AlternateContent xmlns:mc="http://schemas.openxmlformats.org/markup-compatibility/2006">
    <mc:Choice Requires="x15">
      <x15ac:absPath xmlns:x15ac="http://schemas.microsoft.com/office/spreadsheetml/2010/11/ac" url="https://publicit3.sharepoint.com/sites/ToolkitDevelopment/Shared Documents/ISO22301 v6/CERTIKIT ISO-22301-2019 Toolkit V6/08. Operation/"/>
    </mc:Choice>
  </mc:AlternateContent>
  <xr:revisionPtr revIDLastSave="232" documentId="13_ncr:1_{64CBA478-D083-4869-917C-9784C1B33874}" xr6:coauthVersionLast="47" xr6:coauthVersionMax="47" xr10:uidLastSave="{D20BE7C8-D484-4B05-9B90-0B4CEC1BFB74}"/>
  <bookViews>
    <workbookView xWindow="28680" yWindow="-120" windowWidth="29040" windowHeight="15840" tabRatio="684" firstSheet="2" activeTab="2" xr2:uid="{00000000-000D-0000-FFFF-FFFF00000000}"/>
  </bookViews>
  <sheets>
    <sheet name="Guidance" sheetId="3" r:id="rId1"/>
    <sheet name="Definitions" sheetId="11" r:id="rId2"/>
    <sheet name="Analysis Details" sheetId="10" r:id="rId3"/>
    <sheet name="Key Business Activities" sheetId="12" r:id="rId4"/>
    <sheet name="Impact of Disruption" sheetId="13" r:id="rId5"/>
    <sheet name="Key Targets" sheetId="14" r:id="rId6"/>
    <sheet name="Dependencies and Recovery Needs" sheetId="15" r:id="rId7"/>
    <sheet name="Priority List" sheetId="16" r:id="rId8"/>
    <sheet name="Tables" sheetId="4" state="hidden" r:id="rId9"/>
  </sheets>
  <definedNames>
    <definedName name="_xlnm.Print_Area" localSheetId="1">Definitions!$A$1:$C$30</definedName>
    <definedName name="_xlnm.Print_Area" localSheetId="0">Guidance!$B$2:$B$27</definedName>
    <definedName name="_xlnm.Print_Area" localSheetId="3">'Key Business Activities'!$A$1:$M$22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89" i="15" l="1"/>
  <c r="H175" i="15"/>
  <c r="D164" i="15"/>
  <c r="D149" i="15"/>
  <c r="D134" i="15"/>
  <c r="D119" i="15"/>
  <c r="D104" i="15"/>
  <c r="D74" i="15"/>
  <c r="D59" i="15"/>
  <c r="D44" i="15"/>
  <c r="D29" i="15"/>
  <c r="E128" i="13"/>
  <c r="E115" i="13"/>
  <c r="E102" i="13"/>
  <c r="E89" i="13"/>
  <c r="E63" i="13"/>
  <c r="E76" i="13"/>
  <c r="E50" i="13"/>
  <c r="E37" i="13"/>
  <c r="E24" i="13"/>
  <c r="E11" i="13"/>
  <c r="H176" i="15"/>
  <c r="H161" i="15"/>
  <c r="H160" i="15"/>
  <c r="H146" i="15"/>
  <c r="H145" i="15"/>
  <c r="H131" i="15"/>
  <c r="H130" i="15"/>
  <c r="H116" i="15"/>
  <c r="H115" i="15"/>
  <c r="H101" i="15"/>
  <c r="H100" i="15"/>
  <c r="H86" i="15"/>
  <c r="H85" i="15"/>
  <c r="H71" i="15"/>
  <c r="H70" i="15"/>
  <c r="H56" i="15"/>
  <c r="H55" i="15"/>
  <c r="H41" i="15"/>
  <c r="H40" i="15"/>
  <c r="C31" i="15"/>
  <c r="C13" i="14" l="1"/>
  <c r="C14" i="14"/>
  <c r="C173" i="15" l="1"/>
  <c r="C172" i="15"/>
  <c r="C171" i="15"/>
  <c r="C170" i="15"/>
  <c r="C169" i="15"/>
  <c r="C168" i="15"/>
  <c r="C167" i="15"/>
  <c r="C166" i="15"/>
  <c r="C158" i="15"/>
  <c r="C157" i="15"/>
  <c r="C156" i="15"/>
  <c r="C155" i="15"/>
  <c r="C154" i="15"/>
  <c r="C153" i="15"/>
  <c r="C152" i="15"/>
  <c r="C151" i="15"/>
  <c r="C143" i="15"/>
  <c r="C142" i="15"/>
  <c r="C141" i="15"/>
  <c r="C140" i="15"/>
  <c r="C139" i="15"/>
  <c r="C138" i="15"/>
  <c r="C137" i="15"/>
  <c r="C136" i="15"/>
  <c r="C128" i="15"/>
  <c r="C127" i="15"/>
  <c r="C126" i="15"/>
  <c r="C125" i="15"/>
  <c r="C124" i="15"/>
  <c r="C123" i="15"/>
  <c r="C122" i="15"/>
  <c r="C121" i="15"/>
  <c r="C113" i="15"/>
  <c r="C112" i="15"/>
  <c r="C111" i="15"/>
  <c r="C110" i="15"/>
  <c r="C109" i="15"/>
  <c r="C108" i="15"/>
  <c r="C107" i="15"/>
  <c r="C106" i="15"/>
  <c r="C98" i="15"/>
  <c r="C97" i="15"/>
  <c r="C96" i="15"/>
  <c r="C95" i="15"/>
  <c r="C94" i="15"/>
  <c r="C93" i="15"/>
  <c r="C92" i="15"/>
  <c r="C91" i="15"/>
  <c r="C83" i="15" l="1"/>
  <c r="C82" i="15" l="1"/>
  <c r="C81" i="15"/>
  <c r="C80" i="15"/>
  <c r="C79" i="15"/>
  <c r="C78" i="15"/>
  <c r="C77" i="15"/>
  <c r="C76" i="15"/>
  <c r="C68" i="15"/>
  <c r="C67" i="15"/>
  <c r="C66" i="15"/>
  <c r="C65" i="15"/>
  <c r="C64" i="15"/>
  <c r="C63" i="15"/>
  <c r="C62" i="15"/>
  <c r="C61" i="15"/>
  <c r="C53" i="15"/>
  <c r="C52" i="15"/>
  <c r="C51" i="15"/>
  <c r="C50" i="15"/>
  <c r="C49" i="15"/>
  <c r="C48" i="15"/>
  <c r="C47" i="15"/>
  <c r="C46" i="15"/>
  <c r="C38" i="15"/>
  <c r="C37" i="15"/>
  <c r="C36" i="15"/>
  <c r="C35" i="15"/>
  <c r="C34" i="15"/>
  <c r="C33" i="15"/>
  <c r="C32" i="15"/>
  <c r="C15" i="14" l="1"/>
  <c r="C16" i="14"/>
  <c r="C17" i="14"/>
  <c r="C18" i="14"/>
  <c r="C19" i="14"/>
  <c r="C20" i="14"/>
  <c r="C21" i="14"/>
  <c r="C12" i="14"/>
  <c r="I135" i="13" l="1"/>
  <c r="I134" i="13"/>
  <c r="I133" i="13"/>
  <c r="I132" i="13"/>
  <c r="I131" i="13"/>
  <c r="I130" i="13"/>
  <c r="I122" i="13"/>
  <c r="I121" i="13"/>
  <c r="I120" i="13"/>
  <c r="I119" i="13"/>
  <c r="I118" i="13"/>
  <c r="I117" i="13"/>
  <c r="I109" i="13"/>
  <c r="I108" i="13"/>
  <c r="I107" i="13"/>
  <c r="I106" i="13"/>
  <c r="I105" i="13"/>
  <c r="I104" i="13"/>
  <c r="I96" i="13"/>
  <c r="I95" i="13"/>
  <c r="I94" i="13"/>
  <c r="I93" i="13"/>
  <c r="I92" i="13"/>
  <c r="I91" i="13"/>
  <c r="I83" i="13"/>
  <c r="I82" i="13"/>
  <c r="I81" i="13"/>
  <c r="I80" i="13"/>
  <c r="I79" i="13"/>
  <c r="I78" i="13"/>
  <c r="I70" i="13"/>
  <c r="I69" i="13"/>
  <c r="I68" i="13"/>
  <c r="I67" i="13"/>
  <c r="I66" i="13"/>
  <c r="I65" i="13"/>
  <c r="I57" i="13"/>
  <c r="I56" i="13"/>
  <c r="I55" i="13"/>
  <c r="I54" i="13"/>
  <c r="I53" i="13"/>
  <c r="I52" i="13"/>
  <c r="I18" i="13"/>
  <c r="I17" i="13"/>
  <c r="I16" i="13"/>
  <c r="I15" i="13"/>
  <c r="I14" i="13"/>
  <c r="I13" i="13"/>
  <c r="I31" i="13" l="1"/>
  <c r="I30" i="13"/>
  <c r="I29" i="13"/>
  <c r="I28" i="13"/>
  <c r="I27" i="13"/>
  <c r="I26" i="13"/>
  <c r="I44" i="13"/>
  <c r="I43" i="13"/>
  <c r="I42" i="13"/>
  <c r="I41" i="13"/>
  <c r="I40" i="13"/>
  <c r="I39" i="13"/>
</calcChain>
</file>

<file path=xl/sharedStrings.xml><?xml version="1.0" encoding="utf-8"?>
<sst xmlns="http://schemas.openxmlformats.org/spreadsheetml/2006/main" count="913" uniqueCount="144">
  <si>
    <t>Select…</t>
  </si>
  <si>
    <t>People</t>
  </si>
  <si>
    <t>DEFINITION</t>
  </si>
  <si>
    <t>Terms and Definitions</t>
  </si>
  <si>
    <t xml:space="preserve"> TERM</t>
  </si>
  <si>
    <t>Activity</t>
  </si>
  <si>
    <t>Business impact analysis</t>
  </si>
  <si>
    <t>Maximum acceptable outage (MAO)</t>
  </si>
  <si>
    <t>Maximum tolerable period of disruption (MTPD)</t>
  </si>
  <si>
    <t>Minimum business continuity objective (MBCO)</t>
  </si>
  <si>
    <t>Products and services</t>
  </si>
  <si>
    <t>Prioritised activities</t>
  </si>
  <si>
    <t>Recovery point objective (RPO)</t>
  </si>
  <si>
    <t>Recovery time objective (RTO)</t>
  </si>
  <si>
    <t>Process or set of processes undertaken by an organization (or on its behalf) that produces or supports one or more products and services. For example, such processes include accounts, call centre, IT, manufacture and distribution.</t>
  </si>
  <si>
    <t>Process of analysing activities and the effect that a business disruption might have upon them.</t>
  </si>
  <si>
    <t>Time it would take for adverse impacts, which might arise as a result of not providing a product/service or performing an activity, to become unacceptable (see also MTPD).</t>
  </si>
  <si>
    <t>Time it would take for adverse impacts, which might arise as a result of not providing a product/service or performing an activity, to become unacceptable (see also MAO).</t>
  </si>
  <si>
    <t>Minimum level of services and/or products that is acceptable to the organization to achieve its business objectives during a disruption.</t>
  </si>
  <si>
    <t>Beneficial outcomes provided by an organization to its customers, recipients and interested parties, e.g. manufactured items, car insurance and community nursing.</t>
  </si>
  <si>
    <t>Activities to which priority must be given following an incident in order to mitigate impacts.</t>
  </si>
  <si>
    <t>Point to which information used by an activity must be restored to enable the activity to operate on resumption NOTE - can also be referred to as "maximum data loss".</t>
  </si>
  <si>
    <t>Period of time following an incident within which a)product or service must be resumed or b) activity must be resumed or c) resources must be recovered NOTE - for products, services and activities, the recovery time objective must be less than the time it would take for the adverse impacts that would arise as a result of not providing a product/service or performing an activity to become unacceptable.</t>
  </si>
  <si>
    <t>Business Impact Analysis Details</t>
  </si>
  <si>
    <t>[Short, descriptive title]</t>
  </si>
  <si>
    <t>[Describe the scope of the BIA, such as organizational area, location, processes]</t>
  </si>
  <si>
    <t>[Describe the general environment in which the analysis is carried out and internal and external factors affecting it]</t>
  </si>
  <si>
    <t>[Start at Version 1]</t>
  </si>
  <si>
    <t>[Date the analysis was carried out]</t>
  </si>
  <si>
    <t>[Date the analysis was approved]</t>
  </si>
  <si>
    <t>[Name and title of approver]</t>
  </si>
  <si>
    <t>[Names and titles of people contributing to the BIA]</t>
  </si>
  <si>
    <t>[Names and titles of person(s) carrying out the BIA]</t>
  </si>
  <si>
    <t>[List all the key business activities within the scope of the analysis exercise and their requirements]</t>
  </si>
  <si>
    <t xml:space="preserve">1
</t>
  </si>
  <si>
    <t xml:space="preserve">2
</t>
  </si>
  <si>
    <t xml:space="preserve">3
</t>
  </si>
  <si>
    <t xml:space="preserve">4
</t>
  </si>
  <si>
    <t xml:space="preserve">5
</t>
  </si>
  <si>
    <t xml:space="preserve">6
</t>
  </si>
  <si>
    <t xml:space="preserve">7
</t>
  </si>
  <si>
    <t xml:space="preserve">8
</t>
  </si>
  <si>
    <t xml:space="preserve">9
</t>
  </si>
  <si>
    <t xml:space="preserve">10
</t>
  </si>
  <si>
    <t xml:space="preserve"> RESOURCES USUALLY NEEDED FOR THIS ACTIVITY TO OCCUR</t>
  </si>
  <si>
    <t>Identification of Key Business Activities</t>
  </si>
  <si>
    <t>Business activity</t>
  </si>
  <si>
    <t xml:space="preserve"> Ref
</t>
  </si>
  <si>
    <t>Information
and data</t>
  </si>
  <si>
    <t>Buildings, work environment and utilities</t>
  </si>
  <si>
    <t>Facilities, equipment and consumables</t>
  </si>
  <si>
    <t>ICT systems</t>
  </si>
  <si>
    <t>Transportation</t>
  </si>
  <si>
    <t>Finance</t>
  </si>
  <si>
    <t>Partners and suppliers</t>
  </si>
  <si>
    <t>Outcome of delivered activity</t>
  </si>
  <si>
    <t>Any legal, statutory and contractual obligations</t>
  </si>
  <si>
    <t>Impact of Disruption</t>
  </si>
  <si>
    <t xml:space="preserve">[For each key business activity, assess the impact of unavailability over time in each area. For example, customers, finance] </t>
  </si>
  <si>
    <t xml:space="preserve"> Time
</t>
  </si>
  <si>
    <t>One hour</t>
  </si>
  <si>
    <t>Three hours</t>
  </si>
  <si>
    <t>One day</t>
  </si>
  <si>
    <t>Three days</t>
  </si>
  <si>
    <t>One week</t>
  </si>
  <si>
    <t>One month</t>
  </si>
  <si>
    <t>ONE TO FIVE</t>
  </si>
  <si>
    <t>Impact on staff or public well-being</t>
  </si>
  <si>
    <t>Impact of breaching legal or regulatory requirements</t>
  </si>
  <si>
    <t>Damage to reputation</t>
  </si>
  <si>
    <t>Impact on financial viability</t>
  </si>
  <si>
    <t>Impact on product or service quality</t>
  </si>
  <si>
    <t>Environmental damage</t>
  </si>
  <si>
    <t>Total score</t>
  </si>
  <si>
    <t xml:space="preserve"> REFERENCE: [Impact 1]</t>
  </si>
  <si>
    <t xml:space="preserve"> REFERENCE: [Impact 2]</t>
  </si>
  <si>
    <t xml:space="preserve"> REFERENCE: [Impact 3]</t>
  </si>
  <si>
    <t xml:space="preserve"> REFERENCE: [Impact 4]</t>
  </si>
  <si>
    <t xml:space="preserve"> REFERENCE: [Impact 5]</t>
  </si>
  <si>
    <t xml:space="preserve"> REFERENCE: [Impact 6]</t>
  </si>
  <si>
    <t xml:space="preserve"> REFERENCE: [Impact 7]</t>
  </si>
  <si>
    <t xml:space="preserve"> REFERENCE: [Impact 8]</t>
  </si>
  <si>
    <t xml:space="preserve"> REFERENCE: [Impact 9]</t>
  </si>
  <si>
    <t xml:space="preserve"> REFERENCE: [Impact 10]</t>
  </si>
  <si>
    <t>Key: 1 (low) to 5 (high)</t>
  </si>
  <si>
    <t>Key Business Continuity Targets</t>
  </si>
  <si>
    <t>MTPD</t>
  </si>
  <si>
    <t>RTO</t>
  </si>
  <si>
    <t>MBCO</t>
  </si>
  <si>
    <t>RPO</t>
  </si>
  <si>
    <t xml:space="preserve"> REF</t>
  </si>
  <si>
    <t>BUSINESS ACTIVITY</t>
  </si>
  <si>
    <t>Information and data</t>
  </si>
  <si>
    <t>Normal requirement</t>
  </si>
  <si>
    <t xml:space="preserve"> REFERENCE: [DepRec 1]</t>
  </si>
  <si>
    <t xml:space="preserve"> Dependency</t>
  </si>
  <si>
    <t>Dependencies and Recovery Needs</t>
  </si>
  <si>
    <t>[For each key business activity list the dependencies at each time period, starting from the relevant RTO. Then calculate the total requirement across the time periods]</t>
  </si>
  <si>
    <t>[Note: where cells are automatically populated from other sections of the tool, make sure you expand the cells to show all of their contents.]</t>
  </si>
  <si>
    <t>Total requirement</t>
  </si>
  <si>
    <t>Requirements per business activity</t>
  </si>
  <si>
    <t xml:space="preserve"> REFERENCE: [DepRec 2]</t>
  </si>
  <si>
    <t xml:space="preserve"> REFERENCE: All</t>
  </si>
  <si>
    <t>Recovery Priority List</t>
  </si>
  <si>
    <t>[List the key business activities in order of recovery priority, together with the Recovery Time Objective and Minimum Business Continuity Objectives required]</t>
  </si>
  <si>
    <t>MBCO REQUIREMENTS AT RTO</t>
  </si>
  <si>
    <t xml:space="preserve"> REFERENCE: [DepRec 3]</t>
  </si>
  <si>
    <t xml:space="preserve"> REFERENCE: [DepRec 4]</t>
  </si>
  <si>
    <t xml:space="preserve"> REFERENCE: [DepRec 5]</t>
  </si>
  <si>
    <t xml:space="preserve"> REFERENCE: [DepRec 6]</t>
  </si>
  <si>
    <t xml:space="preserve"> REFERENCE: [DepRec 7]</t>
  </si>
  <si>
    <t xml:space="preserve"> REFERENCE: [DepRec 8]</t>
  </si>
  <si>
    <t xml:space="preserve"> REFERENCE: [DepRec 9]</t>
  </si>
  <si>
    <t xml:space="preserve"> REFERENCE: [DepRec 10]</t>
  </si>
  <si>
    <t xml:space="preserve">Business Impact Analysis Title
</t>
  </si>
  <si>
    <t xml:space="preserve">Business Impact Analysis Scope
</t>
  </si>
  <si>
    <t xml:space="preserve">Context of Business Impact Analysis
</t>
  </si>
  <si>
    <t xml:space="preserve">Version
</t>
  </si>
  <si>
    <t xml:space="preserve">Dated
</t>
  </si>
  <si>
    <t xml:space="preserve">Lead Analyst(s)
</t>
  </si>
  <si>
    <t xml:space="preserve">Approval
</t>
  </si>
  <si>
    <t xml:space="preserve">Date Approved
</t>
  </si>
  <si>
    <t xml:space="preserve">Business Impact Analysis Participants
</t>
  </si>
  <si>
    <t>COMPLETED BY:</t>
  </si>
  <si>
    <t>DATE:</t>
  </si>
  <si>
    <t xml:space="preserve"> [Enter name here]</t>
  </si>
  <si>
    <t xml:space="preserve"> [Enter date here]</t>
  </si>
  <si>
    <t>RTO:</t>
  </si>
  <si>
    <t>MBCO:</t>
  </si>
  <si>
    <t>BUSINESS ACTIVITY:</t>
  </si>
  <si>
    <t>All</t>
  </si>
  <si>
    <r>
      <rPr>
        <b/>
        <sz val="18"/>
        <color theme="2" tint="-0.499984740745262"/>
        <rFont val="Calibri"/>
        <family val="2"/>
        <scheme val="minor"/>
      </rPr>
      <t>Implementation Guidance</t>
    </r>
    <r>
      <rPr>
        <sz val="11"/>
        <color rgb="FF444444"/>
        <rFont val="Calibri"/>
        <family val="2"/>
        <scheme val="minor"/>
      </rPr>
      <t xml:space="preserve">
</t>
    </r>
    <r>
      <rPr>
        <sz val="11"/>
        <color theme="1"/>
        <rFont val="Calibri"/>
        <family val="2"/>
        <scheme val="minor"/>
      </rPr>
      <t xml:space="preserve">This Excel sheet must be removed from the final version of the document. </t>
    </r>
  </si>
  <si>
    <r>
      <rPr>
        <b/>
        <sz val="16"/>
        <color theme="2" tint="-0.499984740745262"/>
        <rFont val="Calibri"/>
        <family val="2"/>
        <scheme val="minor"/>
      </rPr>
      <t>Design</t>
    </r>
    <r>
      <rPr>
        <sz val="11"/>
        <color rgb="FF444444"/>
        <rFont val="Calibri"/>
        <family val="2"/>
        <scheme val="minor"/>
      </rPr>
      <t xml:space="preserve">
</t>
    </r>
    <r>
      <rPr>
        <sz val="11"/>
        <color theme="1"/>
        <rFont val="Calibri"/>
        <family val="2"/>
        <scheme val="minor"/>
      </rPr>
      <t>This spreadsheet has been designed using CertiKit's colour scheme. To choose a different table colour scheme, click in the table, select the Table Design menu tab and choose a  different style. The same applies to the drop-down menu "slicers" at the top of the screen. Click in one slicer, then hold down the Shift key and click on the rest, one by one. This will select them all. Then click on the Slicer menu tab and choose a different style. You can also create your own table and slicer styles using your own colour scheme to reflect your organization's branding.</t>
    </r>
  </si>
  <si>
    <r>
      <rPr>
        <b/>
        <sz val="16"/>
        <color theme="2" tint="-0.499984740745262"/>
        <rFont val="Calibri"/>
        <family val="2"/>
        <scheme val="minor"/>
      </rPr>
      <t>Purpose of this document</t>
    </r>
    <r>
      <rPr>
        <sz val="11"/>
        <color rgb="FF444444"/>
        <rFont val="Calibri"/>
        <family val="2"/>
        <scheme val="minor"/>
      </rPr>
      <t xml:space="preserve">
</t>
    </r>
    <r>
      <rPr>
        <sz val="11"/>
        <color theme="1"/>
        <rFont val="Calibri"/>
        <family val="2"/>
        <scheme val="minor"/>
      </rPr>
      <t>This workbook identifies the key business continuity requirements for each critical business activity.</t>
    </r>
  </si>
  <si>
    <r>
      <rPr>
        <b/>
        <sz val="16"/>
        <color theme="2" tint="-0.499984740745262"/>
        <rFont val="Calibri"/>
        <family val="2"/>
        <scheme val="minor"/>
      </rPr>
      <t>General guidance</t>
    </r>
    <r>
      <rPr>
        <sz val="11"/>
        <color rgb="FF444444"/>
        <rFont val="Calibri"/>
        <family val="2"/>
        <scheme val="minor"/>
      </rPr>
      <t xml:space="preserve">
</t>
    </r>
    <r>
      <rPr>
        <sz val="11"/>
        <color theme="1"/>
        <rFont val="Calibri"/>
        <family val="2"/>
        <scheme val="minor"/>
      </rPr>
      <t>This is a key document which underpins your business continuity strategies and plans. You should invest a significant amount of time in ensuring that this analysis is complete and correct. Following the business impact analysis process, you will need to work through each of the worksheets with representatives from each team involved in the critical business activities. This is probably best done in a series of facilitated workshops supported by clear top management commitment.
A maximum of ten business activities are catered for in this tool; if you need more, copy the relevant tables to the end of each tab.</t>
    </r>
  </si>
  <si>
    <r>
      <rPr>
        <b/>
        <sz val="16"/>
        <color theme="2" tint="-0.499984740745262"/>
        <rFont val="Calibri"/>
        <family val="2"/>
        <scheme val="minor"/>
      </rPr>
      <t>Review frequency</t>
    </r>
    <r>
      <rPr>
        <sz val="11"/>
        <color rgb="FF444444"/>
        <rFont val="Calibri"/>
        <family val="2"/>
        <scheme val="minor"/>
      </rPr>
      <t xml:space="preserve">
</t>
    </r>
    <r>
      <rPr>
        <sz val="11"/>
        <color theme="1"/>
        <rFont val="Calibri"/>
        <family val="2"/>
        <scheme val="minor"/>
      </rPr>
      <t>We would recommend that this document is reviewed at least annually and upon major changes to business operations or other relevant factors.</t>
    </r>
  </si>
  <si>
    <r>
      <rPr>
        <b/>
        <sz val="16"/>
        <color theme="2" tint="-0.499984740745262"/>
        <rFont val="Calibri"/>
        <family val="2"/>
        <scheme val="minor"/>
      </rPr>
      <t>Copyright notice</t>
    </r>
    <r>
      <rPr>
        <sz val="11"/>
        <color rgb="FF444444"/>
        <rFont val="Calibri"/>
        <family val="2"/>
        <scheme val="minor"/>
      </rPr>
      <t xml:space="preserve">
</t>
    </r>
    <r>
      <rPr>
        <sz val="11"/>
        <color theme="1"/>
        <rFont val="Calibri"/>
        <family val="2"/>
        <scheme val="minor"/>
      </rPr>
      <t>Except for any specifically identified third-party works included, this document has been authored by CertiKit, and is ©CertiKit except as stated below. CertiKit is a company registered in England and Wales with company number 6432088.</t>
    </r>
  </si>
  <si>
    <r>
      <rPr>
        <b/>
        <sz val="16"/>
        <color theme="2" tint="-0.499984740745262"/>
        <rFont val="Calibri"/>
        <family val="2"/>
        <scheme val="minor"/>
      </rPr>
      <t>Licence terms</t>
    </r>
    <r>
      <rPr>
        <sz val="11"/>
        <color rgb="FF444444"/>
        <rFont val="Calibri"/>
        <family val="2"/>
        <scheme val="minor"/>
      </rPr>
      <t xml:space="preserve">
</t>
    </r>
    <r>
      <rPr>
        <sz val="11"/>
        <color theme="1"/>
        <rFont val="Calibri"/>
        <family val="2"/>
        <scheme val="minor"/>
      </rPr>
      <t>This document is licensed on and subject to the standard licence terms of CertiKit, available on request, or by download from our website.  All other rights are reserved.  Unless you have purchased this product you only have an evaluation licence.  If this product was purchased, a full licence is granted to the person identified as the licensee in the relevant purchase order.  The standard licence terms include special terms relating to any third party copyright included in this document.</t>
    </r>
  </si>
  <si>
    <r>
      <rPr>
        <b/>
        <sz val="16"/>
        <color theme="2" tint="-0.499984740745262"/>
        <rFont val="Calibri"/>
        <family val="2"/>
        <scheme val="minor"/>
      </rPr>
      <t>Disclaimer</t>
    </r>
    <r>
      <rPr>
        <sz val="11"/>
        <color rgb="FF444444"/>
        <rFont val="Calibri"/>
        <family val="2"/>
        <scheme val="minor"/>
      </rPr>
      <t xml:space="preserve">
</t>
    </r>
    <r>
      <rPr>
        <sz val="11"/>
        <color theme="1"/>
        <rFont val="Calibri"/>
        <family val="2"/>
        <scheme val="minor"/>
      </rPr>
      <t>Please Note: Your use of and reliance on this document template is at your sole risk. Document templates are intended to be used as a starting point only from which you will create your own document and to which you will apply all reasonable quality checks before use.
Therefore please note that it is your responsibility to ensure that the content of any document you create that is based on our templates is correct and appropriate for your needs and complies with relevant laws in your country. You should take all reasonable and proper legal and other professional advice before using this document. 
CertiKit makes no claims, promises, or guarantees about the accuracy, completeness, or adequacy of our document templates, assumes no duty of care to any person with respect its document templates or their contents, and expressly excludes and disclaims liability for any cost, expense, loss or damage suffered or incurred in reliance on our document templates, or in expectation of our document templates meeting your needs, including (without limitation) as a result of misstatements, errors and omissions in their contents.</t>
    </r>
  </si>
  <si>
    <r>
      <rPr>
        <b/>
        <sz val="18"/>
        <color theme="1"/>
        <rFont val="Calibri"/>
        <family val="2"/>
        <scheme val="minor"/>
      </rPr>
      <t>Key to terms</t>
    </r>
    <r>
      <rPr>
        <sz val="11"/>
        <color theme="1"/>
        <rFont val="Calibri"/>
        <family val="2"/>
        <scheme val="minor"/>
      </rPr>
      <t xml:space="preserve">
</t>
    </r>
    <r>
      <rPr>
        <b/>
        <sz val="11"/>
        <color theme="1"/>
        <rFont val="Calibri"/>
        <family val="2"/>
        <scheme val="minor"/>
      </rPr>
      <t>MTPD (Maximum Tolerable Period of Disruption), when any one impact scores four or more:</t>
    </r>
    <r>
      <rPr>
        <sz val="11"/>
        <color theme="1"/>
        <rFont val="Calibri"/>
        <family val="2"/>
        <scheme val="minor"/>
      </rPr>
      <t xml:space="preserve"> Time it would take for adverse impacts, which might arise as a result of not providing a product/service or performing an activity, to become unacceptable (see also MAO).
</t>
    </r>
    <r>
      <rPr>
        <b/>
        <sz val="11"/>
        <color theme="1"/>
        <rFont val="Calibri"/>
        <family val="2"/>
        <scheme val="minor"/>
      </rPr>
      <t xml:space="preserve">RTO (Recovery Time Objective): </t>
    </r>
    <r>
      <rPr>
        <sz val="11"/>
        <color theme="1"/>
        <rFont val="Calibri"/>
        <family val="2"/>
        <scheme val="minor"/>
      </rPr>
      <t xml:space="preserve">Period of time following an incident within which a) product or service must be resumed or b) activity must be resumed or c) resources must be recovered.
</t>
    </r>
    <r>
      <rPr>
        <b/>
        <sz val="11"/>
        <color theme="1"/>
        <rFont val="Calibri"/>
        <family val="2"/>
        <scheme val="minor"/>
      </rPr>
      <t xml:space="preserve">MBCO (Minimum Business Continuity Objective): </t>
    </r>
    <r>
      <rPr>
        <sz val="11"/>
        <color theme="1"/>
        <rFont val="Calibri"/>
        <family val="2"/>
        <scheme val="minor"/>
      </rPr>
      <t xml:space="preserve">Minimum level of services and/or products that is acceptable to the organization to achieve its business objectives during a disruption.
</t>
    </r>
    <r>
      <rPr>
        <b/>
        <sz val="11"/>
        <color theme="1"/>
        <rFont val="Calibri"/>
        <family val="2"/>
        <scheme val="minor"/>
      </rPr>
      <t>RPO (Recovery Point Objective):</t>
    </r>
    <r>
      <rPr>
        <sz val="11"/>
        <color theme="1"/>
        <rFont val="Calibri"/>
        <family val="2"/>
        <scheme val="minor"/>
      </rPr>
      <t xml:space="preserve"> Point to which information used by an activity must be restored to enable the activity to operate on resumption.</t>
    </r>
  </si>
  <si>
    <t>[For each key business activity, state the MTPD, RTO, MBCO and RPO]. See panel, right, for key.</t>
  </si>
  <si>
    <r>
      <rPr>
        <b/>
        <sz val="16"/>
        <color theme="2" tint="-0.499984740745262"/>
        <rFont val="Calibri"/>
        <family val="2"/>
        <scheme val="minor"/>
      </rPr>
      <t>Areas of the standard addressed</t>
    </r>
    <r>
      <rPr>
        <sz val="11"/>
        <color rgb="FF444444"/>
        <rFont val="Calibri"/>
        <family val="2"/>
        <scheme val="minor"/>
      </rPr>
      <t xml:space="preserve">
</t>
    </r>
    <r>
      <rPr>
        <sz val="11"/>
        <color theme="1"/>
        <rFont val="Calibri"/>
        <family val="2"/>
        <scheme val="minor"/>
      </rPr>
      <t>The main areas of the ISO22301 standard addressed by this workbook are:
8. Operation
8.2 Business impact analysis and risk assessment
8.2.2 Business impact analysis</t>
    </r>
  </si>
  <si>
    <t>The following definitions are taken from ISO22301 and ISO22300.</t>
  </si>
  <si>
    <r>
      <rPr>
        <b/>
        <sz val="16"/>
        <color theme="2" tint="-0.499984740745262"/>
        <rFont val="Calibri"/>
        <family val="2"/>
        <scheme val="minor"/>
      </rPr>
      <t>Toolkit version number</t>
    </r>
    <r>
      <rPr>
        <sz val="11"/>
        <color rgb="FF444444"/>
        <rFont val="Calibri"/>
        <family val="2"/>
        <scheme val="minor"/>
      </rPr>
      <t xml:space="preserve">
</t>
    </r>
    <r>
      <rPr>
        <sz val="11"/>
        <color theme="1"/>
        <rFont val="Calibri"/>
        <family val="2"/>
        <scheme val="minor"/>
      </rPr>
      <t>ISO22301 Toolkit Version 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</si>
</sst>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809]dd\ mmmm\ yyyy;@"/>
  </numFmts>
  <fonts count="15" x14ac:knownFonts="1">
    <font>
      <sz val="11"/>
      <color theme="1"/>
      <name val="Calibri"/>
      <family val="2"/>
      <scheme val="minor"/>
    </font>
    <font>
      <b/>
      <sz val="15"/>
      <color theme="3"/>
      <name val="Calibri"/>
      <family val="2"/>
      <scheme val="minor"/>
    </font>
    <font>
      <b/>
      <sz val="13"/>
      <color theme="3"/>
      <name val="Calibri"/>
      <family val="2"/>
      <scheme val="minor"/>
    </font>
    <font>
      <b/>
      <sz val="11"/>
      <color theme="0"/>
      <name val="Calibri"/>
      <family val="2"/>
      <scheme val="minor"/>
    </font>
    <font>
      <b/>
      <sz val="11"/>
      <color rgb="FFFFFFFF"/>
      <name val="Calibri"/>
      <family val="2"/>
      <scheme val="minor"/>
    </font>
    <font>
      <sz val="11"/>
      <color rgb="FF444444"/>
      <name val="Calibri"/>
      <family val="2"/>
      <scheme val="minor"/>
    </font>
    <font>
      <i/>
      <sz val="11"/>
      <color rgb="FF444444"/>
      <name val="Calibri"/>
      <family val="2"/>
      <scheme val="minor"/>
    </font>
    <font>
      <b/>
      <sz val="11"/>
      <color rgb="FF444444"/>
      <name val="Calibri"/>
      <family val="2"/>
      <scheme val="minor"/>
    </font>
    <font>
      <b/>
      <sz val="11"/>
      <color theme="1"/>
      <name val="Calibri"/>
      <family val="2"/>
      <scheme val="minor"/>
    </font>
    <font>
      <b/>
      <sz val="16"/>
      <color theme="1"/>
      <name val="Calibri"/>
      <family val="2"/>
      <scheme val="minor"/>
    </font>
    <font>
      <b/>
      <sz val="14"/>
      <color theme="1"/>
      <name val="Calibri"/>
      <family val="2"/>
      <scheme val="minor"/>
    </font>
    <font>
      <b/>
      <sz val="18"/>
      <color theme="1"/>
      <name val="Calibri"/>
      <family val="2"/>
      <scheme val="minor"/>
    </font>
    <font>
      <sz val="8"/>
      <name val="Calibri"/>
      <family val="2"/>
      <scheme val="minor"/>
    </font>
    <font>
      <b/>
      <sz val="18"/>
      <color theme="2" tint="-0.499984740745262"/>
      <name val="Calibri"/>
      <family val="2"/>
      <scheme val="minor"/>
    </font>
    <font>
      <b/>
      <sz val="16"/>
      <color theme="2" tint="-0.499984740745262"/>
      <name val="Calibri"/>
      <family val="2"/>
      <scheme val="minor"/>
    </font>
  </fonts>
  <fills count="5">
    <fill>
      <patternFill patternType="none"/>
    </fill>
    <fill>
      <patternFill patternType="gray125"/>
    </fill>
    <fill>
      <patternFill patternType="solid">
        <fgColor theme="2" tint="-0.499984740745262"/>
        <bgColor indexed="64"/>
      </patternFill>
    </fill>
    <fill>
      <patternFill patternType="solid">
        <fgColor theme="2"/>
        <bgColor indexed="64"/>
      </patternFill>
    </fill>
    <fill>
      <patternFill patternType="solid">
        <fgColor theme="2" tint="-0.749992370372631"/>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style="medium">
        <color theme="0"/>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ck">
        <color theme="2" tint="-0.499984740745262"/>
      </bottom>
      <diagonal/>
    </border>
    <border>
      <left/>
      <right/>
      <top/>
      <bottom style="thick">
        <color theme="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top style="thin">
        <color theme="2" tint="-0.499984740745262"/>
      </top>
      <bottom/>
      <diagonal/>
    </border>
    <border>
      <left/>
      <right/>
      <top style="thin">
        <color theme="2" tint="-0.499984740745262"/>
      </top>
      <bottom/>
      <diagonal/>
    </border>
    <border>
      <left/>
      <right style="thin">
        <color theme="2" tint="-0.499984740745262"/>
      </right>
      <top style="thin">
        <color theme="2" tint="-0.499984740745262"/>
      </top>
      <bottom/>
      <diagonal/>
    </border>
    <border>
      <left style="thin">
        <color theme="2" tint="-0.499984740745262"/>
      </left>
      <right/>
      <top/>
      <bottom style="thin">
        <color theme="2" tint="-0.499984740745262"/>
      </bottom>
      <diagonal/>
    </border>
    <border>
      <left/>
      <right/>
      <top/>
      <bottom style="thin">
        <color theme="2" tint="-0.499984740745262"/>
      </bottom>
      <diagonal/>
    </border>
    <border>
      <left/>
      <right style="thin">
        <color theme="2" tint="-0.499984740745262"/>
      </right>
      <top/>
      <bottom style="thin">
        <color theme="2" tint="-0.499984740745262"/>
      </bottom>
      <diagonal/>
    </border>
  </borders>
  <cellStyleXfs count="3">
    <xf numFmtId="0" fontId="0" fillId="0" borderId="0"/>
    <xf numFmtId="0" fontId="1" fillId="0" borderId="1" applyNumberFormat="0" applyFill="0" applyAlignment="0" applyProtection="0"/>
    <xf numFmtId="0" fontId="2" fillId="0" borderId="2" applyNumberFormat="0" applyFill="0" applyAlignment="0" applyProtection="0"/>
  </cellStyleXfs>
  <cellXfs count="77">
    <xf numFmtId="0" fontId="0" fillId="0" borderId="0" xfId="0"/>
    <xf numFmtId="0" fontId="0" fillId="0" borderId="0" xfId="0" applyAlignment="1">
      <alignment vertical="top"/>
    </xf>
    <xf numFmtId="0" fontId="0" fillId="0" borderId="0" xfId="0" applyAlignment="1">
      <alignment horizontal="centerContinuous" vertical="top"/>
    </xf>
    <xf numFmtId="0" fontId="3" fillId="0" borderId="0" xfId="0" applyFont="1" applyFill="1" applyAlignment="1">
      <alignment vertical="top"/>
    </xf>
    <xf numFmtId="0" fontId="0" fillId="0" borderId="0" xfId="0" applyFill="1" applyAlignment="1">
      <alignment vertical="top"/>
    </xf>
    <xf numFmtId="0" fontId="0" fillId="0" borderId="0" xfId="0" applyFont="1" applyFill="1" applyBorder="1" applyAlignment="1">
      <alignment horizontal="left" vertical="top" wrapText="1"/>
    </xf>
    <xf numFmtId="0" fontId="5" fillId="0" borderId="0" xfId="0" applyFont="1" applyAlignment="1">
      <alignment vertical="top" wrapText="1"/>
    </xf>
    <xf numFmtId="0" fontId="5" fillId="0" borderId="0" xfId="0" applyFont="1" applyAlignment="1">
      <alignment vertical="top"/>
    </xf>
    <xf numFmtId="0" fontId="5" fillId="0" borderId="0" xfId="0" applyFont="1" applyAlignment="1">
      <alignment horizontal="right" vertical="top"/>
    </xf>
    <xf numFmtId="0" fontId="5" fillId="0" borderId="0" xfId="0" applyFont="1" applyFill="1" applyAlignment="1">
      <alignment horizontal="left" vertical="top"/>
    </xf>
    <xf numFmtId="0" fontId="6" fillId="0" borderId="0" xfId="0" applyFont="1" applyAlignment="1">
      <alignment vertical="top"/>
    </xf>
    <xf numFmtId="0" fontId="0" fillId="0" borderId="0" xfId="0" applyFont="1" applyFill="1" applyBorder="1" applyAlignment="1">
      <alignment horizontal="left" vertical="center"/>
    </xf>
    <xf numFmtId="0" fontId="0" fillId="0" borderId="0" xfId="0" applyFont="1" applyFill="1" applyBorder="1" applyAlignment="1">
      <alignment horizontal="left" vertical="center" wrapText="1"/>
    </xf>
    <xf numFmtId="0" fontId="7" fillId="0" borderId="0" xfId="0" applyFont="1" applyAlignment="1">
      <alignment vertical="top" wrapText="1"/>
    </xf>
    <xf numFmtId="0" fontId="5" fillId="0" borderId="0" xfId="0" applyFont="1" applyBorder="1" applyAlignment="1">
      <alignment vertical="top"/>
    </xf>
    <xf numFmtId="0" fontId="0" fillId="0" borderId="0" xfId="0" applyFont="1" applyFill="1" applyBorder="1" applyAlignment="1">
      <alignment horizontal="right" vertical="top" wrapText="1"/>
    </xf>
    <xf numFmtId="0" fontId="0" fillId="0" borderId="0" xfId="0" applyAlignment="1">
      <alignment horizontal="left"/>
    </xf>
    <xf numFmtId="0" fontId="7" fillId="0" borderId="0" xfId="0" applyFont="1" applyAlignment="1">
      <alignment vertical="top"/>
    </xf>
    <xf numFmtId="0" fontId="0" fillId="0" borderId="0" xfId="0" applyFill="1" applyBorder="1"/>
    <xf numFmtId="0" fontId="5" fillId="0" borderId="0" xfId="0" applyFont="1" applyFill="1" applyBorder="1" applyAlignment="1">
      <alignment horizontal="left" vertical="top" wrapText="1"/>
    </xf>
    <xf numFmtId="0" fontId="7" fillId="0" borderId="0" xfId="0" applyFont="1" applyBorder="1" applyAlignment="1">
      <alignment vertical="top" wrapText="1"/>
    </xf>
    <xf numFmtId="0" fontId="9" fillId="0" borderId="0" xfId="0" applyFont="1" applyAlignment="1">
      <alignment vertical="top"/>
    </xf>
    <xf numFmtId="0" fontId="8" fillId="0" borderId="0" xfId="0" applyFont="1" applyFill="1" applyAlignment="1">
      <alignment vertical="top" wrapText="1"/>
    </xf>
    <xf numFmtId="0" fontId="0" fillId="0" borderId="0" xfId="0" applyFont="1" applyFill="1" applyAlignment="1">
      <alignment vertical="top" wrapText="1"/>
    </xf>
    <xf numFmtId="0" fontId="8" fillId="0" borderId="0" xfId="0" applyFont="1" applyFill="1" applyBorder="1" applyAlignment="1">
      <alignment vertical="top" wrapText="1"/>
    </xf>
    <xf numFmtId="0" fontId="0" fillId="0" borderId="0" xfId="0" applyFont="1" applyFill="1" applyBorder="1" applyAlignment="1">
      <alignment vertical="top" wrapText="1"/>
    </xf>
    <xf numFmtId="0" fontId="0" fillId="0" borderId="0" xfId="0" applyFont="1" applyAlignment="1">
      <alignment vertical="top"/>
    </xf>
    <xf numFmtId="0" fontId="0" fillId="0" borderId="0" xfId="0" applyFont="1" applyBorder="1" applyAlignment="1">
      <alignment vertical="top"/>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horizontal="left" vertical="top" wrapText="1"/>
    </xf>
    <xf numFmtId="0" fontId="3" fillId="0" borderId="0" xfId="0" applyFont="1" applyAlignment="1">
      <alignment vertical="top"/>
    </xf>
    <xf numFmtId="0" fontId="0" fillId="0" borderId="0" xfId="0" applyAlignment="1">
      <alignment horizontal="right" vertical="top" wrapText="1"/>
    </xf>
    <xf numFmtId="0" fontId="0" fillId="0" borderId="0" xfId="0" applyFont="1" applyFill="1" applyBorder="1" applyAlignment="1" applyProtection="1">
      <alignment horizontal="left" vertical="top" wrapText="1"/>
      <protection locked="0"/>
    </xf>
    <xf numFmtId="0" fontId="0" fillId="0" borderId="0" xfId="0" applyNumberFormat="1" applyFont="1" applyFill="1"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5" fillId="0" borderId="0" xfId="0" applyFont="1" applyAlignment="1" applyProtection="1">
      <alignment horizontal="right" vertical="top"/>
    </xf>
    <xf numFmtId="0" fontId="5" fillId="0" borderId="0" xfId="0" applyFont="1" applyAlignment="1" applyProtection="1">
      <alignment vertical="top"/>
    </xf>
    <xf numFmtId="0" fontId="9" fillId="0" borderId="0" xfId="0" applyFont="1" applyAlignment="1" applyProtection="1">
      <alignment vertical="top"/>
    </xf>
    <xf numFmtId="0" fontId="0" fillId="0" borderId="0" xfId="0" applyFont="1" applyAlignment="1" applyProtection="1">
      <alignment vertical="top"/>
    </xf>
    <xf numFmtId="0" fontId="0" fillId="0" borderId="0" xfId="0" applyFont="1" applyFill="1" applyBorder="1" applyAlignment="1" applyProtection="1">
      <alignment horizontal="left" vertical="top" wrapText="1"/>
    </xf>
    <xf numFmtId="0" fontId="8" fillId="0" borderId="0" xfId="0" applyFont="1" applyAlignment="1" applyProtection="1">
      <alignment vertical="top"/>
    </xf>
    <xf numFmtId="0" fontId="0" fillId="0" borderId="0" xfId="0" applyFont="1" applyBorder="1" applyAlignment="1" applyProtection="1">
      <alignment vertical="top"/>
    </xf>
    <xf numFmtId="0" fontId="0" fillId="0" borderId="0" xfId="0" applyFont="1" applyFill="1" applyBorder="1" applyAlignment="1" applyProtection="1">
      <alignment horizontal="left" vertical="center"/>
    </xf>
    <xf numFmtId="0" fontId="0" fillId="0" borderId="0" xfId="0" applyFont="1" applyFill="1" applyBorder="1" applyAlignment="1" applyProtection="1">
      <alignment horizontal="left" vertical="center" wrapText="1"/>
    </xf>
    <xf numFmtId="0" fontId="0" fillId="0" borderId="0" xfId="0" applyFill="1" applyAlignment="1" applyProtection="1">
      <alignment vertical="top"/>
    </xf>
    <xf numFmtId="0" fontId="0" fillId="0" borderId="0" xfId="0" applyAlignment="1" applyProtection="1">
      <alignment vertical="top"/>
    </xf>
    <xf numFmtId="0" fontId="10" fillId="0" borderId="0" xfId="0" applyFont="1" applyAlignment="1" applyProtection="1">
      <alignment vertical="top"/>
    </xf>
    <xf numFmtId="0" fontId="0" fillId="0" borderId="0" xfId="0" applyAlignment="1" applyProtection="1">
      <alignment horizontal="left" vertical="center" wrapText="1"/>
    </xf>
    <xf numFmtId="0" fontId="0" fillId="0" borderId="0" xfId="0" applyAlignment="1" applyProtection="1">
      <alignment horizontal="left" vertical="top" wrapText="1"/>
    </xf>
    <xf numFmtId="0" fontId="5" fillId="0" borderId="0" xfId="0" applyFont="1" applyBorder="1" applyAlignment="1" applyProtection="1">
      <alignment vertical="top"/>
    </xf>
    <xf numFmtId="0" fontId="5" fillId="0" borderId="7" xfId="0" applyFont="1" applyBorder="1" applyAlignment="1">
      <alignment vertical="top"/>
    </xf>
    <xf numFmtId="0" fontId="4" fillId="2" borderId="0" xfId="0" applyFont="1" applyFill="1" applyAlignment="1">
      <alignment vertical="center" wrapText="1"/>
    </xf>
    <xf numFmtId="0" fontId="3" fillId="2" borderId="0" xfId="0" applyFont="1" applyFill="1" applyAlignment="1">
      <alignment vertical="center"/>
    </xf>
    <xf numFmtId="0" fontId="7" fillId="0" borderId="8" xfId="0" applyFont="1" applyFill="1" applyBorder="1" applyAlignment="1">
      <alignment vertical="top" wrapText="1"/>
    </xf>
    <xf numFmtId="0" fontId="5" fillId="0" borderId="8" xfId="0" applyFont="1" applyFill="1" applyBorder="1" applyAlignment="1">
      <alignment vertical="top" wrapText="1"/>
    </xf>
    <xf numFmtId="0" fontId="8" fillId="3" borderId="9" xfId="0" applyFont="1" applyFill="1" applyBorder="1" applyAlignment="1">
      <alignment vertical="top" wrapText="1"/>
    </xf>
    <xf numFmtId="0" fontId="0" fillId="0" borderId="9" xfId="0" applyFont="1" applyBorder="1" applyAlignment="1">
      <alignment vertical="top" wrapText="1"/>
    </xf>
    <xf numFmtId="164" fontId="0" fillId="0" borderId="9" xfId="0" applyNumberFormat="1" applyFont="1" applyBorder="1" applyAlignment="1">
      <alignment horizontal="left" vertical="top" wrapText="1"/>
    </xf>
    <xf numFmtId="0" fontId="4" fillId="4" borderId="0" xfId="0" applyFont="1" applyFill="1" applyAlignment="1">
      <alignment horizontal="left" vertical="center"/>
    </xf>
    <xf numFmtId="0" fontId="4" fillId="4" borderId="3" xfId="0" applyFont="1" applyFill="1" applyBorder="1" applyAlignment="1">
      <alignment horizontal="left" vertical="center"/>
    </xf>
    <xf numFmtId="0" fontId="8" fillId="0" borderId="0" xfId="0" applyFont="1" applyAlignment="1">
      <alignment vertical="top"/>
    </xf>
    <xf numFmtId="0" fontId="3" fillId="4" borderId="0" xfId="0" applyFont="1" applyFill="1" applyBorder="1" applyAlignment="1" applyProtection="1">
      <alignment horizontal="left" vertical="center"/>
    </xf>
    <xf numFmtId="0" fontId="3" fillId="4" borderId="0" xfId="0" applyFont="1" applyFill="1" applyBorder="1" applyAlignment="1" applyProtection="1">
      <alignment horizontal="right" vertical="center"/>
    </xf>
    <xf numFmtId="0" fontId="8" fillId="3" borderId="10" xfId="0" applyFont="1" applyFill="1" applyBorder="1" applyAlignment="1" applyProtection="1">
      <alignment horizontal="right" vertical="top"/>
    </xf>
    <xf numFmtId="0" fontId="0" fillId="0" borderId="11" xfId="0" applyFont="1" applyBorder="1" applyAlignment="1" applyProtection="1">
      <alignment vertical="top"/>
      <protection locked="0"/>
    </xf>
    <xf numFmtId="0" fontId="0" fillId="0" borderId="12" xfId="0" applyFont="1" applyBorder="1" applyAlignment="1" applyProtection="1">
      <alignment vertical="top"/>
    </xf>
    <xf numFmtId="0" fontId="8" fillId="3" borderId="13" xfId="0" applyFont="1" applyFill="1" applyBorder="1" applyAlignment="1" applyProtection="1">
      <alignment horizontal="right" vertical="top"/>
    </xf>
    <xf numFmtId="164" fontId="0" fillId="0" borderId="14" xfId="0" applyNumberFormat="1" applyFont="1" applyBorder="1" applyAlignment="1" applyProtection="1">
      <alignment horizontal="left" vertical="top"/>
      <protection locked="0"/>
    </xf>
    <xf numFmtId="0" fontId="0" fillId="0" borderId="15" xfId="0" applyFont="1" applyBorder="1" applyAlignment="1" applyProtection="1">
      <alignment vertical="top"/>
    </xf>
    <xf numFmtId="0" fontId="4" fillId="4" borderId="0" xfId="0" applyFont="1" applyFill="1" applyBorder="1" applyAlignment="1" applyProtection="1">
      <alignment horizontal="left" vertical="center"/>
    </xf>
    <xf numFmtId="0" fontId="4" fillId="4" borderId="0" xfId="0" applyFont="1" applyFill="1" applyAlignment="1" applyProtection="1">
      <alignment horizontal="left" vertical="center"/>
    </xf>
    <xf numFmtId="0" fontId="0" fillId="0" borderId="11" xfId="0" applyFont="1" applyBorder="1" applyAlignment="1" applyProtection="1">
      <alignment vertical="top"/>
    </xf>
    <xf numFmtId="0" fontId="0" fillId="0" borderId="14" xfId="0" applyFont="1" applyBorder="1" applyAlignment="1" applyProtection="1">
      <alignment vertical="top"/>
    </xf>
    <xf numFmtId="0" fontId="0" fillId="0" borderId="4" xfId="0" applyFont="1" applyBorder="1" applyAlignment="1">
      <alignment horizontal="left" vertical="top" wrapText="1" indent="1"/>
    </xf>
    <xf numFmtId="0" fontId="5" fillId="0" borderId="5" xfId="0" applyFont="1" applyBorder="1" applyAlignment="1">
      <alignment horizontal="left" vertical="top" wrapText="1" indent="1"/>
    </xf>
    <xf numFmtId="0" fontId="5" fillId="0" borderId="6" xfId="0" applyFont="1" applyBorder="1" applyAlignment="1">
      <alignment horizontal="left" vertical="top" wrapText="1" indent="1"/>
    </xf>
  </cellXfs>
  <cellStyles count="3">
    <cellStyle name="Heading 1" xfId="1" builtinId="16" customBuiltin="1"/>
    <cellStyle name="Heading 2" xfId="2" builtinId="17" customBuiltin="1"/>
    <cellStyle name="Normal" xfId="0" builtinId="0"/>
  </cellStyles>
  <dxfs count="255">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rgb="FF444444"/>
        <name val="Calibri"/>
        <family val="2"/>
        <scheme val="none"/>
      </font>
      <fill>
        <patternFill patternType="none">
          <fgColor rgb="FF000000"/>
          <bgColor rgb="FFFFFFFF"/>
        </patternFill>
      </fill>
      <alignment horizontal="left" vertical="top" textRotation="0" wrapText="1" indent="0" justifyLastLine="0" shrinkToFit="0" readingOrder="0"/>
    </dxf>
    <dxf>
      <alignment horizontal="left" vertical="center" textRotation="0" wrapText="1" indent="0" justifyLastLine="0" shrinkToFit="0" readingOrder="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rgb="FF444444"/>
        <name val="Calibri"/>
        <family val="2"/>
        <scheme val="none"/>
      </font>
      <fill>
        <patternFill patternType="none">
          <fgColor rgb="FF000000"/>
          <bgColor rgb="FFFFFFFF"/>
        </patternFill>
      </fill>
      <alignment horizontal="left" vertical="top" textRotation="0" wrapText="1" indent="0" justifyLastLine="0" shrinkToFit="0" readingOrder="0"/>
      <protection locked="1" hidden="0"/>
    </dxf>
    <dxf>
      <alignment horizontal="left" vertical="center" textRotation="0" wrapText="1" indent="0" justifyLastLine="0" shrinkToFit="0" readingOrder="0"/>
      <protection locked="1"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rgb="FF444444"/>
        <name val="Calibri"/>
        <family val="2"/>
        <scheme val="none"/>
      </font>
      <fill>
        <patternFill patternType="none">
          <fgColor rgb="FF000000"/>
          <bgColor rgb="FFFFFFFF"/>
        </patternFill>
      </fill>
      <alignment horizontal="left" vertical="top" textRotation="0" wrapText="1" indent="0" justifyLastLine="0" shrinkToFit="0" readingOrder="0"/>
      <protection locked="1" hidden="0"/>
    </dxf>
    <dxf>
      <alignment horizontal="left" vertical="center" textRotation="0" wrapText="1" indent="0" justifyLastLine="0" shrinkToFit="0" readingOrder="0"/>
      <protection locked="1"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rgb="FF444444"/>
        <name val="Calibri"/>
        <family val="2"/>
        <scheme val="none"/>
      </font>
      <fill>
        <patternFill patternType="none">
          <fgColor rgb="FF000000"/>
          <bgColor rgb="FFFFFFFF"/>
        </patternFill>
      </fill>
      <alignment horizontal="left" vertical="top" textRotation="0" wrapText="1" indent="0" justifyLastLine="0" shrinkToFit="0" readingOrder="0"/>
      <protection locked="1" hidden="0"/>
    </dxf>
    <dxf>
      <alignment horizontal="left" vertical="center" textRotation="0" wrapText="1" indent="0" justifyLastLine="0" shrinkToFit="0" readingOrder="0"/>
      <protection locked="1"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rgb="FF444444"/>
        <name val="Calibri"/>
        <family val="2"/>
        <scheme val="none"/>
      </font>
      <fill>
        <patternFill patternType="none">
          <fgColor rgb="FF000000"/>
          <bgColor rgb="FFFFFFFF"/>
        </patternFill>
      </fill>
      <alignment horizontal="left" vertical="top" textRotation="0" wrapText="1" indent="0" justifyLastLine="0" shrinkToFit="0" readingOrder="0"/>
      <protection locked="1" hidden="0"/>
    </dxf>
    <dxf>
      <alignment horizontal="left" vertical="center" textRotation="0" wrapText="1" indent="0" justifyLastLine="0" shrinkToFit="0" readingOrder="0"/>
      <protection locked="1"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rgb="FF444444"/>
        <name val="Calibri"/>
        <family val="2"/>
        <scheme val="none"/>
      </font>
      <fill>
        <patternFill patternType="none">
          <fgColor rgb="FF000000"/>
          <bgColor rgb="FFFFFFFF"/>
        </patternFill>
      </fill>
      <alignment horizontal="left" vertical="top" textRotation="0" wrapText="1" indent="0" justifyLastLine="0" shrinkToFit="0" readingOrder="0"/>
      <protection locked="1" hidden="0"/>
    </dxf>
    <dxf>
      <alignment horizontal="left" vertical="center" textRotation="0" wrapText="1" indent="0" justifyLastLine="0" shrinkToFit="0" readingOrder="0"/>
      <protection locked="1"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rgb="FF444444"/>
        <name val="Calibri"/>
        <family val="2"/>
        <scheme val="none"/>
      </font>
      <fill>
        <patternFill patternType="none">
          <fgColor rgb="FF000000"/>
          <bgColor rgb="FFFFFFFF"/>
        </patternFill>
      </fill>
      <alignment horizontal="left" vertical="top" textRotation="0" wrapText="1" indent="0" justifyLastLine="0" shrinkToFit="0" readingOrder="0"/>
      <protection locked="1" hidden="0"/>
    </dxf>
    <dxf>
      <alignment horizontal="left" vertical="center" textRotation="0" wrapText="1" indent="0" justifyLastLine="0" shrinkToFit="0" readingOrder="0"/>
      <protection locked="1"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rgb="FF444444"/>
        <name val="Calibri"/>
        <family val="2"/>
        <scheme val="none"/>
      </font>
      <fill>
        <patternFill patternType="none">
          <fgColor rgb="FF000000"/>
          <bgColor rgb="FFFFFFFF"/>
        </patternFill>
      </fill>
      <alignment horizontal="left" vertical="top" textRotation="0" wrapText="1" indent="0" justifyLastLine="0" shrinkToFit="0" readingOrder="0"/>
      <protection locked="1" hidden="0"/>
    </dxf>
    <dxf>
      <alignment horizontal="left" vertical="center" textRotation="0" wrapText="1" indent="0" justifyLastLine="0" shrinkToFit="0" readingOrder="0"/>
      <protection locked="1"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rgb="FF444444"/>
        <name val="Calibri"/>
        <family val="2"/>
        <scheme val="none"/>
      </font>
      <fill>
        <patternFill patternType="none">
          <fgColor rgb="FF000000"/>
          <bgColor rgb="FFFFFFFF"/>
        </patternFill>
      </fill>
      <alignment horizontal="left" vertical="top" textRotation="0" wrapText="1" indent="0" justifyLastLine="0" shrinkToFit="0" readingOrder="0"/>
      <protection locked="1" hidden="0"/>
    </dxf>
    <dxf>
      <alignment horizontal="left" vertical="center" textRotation="0" wrapText="1" indent="0" justifyLastLine="0" shrinkToFit="0" readingOrder="0"/>
      <protection locked="1"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rgb="FF444444"/>
        <name val="Calibri"/>
        <family val="2"/>
        <scheme val="none"/>
      </font>
      <fill>
        <patternFill patternType="none">
          <fgColor rgb="FF000000"/>
          <bgColor rgb="FFFFFFFF"/>
        </patternFill>
      </fill>
      <alignment horizontal="left" vertical="top" textRotation="0" wrapText="1" indent="0" justifyLastLine="0" shrinkToFit="0" readingOrder="0"/>
      <protection locked="1" hidden="0"/>
    </dxf>
    <dxf>
      <alignment horizontal="left" vertical="center" textRotation="0" wrapText="1" indent="0" justifyLastLine="0" shrinkToFit="0" readingOrder="0"/>
      <protection locked="1"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rgb="FF444444"/>
        <name val="Calibri"/>
        <family val="2"/>
        <scheme val="none"/>
      </font>
      <fill>
        <patternFill patternType="none">
          <fgColor rgb="FF000000"/>
          <bgColor rgb="FFFFFFFF"/>
        </patternFill>
      </fill>
      <alignment horizontal="left" vertical="top" textRotation="0" wrapText="1" indent="0" justifyLastLine="0" shrinkToFit="0" readingOrder="0"/>
      <protection locked="1" hidden="0"/>
    </dxf>
    <dxf>
      <alignment horizontal="left" vertical="center" textRotation="0" wrapText="1" indent="0" justifyLastLine="0" shrinkToFit="0" readingOrder="0"/>
      <protection locked="1"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rgb="FF444444"/>
        <name val="Calibri"/>
        <family val="2"/>
        <scheme val="none"/>
      </font>
      <fill>
        <patternFill patternType="none">
          <fgColor rgb="FF000000"/>
          <bgColor rgb="FFFFFFFF"/>
        </patternFill>
      </fill>
      <alignment horizontal="left" vertical="top" textRotation="0" wrapText="1" indent="0" justifyLastLine="0" shrinkToFit="0" readingOrder="0"/>
      <protection locked="1" hidden="0"/>
    </dxf>
    <dxf>
      <alignment horizontal="left" vertical="center" textRotation="0" wrapText="1" indent="0" justifyLastLine="0" shrinkToFit="0" readingOrder="0"/>
      <protection locked="1"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rgb="FF444444"/>
        <name val="Calibri"/>
        <family val="2"/>
        <scheme val="none"/>
      </font>
      <fill>
        <patternFill patternType="none">
          <fgColor rgb="FF000000"/>
          <bgColor rgb="FFFFFFFF"/>
        </patternFill>
      </fill>
      <alignment horizontal="left" vertical="top" textRotation="0" wrapText="1" indent="0" justifyLastLine="0" shrinkToFit="0" readingOrder="0"/>
    </dxf>
    <dxf>
      <alignment horizontal="left" vertical="center" textRotation="0" wrapText="1" indent="0" justifyLastLine="0" shrinkToFit="0" readingOrder="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rgb="FF444444"/>
        <name val="Calibri"/>
        <family val="2"/>
        <scheme val="none"/>
      </font>
      <fill>
        <patternFill patternType="none">
          <fgColor rgb="FF000000"/>
          <bgColor rgb="FFFFFFFF"/>
        </patternFill>
      </fill>
      <alignment horizontal="left" vertical="top" textRotation="0" wrapText="1" indent="0" justifyLastLine="0" shrinkToFit="0" readingOrder="0"/>
      <protection locked="1" hidden="0"/>
    </dxf>
    <dxf>
      <alignment horizontal="left" vertical="top" textRotation="0" wrapText="1" indent="0" justifyLastLine="0" shrinkToFit="0" readingOrder="0"/>
      <protection locked="1"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rgb="FF444444"/>
        <name val="Calibri"/>
        <family val="2"/>
        <scheme val="none"/>
      </font>
      <fill>
        <patternFill patternType="none">
          <fgColor rgb="FF000000"/>
          <bgColor rgb="FFFFFFFF"/>
        </patternFill>
      </fill>
      <alignment horizontal="left" vertical="top" textRotation="0" wrapText="1" indent="0" justifyLastLine="0" shrinkToFit="0" readingOrder="0"/>
      <protection locked="1" hidden="0"/>
    </dxf>
    <dxf>
      <alignment horizontal="left" vertical="top" textRotation="0" wrapText="1" indent="0" justifyLastLine="0" shrinkToFit="0" readingOrder="0"/>
      <protection locked="1"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rgb="FF444444"/>
        <name val="Calibri"/>
        <family val="2"/>
        <scheme val="none"/>
      </font>
      <fill>
        <patternFill patternType="none">
          <fgColor rgb="FF000000"/>
          <bgColor rgb="FFFFFFFF"/>
        </patternFill>
      </fill>
      <alignment horizontal="left" vertical="top" textRotation="0" wrapText="1" indent="0" justifyLastLine="0" shrinkToFit="0" readingOrder="0"/>
      <protection locked="1" hidden="0"/>
    </dxf>
    <dxf>
      <alignment horizontal="left" vertical="top" textRotation="0" wrapText="1" indent="0" justifyLastLine="0" shrinkToFit="0" readingOrder="0"/>
      <protection locked="1"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rgb="FF444444"/>
        <name val="Calibri"/>
        <family val="2"/>
        <scheme val="none"/>
      </font>
      <fill>
        <patternFill patternType="none">
          <fgColor rgb="FF000000"/>
          <bgColor rgb="FFFFFFFF"/>
        </patternFill>
      </fill>
      <alignment horizontal="left" vertical="top" textRotation="0" wrapText="1" indent="0" justifyLastLine="0" shrinkToFit="0" readingOrder="0"/>
      <protection locked="1" hidden="0"/>
    </dxf>
    <dxf>
      <alignment horizontal="left" vertical="top" textRotation="0" wrapText="1" indent="0" justifyLastLine="0" shrinkToFit="0" readingOrder="0"/>
      <protection locked="1"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rgb="FF444444"/>
        <name val="Calibri"/>
        <family val="2"/>
        <scheme val="none"/>
      </font>
      <fill>
        <patternFill patternType="none">
          <fgColor rgb="FF000000"/>
          <bgColor rgb="FFFFFFFF"/>
        </patternFill>
      </fill>
      <alignment horizontal="left" vertical="top" textRotation="0" wrapText="1" indent="0" justifyLastLine="0" shrinkToFit="0" readingOrder="0"/>
      <protection locked="1" hidden="0"/>
    </dxf>
    <dxf>
      <alignment horizontal="left" vertical="top" textRotation="0" wrapText="1" indent="0" justifyLastLine="0" shrinkToFit="0" readingOrder="0"/>
      <protection locked="1"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rgb="FF444444"/>
        <name val="Calibri"/>
        <family val="2"/>
        <scheme val="none"/>
      </font>
      <fill>
        <patternFill patternType="none">
          <fgColor rgb="FF000000"/>
          <bgColor rgb="FFFFFFFF"/>
        </patternFill>
      </fill>
      <alignment horizontal="left" vertical="top" textRotation="0" wrapText="1" indent="0" justifyLastLine="0" shrinkToFit="0" readingOrder="0"/>
      <protection locked="1" hidden="0"/>
    </dxf>
    <dxf>
      <alignment horizontal="left" vertical="top" textRotation="0" wrapText="1" indent="0" justifyLastLine="0" shrinkToFit="0" readingOrder="0"/>
      <protection locked="1"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rgb="FF444444"/>
        <name val="Calibri"/>
        <family val="2"/>
        <scheme val="none"/>
      </font>
      <fill>
        <patternFill patternType="none">
          <fgColor rgb="FF000000"/>
          <bgColor rgb="FFFFFFFF"/>
        </patternFill>
      </fill>
      <alignment horizontal="left" vertical="top" textRotation="0" wrapText="1" indent="0" justifyLastLine="0" shrinkToFit="0" readingOrder="0"/>
      <protection locked="1" hidden="0"/>
    </dxf>
    <dxf>
      <alignment horizontal="left" vertical="top" textRotation="0" wrapText="1" indent="0" justifyLastLine="0" shrinkToFit="0" readingOrder="0"/>
      <protection locked="1"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rgb="FF444444"/>
        <name val="Calibri"/>
        <family val="2"/>
        <scheme val="none"/>
      </font>
      <fill>
        <patternFill patternType="none">
          <fgColor rgb="FF000000"/>
          <bgColor rgb="FFFFFFFF"/>
        </patternFill>
      </fill>
      <alignment horizontal="left" vertical="top" textRotation="0" wrapText="1" indent="0" justifyLastLine="0" shrinkToFit="0" readingOrder="0"/>
      <protection locked="1" hidden="0"/>
    </dxf>
    <dxf>
      <alignment horizontal="left" vertical="top" textRotation="0" wrapText="1" indent="0" justifyLastLine="0" shrinkToFit="0" readingOrder="0"/>
      <protection locked="1"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rgb="FF444444"/>
        <name val="Calibri"/>
        <family val="2"/>
        <scheme val="none"/>
      </font>
      <fill>
        <patternFill patternType="none">
          <fgColor rgb="FF000000"/>
          <bgColor rgb="FFFFFFFF"/>
        </patternFill>
      </fill>
      <alignment horizontal="left" vertical="top" textRotation="0" wrapText="1" indent="0" justifyLastLine="0" shrinkToFit="0" readingOrder="0"/>
      <protection locked="1" hidden="0"/>
    </dxf>
    <dxf>
      <alignment horizontal="left" vertical="top" textRotation="0" wrapText="1" indent="0" justifyLastLine="0" shrinkToFit="0" readingOrder="0"/>
      <protection locked="1"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rgb="FF444444"/>
        <name val="Calibri"/>
        <family val="2"/>
        <scheme val="none"/>
      </font>
      <fill>
        <patternFill patternType="none">
          <fgColor rgb="FF000000"/>
          <bgColor rgb="FFFFFFFF"/>
        </patternFill>
      </fill>
      <alignment horizontal="left" vertical="top" textRotation="0" wrapText="1" indent="0" justifyLastLine="0" shrinkToFit="0" readingOrder="0"/>
      <protection locked="1" hidden="0"/>
    </dxf>
    <dxf>
      <alignment horizontal="left" vertical="top" textRotation="0" wrapText="1" indent="0" justifyLastLine="0" shrinkToFit="0" readingOrder="0"/>
      <protection locked="1"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rgb="FF444444"/>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outline="0">
        <left style="thin">
          <color theme="8"/>
        </left>
        <right style="thin">
          <color theme="8"/>
        </right>
        <top style="thin">
          <color theme="3"/>
        </top>
        <bottom style="thin">
          <color theme="3"/>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alignment horizontal="left" vertical="top" textRotation="0" wrapText="1" indent="0" justifyLastLine="0" shrinkToFit="0" readingOrder="0"/>
    </dxf>
    <dxf>
      <font>
        <color theme="1"/>
      </font>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color theme="1"/>
      </font>
      <fill>
        <patternFill>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b/>
        <i val="0"/>
        <color theme="0"/>
      </font>
      <fill>
        <patternFill>
          <bgColor theme="2" tint="-0.499984740745262"/>
        </patternFill>
      </fill>
    </dxf>
    <dxf>
      <font>
        <color theme="1"/>
      </font>
    </dxf>
    <dxf>
      <border diagonalUp="0" diagonalDown="0">
        <left style="thin">
          <color rgb="FF009BA4"/>
        </left>
        <right style="thin">
          <color rgb="FF009BA4"/>
        </right>
        <top style="thin">
          <color rgb="FF009BA4"/>
        </top>
        <bottom style="thin">
          <color rgb="FF009BA4"/>
        </bottom>
        <vertical/>
        <horizontal/>
      </border>
    </dxf>
    <dxf>
      <fill>
        <patternFill>
          <bgColor rgb="FFD0EAEB"/>
        </patternFill>
      </fill>
      <border diagonalUp="0" diagonalDown="0">
        <left style="thin">
          <color rgb="FF009BA4"/>
        </left>
        <right style="thin">
          <color rgb="FF009BA4"/>
        </right>
        <top style="thin">
          <color rgb="FF009BA4"/>
        </top>
        <bottom style="thin">
          <color rgb="FF009BA4"/>
        </bottom>
        <vertical/>
        <horizontal/>
      </border>
    </dxf>
    <dxf>
      <font>
        <b/>
        <i val="0"/>
        <color rgb="FFFFFFFF"/>
      </font>
      <fill>
        <patternFill>
          <bgColor rgb="FF009BA4"/>
        </patternFill>
      </fill>
    </dxf>
    <dxf>
      <font>
        <color rgb="FF444444"/>
      </font>
    </dxf>
    <dxf>
      <font>
        <color theme="1"/>
      </font>
      <border diagonalUp="0" diagonalDown="0">
        <left style="thin">
          <color theme="3"/>
        </left>
        <right style="thin">
          <color theme="3"/>
        </right>
        <top style="thin">
          <color theme="3"/>
        </top>
        <bottom style="thin">
          <color theme="3"/>
        </bottom>
        <vertical style="thin">
          <color theme="8"/>
        </vertical>
        <horizontal/>
      </border>
    </dxf>
    <dxf>
      <font>
        <color theme="1"/>
      </font>
      <fill>
        <patternFill>
          <bgColor theme="5"/>
        </patternFill>
      </fill>
      <border diagonalUp="0" diagonalDown="0">
        <left style="thin">
          <color theme="3"/>
        </left>
        <right style="thin">
          <color theme="3"/>
        </right>
        <top style="thin">
          <color theme="3"/>
        </top>
        <bottom style="thin">
          <color theme="3"/>
        </bottom>
        <vertical style="thin">
          <color theme="8"/>
        </vertical>
        <horizontal/>
      </border>
    </dxf>
    <dxf>
      <font>
        <b/>
        <i val="0"/>
        <color theme="0"/>
      </font>
      <fill>
        <patternFill>
          <bgColor theme="3"/>
        </patternFill>
      </fill>
    </dxf>
    <dxf>
      <font>
        <color theme="1"/>
      </font>
    </dxf>
    <dxf>
      <font>
        <b/>
        <i val="0"/>
        <color theme="0"/>
      </font>
      <fill>
        <patternFill>
          <bgColor rgb="FF009BA4"/>
        </patternFill>
      </fill>
      <border>
        <bottom style="thin">
          <color theme="4"/>
        </bottom>
        <vertical/>
        <horizontal/>
      </border>
    </dxf>
    <dxf>
      <font>
        <b val="0"/>
        <i val="0"/>
        <color rgb="FF444444"/>
      </font>
      <border>
        <left style="thin">
          <color rgb="FF009BA4"/>
        </left>
        <right style="thin">
          <color rgb="FF009BA4"/>
        </right>
        <top style="thin">
          <color rgb="FF009BA4"/>
        </top>
        <bottom style="thin">
          <color rgb="FF009BA4"/>
        </bottom>
        <vertical/>
        <horizontal/>
      </border>
    </dxf>
  </dxfs>
  <tableStyles count="4" defaultTableStyle="CertiKit table style" defaultPivotStyle="PivotStyleLight16">
    <tableStyle name="CertiKit Slicer" pivot="0" table="0" count="10" xr9:uid="{FCC2AF85-7669-42AB-BE0F-8A70404C0D05}">
      <tableStyleElement type="wholeTable" dxfId="254"/>
      <tableStyleElement type="headerRow" dxfId="253"/>
    </tableStyle>
    <tableStyle name="CertiKit table style" pivot="0" count="4" xr9:uid="{C9D01002-7EEB-4392-906F-2D3907ED044F}">
      <tableStyleElement type="wholeTable" dxfId="252"/>
      <tableStyleElement type="headerRow" dxfId="251"/>
      <tableStyleElement type="firstRowStripe" dxfId="250"/>
      <tableStyleElement type="secondRowStripe" dxfId="249"/>
    </tableStyle>
    <tableStyle name="CertiKit table style 2" pivot="0" count="4" xr9:uid="{6C9F78B9-173E-4712-91A6-1E4A60134990}">
      <tableStyleElement type="wholeTable" dxfId="248"/>
      <tableStyleElement type="headerRow" dxfId="247"/>
      <tableStyleElement type="firstRowStripe" dxfId="246"/>
      <tableStyleElement type="secondRowStripe" dxfId="245"/>
    </tableStyle>
    <tableStyle name="CertiKit table style 2 2" pivot="0" count="4" xr9:uid="{480DF18A-A508-410A-8FB0-FBF659FA631A}">
      <tableStyleElement type="wholeTable" dxfId="244"/>
      <tableStyleElement type="headerRow" dxfId="243"/>
      <tableStyleElement type="firstRowStripe" dxfId="242"/>
      <tableStyleElement type="secondRowStripe" dxfId="241"/>
    </tableStyle>
  </tableStyles>
  <colors>
    <mruColors>
      <color rgb="FF009BA4"/>
      <color rgb="FFD0EAEB"/>
      <color rgb="FF444444"/>
      <color rgb="FF006D73"/>
      <color rgb="FF005E63"/>
      <color rgb="FF004043"/>
      <color rgb="FFFFFFFF"/>
      <color rgb="FFDBDC2C"/>
      <color rgb="FFCCC900"/>
    </mruColors>
  </colors>
  <extLst>
    <ext xmlns:x14="http://schemas.microsoft.com/office/spreadsheetml/2009/9/main" uri="{46F421CA-312F-682f-3DD2-61675219B42D}">
      <x14:dxfs count="8">
        <dxf>
          <font>
            <color rgb="FF444444"/>
          </font>
          <fill>
            <gradientFill degree="90">
              <stop position="0">
                <color rgb="FFCCC900"/>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rgb="FFCCC900"/>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rgb="FFCCC900"/>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rgb="FFCCC900"/>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rgb="FFD0EAEB"/>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rgb="FFD0EAEB"/>
            </patternFill>
          </fill>
          <border>
            <left style="thin">
              <color rgb="FF009BA4"/>
            </left>
            <right style="thin">
              <color rgb="FF009BA4"/>
            </right>
            <top style="thin">
              <color rgb="FF009BA4"/>
            </top>
            <bottom style="thin">
              <color rgb="FF009BA4"/>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ertiKit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3257550</xdr:colOff>
      <xdr:row>0</xdr:row>
      <xdr:rowOff>123825</xdr:rowOff>
    </xdr:from>
    <xdr:to>
      <xdr:col>2</xdr:col>
      <xdr:colOff>95250</xdr:colOff>
      <xdr:row>5</xdr:row>
      <xdr:rowOff>66675</xdr:rowOff>
    </xdr:to>
    <xdr:sp macro="" textlink="">
      <xdr:nvSpPr>
        <xdr:cNvPr id="5" name="TextBox 4">
          <a:extLst>
            <a:ext uri="{FF2B5EF4-FFF2-40B4-BE49-F238E27FC236}">
              <a16:creationId xmlns:a16="http://schemas.microsoft.com/office/drawing/2014/main" id="{EA851375-DB70-49CD-A24A-AD20E1345426}"/>
            </a:ext>
          </a:extLst>
        </xdr:cNvPr>
        <xdr:cNvSpPr txBox="1"/>
      </xdr:nvSpPr>
      <xdr:spPr>
        <a:xfrm>
          <a:off x="3448050" y="123825"/>
          <a:ext cx="3114675" cy="895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800" b="1">
              <a:solidFill>
                <a:schemeClr val="tx1"/>
              </a:solidFill>
            </a:rPr>
            <a:t>Business</a:t>
          </a:r>
          <a:r>
            <a:rPr lang="en-GB" sz="1800" b="1" baseline="0">
              <a:solidFill>
                <a:schemeClr val="tx1"/>
              </a:solidFill>
            </a:rPr>
            <a:t> Impact Analysis Tool</a:t>
          </a:r>
          <a:endParaRPr lang="en-GB" sz="1800" b="1">
            <a:solidFill>
              <a:schemeClr val="tx1"/>
            </a:solidFill>
          </a:endParaRPr>
        </a:p>
        <a:p>
          <a:pPr algn="r"/>
          <a:r>
            <a:rPr lang="en-GB" sz="1200" b="0">
              <a:solidFill>
                <a:schemeClr val="tx1"/>
              </a:solidFill>
              <a:latin typeface="+mn-lt"/>
            </a:rPr>
            <a:t>BCMS-FORM-08-1</a:t>
          </a:r>
        </a:p>
      </xdr:txBody>
    </xdr:sp>
    <xdr:clientData/>
  </xdr:twoCellAnchor>
  <xdr:twoCellAnchor editAs="oneCell">
    <xdr:from>
      <xdr:col>1</xdr:col>
      <xdr:colOff>1</xdr:colOff>
      <xdr:row>1</xdr:row>
      <xdr:rowOff>0</xdr:rowOff>
    </xdr:from>
    <xdr:to>
      <xdr:col>1</xdr:col>
      <xdr:colOff>2956159</xdr:colOff>
      <xdr:row>5</xdr:row>
      <xdr:rowOff>9525</xdr:rowOff>
    </xdr:to>
    <xdr:pic>
      <xdr:nvPicPr>
        <xdr:cNvPr id="4" name="Picture 3">
          <a:extLst>
            <a:ext uri="{FF2B5EF4-FFF2-40B4-BE49-F238E27FC236}">
              <a16:creationId xmlns:a16="http://schemas.microsoft.com/office/drawing/2014/main" id="{B6604FC6-C92F-4E29-A213-7443731D2E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1" y="190500"/>
          <a:ext cx="2956158" cy="77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2</xdr:col>
      <xdr:colOff>1552575</xdr:colOff>
      <xdr:row>1</xdr:row>
      <xdr:rowOff>0</xdr:rowOff>
    </xdr:from>
    <xdr:to>
      <xdr:col>3</xdr:col>
      <xdr:colOff>76200</xdr:colOff>
      <xdr:row>5</xdr:row>
      <xdr:rowOff>133350</xdr:rowOff>
    </xdr:to>
    <xdr:sp macro="" textlink="">
      <xdr:nvSpPr>
        <xdr:cNvPr id="3" name="TextBox 2">
          <a:extLst>
            <a:ext uri="{FF2B5EF4-FFF2-40B4-BE49-F238E27FC236}">
              <a16:creationId xmlns:a16="http://schemas.microsoft.com/office/drawing/2014/main" id="{14B1DF77-B056-4172-97BE-94F5CD865DE8}"/>
            </a:ext>
          </a:extLst>
        </xdr:cNvPr>
        <xdr:cNvSpPr txBox="1"/>
      </xdr:nvSpPr>
      <xdr:spPr>
        <a:xfrm>
          <a:off x="4800600" y="190500"/>
          <a:ext cx="3114675" cy="895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800" b="1">
              <a:solidFill>
                <a:schemeClr val="tx1"/>
              </a:solidFill>
            </a:rPr>
            <a:t>Business</a:t>
          </a:r>
          <a:r>
            <a:rPr lang="en-GB" sz="1800" b="1" baseline="0">
              <a:solidFill>
                <a:schemeClr val="tx1"/>
              </a:solidFill>
            </a:rPr>
            <a:t> Impact Analysis Tool</a:t>
          </a:r>
          <a:endParaRPr lang="en-GB" sz="1800" b="1">
            <a:solidFill>
              <a:schemeClr val="tx1"/>
            </a:solidFill>
          </a:endParaRPr>
        </a:p>
        <a:p>
          <a:pPr algn="r"/>
          <a:r>
            <a:rPr lang="en-GB" sz="1200" b="0">
              <a:solidFill>
                <a:schemeClr val="tx1"/>
              </a:solidFill>
              <a:latin typeface="+mn-lt"/>
            </a:rPr>
            <a:t>BCMS-FORM-08-1</a:t>
          </a:r>
        </a:p>
      </xdr:txBody>
    </xdr:sp>
    <xdr:clientData/>
  </xdr:twoCellAnchor>
  <xdr:twoCellAnchor editAs="oneCell">
    <xdr:from>
      <xdr:col>1</xdr:col>
      <xdr:colOff>0</xdr:colOff>
      <xdr:row>1</xdr:row>
      <xdr:rowOff>0</xdr:rowOff>
    </xdr:from>
    <xdr:to>
      <xdr:col>1</xdr:col>
      <xdr:colOff>2530059</xdr:colOff>
      <xdr:row>6</xdr:row>
      <xdr:rowOff>4655</xdr:rowOff>
    </xdr:to>
    <xdr:pic>
      <xdr:nvPicPr>
        <xdr:cNvPr id="6" name="Picture 5" descr="Auto Replace">
          <a:extLst>
            <a:ext uri="{FF2B5EF4-FFF2-40B4-BE49-F238E27FC236}">
              <a16:creationId xmlns:a16="http://schemas.microsoft.com/office/drawing/2014/main" id="{A18511D0-6897-4B4C-8723-74206BED0A7D}"/>
            </a:ext>
          </a:extLst>
        </xdr:cNvPr>
        <xdr:cNvPicPr>
          <a:picLocks noChangeAspect="1"/>
        </xdr:cNvPicPr>
      </xdr:nvPicPr>
      <xdr:blipFill>
        <a:blip xmlns:r="http://schemas.openxmlformats.org/officeDocument/2006/relationships" r:embed="rId1"/>
        <a:stretch>
          <a:fillRect/>
        </a:stretch>
      </xdr:blipFill>
      <xdr:spPr>
        <a:xfrm>
          <a:off x="190500" y="190500"/>
          <a:ext cx="2530059" cy="95715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1063209</xdr:colOff>
      <xdr:row>6</xdr:row>
      <xdr:rowOff>4655</xdr:rowOff>
    </xdr:to>
    <xdr:pic>
      <xdr:nvPicPr>
        <xdr:cNvPr id="3" name="Picture 2" descr="Auto Replace">
          <a:extLst>
            <a:ext uri="{FF2B5EF4-FFF2-40B4-BE49-F238E27FC236}">
              <a16:creationId xmlns:a16="http://schemas.microsoft.com/office/drawing/2014/main" id="{5053CA23-9254-469C-A5F2-44D46F9662E3}"/>
            </a:ext>
          </a:extLst>
        </xdr:cNvPr>
        <xdr:cNvPicPr>
          <a:picLocks noChangeAspect="1"/>
        </xdr:cNvPicPr>
      </xdr:nvPicPr>
      <xdr:blipFill>
        <a:blip xmlns:r="http://schemas.openxmlformats.org/officeDocument/2006/relationships" r:embed="rId1"/>
        <a:stretch>
          <a:fillRect/>
        </a:stretch>
      </xdr:blipFill>
      <xdr:spPr>
        <a:xfrm>
          <a:off x="190500" y="190500"/>
          <a:ext cx="2530059" cy="95715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4</xdr:col>
      <xdr:colOff>567909</xdr:colOff>
      <xdr:row>6</xdr:row>
      <xdr:rowOff>4655</xdr:rowOff>
    </xdr:to>
    <xdr:pic>
      <xdr:nvPicPr>
        <xdr:cNvPr id="2" name="Picture 1" descr="Auto Replace">
          <a:extLst>
            <a:ext uri="{FF2B5EF4-FFF2-40B4-BE49-F238E27FC236}">
              <a16:creationId xmlns:a16="http://schemas.microsoft.com/office/drawing/2014/main" id="{E0CAF286-2614-41A8-AF53-2519D98FEF09}"/>
            </a:ext>
          </a:extLst>
        </xdr:cNvPr>
        <xdr:cNvPicPr>
          <a:picLocks noChangeAspect="1"/>
        </xdr:cNvPicPr>
      </xdr:nvPicPr>
      <xdr:blipFill>
        <a:blip xmlns:r="http://schemas.openxmlformats.org/officeDocument/2006/relationships" r:embed="rId1"/>
        <a:stretch>
          <a:fillRect/>
        </a:stretch>
      </xdr:blipFill>
      <xdr:spPr>
        <a:xfrm>
          <a:off x="190500" y="190500"/>
          <a:ext cx="2530059" cy="95715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453609</xdr:colOff>
      <xdr:row>6</xdr:row>
      <xdr:rowOff>4655</xdr:rowOff>
    </xdr:to>
    <xdr:pic>
      <xdr:nvPicPr>
        <xdr:cNvPr id="4" name="Picture 3" descr="Auto Replace">
          <a:extLst>
            <a:ext uri="{FF2B5EF4-FFF2-40B4-BE49-F238E27FC236}">
              <a16:creationId xmlns:a16="http://schemas.microsoft.com/office/drawing/2014/main" id="{B35151DF-6117-47CB-A1AF-8496272C5A22}"/>
            </a:ext>
          </a:extLst>
        </xdr:cNvPr>
        <xdr:cNvPicPr>
          <a:picLocks noChangeAspect="1"/>
        </xdr:cNvPicPr>
      </xdr:nvPicPr>
      <xdr:blipFill>
        <a:blip xmlns:r="http://schemas.openxmlformats.org/officeDocument/2006/relationships" r:embed="rId1"/>
        <a:stretch>
          <a:fillRect/>
        </a:stretch>
      </xdr:blipFill>
      <xdr:spPr>
        <a:xfrm>
          <a:off x="190500" y="190500"/>
          <a:ext cx="2530059" cy="95715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767934</xdr:colOff>
      <xdr:row>6</xdr:row>
      <xdr:rowOff>4655</xdr:rowOff>
    </xdr:to>
    <xdr:pic>
      <xdr:nvPicPr>
        <xdr:cNvPr id="4" name="Picture 3" descr="Auto Replace">
          <a:extLst>
            <a:ext uri="{FF2B5EF4-FFF2-40B4-BE49-F238E27FC236}">
              <a16:creationId xmlns:a16="http://schemas.microsoft.com/office/drawing/2014/main" id="{25BF6BE5-9590-405F-B32B-A6FF16BE2046}"/>
            </a:ext>
          </a:extLst>
        </xdr:cNvPr>
        <xdr:cNvPicPr>
          <a:picLocks noChangeAspect="1"/>
        </xdr:cNvPicPr>
      </xdr:nvPicPr>
      <xdr:blipFill>
        <a:blip xmlns:r="http://schemas.openxmlformats.org/officeDocument/2006/relationships" r:embed="rId1"/>
        <a:stretch>
          <a:fillRect/>
        </a:stretch>
      </xdr:blipFill>
      <xdr:spPr>
        <a:xfrm>
          <a:off x="190500" y="190500"/>
          <a:ext cx="2530059" cy="95715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2530059</xdr:colOff>
      <xdr:row>6</xdr:row>
      <xdr:rowOff>4655</xdr:rowOff>
    </xdr:to>
    <xdr:pic>
      <xdr:nvPicPr>
        <xdr:cNvPr id="3" name="Picture 2" descr="Auto Replace">
          <a:extLst>
            <a:ext uri="{FF2B5EF4-FFF2-40B4-BE49-F238E27FC236}">
              <a16:creationId xmlns:a16="http://schemas.microsoft.com/office/drawing/2014/main" id="{7D01EACC-2186-4D85-A0BB-C0C002A4A9B9}"/>
            </a:ext>
          </a:extLst>
        </xdr:cNvPr>
        <xdr:cNvPicPr>
          <a:picLocks noChangeAspect="1"/>
        </xdr:cNvPicPr>
      </xdr:nvPicPr>
      <xdr:blipFill>
        <a:blip xmlns:r="http://schemas.openxmlformats.org/officeDocument/2006/relationships" r:embed="rId1"/>
        <a:stretch>
          <a:fillRect/>
        </a:stretch>
      </xdr:blipFill>
      <xdr:spPr>
        <a:xfrm>
          <a:off x="190500" y="190500"/>
          <a:ext cx="2530059" cy="95715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2206209</xdr:colOff>
      <xdr:row>6</xdr:row>
      <xdr:rowOff>4655</xdr:rowOff>
    </xdr:to>
    <xdr:pic>
      <xdr:nvPicPr>
        <xdr:cNvPr id="3" name="Picture 2" descr="Auto Replace">
          <a:extLst>
            <a:ext uri="{FF2B5EF4-FFF2-40B4-BE49-F238E27FC236}">
              <a16:creationId xmlns:a16="http://schemas.microsoft.com/office/drawing/2014/main" id="{4267398B-B6C4-4B1D-A911-13DBC0356A5B}"/>
            </a:ext>
          </a:extLst>
        </xdr:cNvPr>
        <xdr:cNvPicPr>
          <a:picLocks noChangeAspect="1"/>
        </xdr:cNvPicPr>
      </xdr:nvPicPr>
      <xdr:blipFill>
        <a:blip xmlns:r="http://schemas.openxmlformats.org/officeDocument/2006/relationships" r:embed="rId1"/>
        <a:stretch>
          <a:fillRect/>
        </a:stretch>
      </xdr:blipFill>
      <xdr:spPr>
        <a:xfrm>
          <a:off x="190500" y="190500"/>
          <a:ext cx="2530059" cy="95715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EA85A220-D165-42E8-BFAB-79587A564534}" name="BusinessActivities" displayName="BusinessActivities" ref="B12:M22" totalsRowShown="0" headerRowDxfId="240" dataDxfId="239">
  <tableColumns count="12">
    <tableColumn id="1" xr3:uid="{708C0D84-9A36-4606-ACCD-6C4F459F37B0}" name=" Ref_x000a_" dataDxfId="238"/>
    <tableColumn id="2" xr3:uid="{DDA10389-5FBF-4FF6-86A7-D859D870C078}" name="Business activity" dataDxfId="237"/>
    <tableColumn id="3" xr3:uid="{A20FC582-FD6C-4F46-A007-46C05DDBB766}" name="People" dataDxfId="236"/>
    <tableColumn id="4" xr3:uid="{E6E4634C-F236-440A-AB4B-E83ED59C10AE}" name="Information_x000a_and data" dataDxfId="235"/>
    <tableColumn id="5" xr3:uid="{90CC639C-A4C6-4661-9ACE-96B84DA928E7}" name="Buildings, work environment and utilities" dataDxfId="234"/>
    <tableColumn id="6" xr3:uid="{D28561B0-603A-46F1-8A9E-7D04BA48EA8B}" name="Facilities, equipment and consumables" dataDxfId="233"/>
    <tableColumn id="7" xr3:uid="{B484D1F0-BDFE-4259-A70C-E95C83996556}" name="ICT systems" dataDxfId="232"/>
    <tableColumn id="8" xr3:uid="{31FCA2FC-CAF3-4F1C-AE33-514EDCC2E14E}" name="Transportation" dataDxfId="231"/>
    <tableColumn id="9" xr3:uid="{92E1D577-F2FA-437D-B982-0651E77AF1C7}" name="Finance" dataDxfId="230"/>
    <tableColumn id="10" xr3:uid="{7ABB057C-EE22-4D46-9FD3-E6BEB7122A4B}" name="Partners and suppliers" dataDxfId="229"/>
    <tableColumn id="11" xr3:uid="{8B654EE0-23FA-423F-9815-BBEF10FDC9BA}" name="Outcome of delivered activity" dataDxfId="228"/>
    <tableColumn id="12" xr3:uid="{B5C588B0-1541-410A-BC91-95EC2E83C703}" name="Any legal, statutory and contractual obligations" dataDxfId="227"/>
  </tableColumns>
  <tableStyleInfo name="CertiKit table style 2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35A332-4E31-483A-AB67-3708D55B5692}" name="Impact3" displayName="Impact3" ref="B38:I44" totalsRowShown="0" headerRowDxfId="226" dataDxfId="225">
  <tableColumns count="8">
    <tableColumn id="1" xr3:uid="{B01C2B6D-6CB6-4DB4-898D-1F9A2F6D5D30}" name=" Time_x000a_" dataDxfId="224"/>
    <tableColumn id="2" xr3:uid="{DF51EA7C-97DF-4C17-8509-9892586A4904}" name="Impact on staff or public well-being" dataDxfId="223"/>
    <tableColumn id="3" xr3:uid="{BDC99BC4-8834-4DFA-B1C1-67E1F65D508A}" name="Impact of breaching legal or regulatory requirements" dataDxfId="222"/>
    <tableColumn id="4" xr3:uid="{180342E7-D3CD-4C71-8471-CD0BFFED8CE5}" name="Damage to reputation" dataDxfId="221"/>
    <tableColumn id="5" xr3:uid="{DBDFD69B-3EF6-45E8-9C2E-5F3B25E4BFA5}" name="Impact on financial viability" dataDxfId="220"/>
    <tableColumn id="6" xr3:uid="{89FF4A71-7324-4336-ADF4-32EAEAE92071}" name="Impact on product or service quality" dataDxfId="219"/>
    <tableColumn id="7" xr3:uid="{3A9732FA-6AE0-48C4-BDEA-40493721F6E7}" name="Environmental damage" dataDxfId="218"/>
    <tableColumn id="8" xr3:uid="{72A6FDDB-95DC-4FB3-B76D-90C9FC605171}" name="Total score" dataDxfId="217">
      <calculatedColumnFormula>SUM(Impact3[[#This Row],[Impact on staff or public well-being]:[Environmental damage]])</calculatedColumnFormula>
    </tableColumn>
  </tableColumns>
  <tableStyleInfo name="CertiKit table style 2 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44319B-F445-412C-AA97-DF7B84C3E4C8}" name="Impact2" displayName="Impact2" ref="B25:I31" totalsRowShown="0" headerRowDxfId="216" dataDxfId="215">
  <tableColumns count="8">
    <tableColumn id="1" xr3:uid="{865CBE33-977F-4092-8DC0-04974D8271A9}" name=" Time_x000a_" dataDxfId="214"/>
    <tableColumn id="2" xr3:uid="{21F4BF26-85F5-4F71-9FFC-76C7F8E589B9}" name="Impact on staff or public well-being" dataDxfId="213"/>
    <tableColumn id="3" xr3:uid="{611BE9D6-7DE7-4D00-A4D0-5500018AC310}" name="Impact of breaching legal or regulatory requirements" dataDxfId="212"/>
    <tableColumn id="4" xr3:uid="{6C0B69ED-542D-4AB3-BFE0-24FADEBD623A}" name="Damage to reputation" dataDxfId="211"/>
    <tableColumn id="5" xr3:uid="{83C584B3-6254-4C7A-AF8F-FAFB0B21B32C}" name="Impact on financial viability" dataDxfId="210"/>
    <tableColumn id="6" xr3:uid="{207AA431-37AE-4F27-9547-21C0E27FB092}" name="Impact on product or service quality" dataDxfId="209"/>
    <tableColumn id="7" xr3:uid="{FE7BEF9B-DFB4-4BF7-AB33-731CDA8FCBF7}" name="Environmental damage" dataDxfId="208"/>
    <tableColumn id="8" xr3:uid="{1041BAFC-FE67-4D42-876E-4B54DD8CF23C}" name="Total score" dataDxfId="207">
      <calculatedColumnFormula>SUM(Impact2[[#This Row],[Impact on staff or public well-being]:[Environmental damage]])</calculatedColumnFormula>
    </tableColumn>
  </tableColumns>
  <tableStyleInfo name="CertiKit table style 2 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2EDA245-B775-45F0-A3E9-2A9E31274F01}" name="Impact1" displayName="Impact1" ref="B12:I18" totalsRowShown="0" headerRowDxfId="206" dataDxfId="205">
  <tableColumns count="8">
    <tableColumn id="1" xr3:uid="{F3C8C8C5-C373-4264-96DF-726A8BECB11D}" name=" Time_x000a_" dataDxfId="204"/>
    <tableColumn id="2" xr3:uid="{E5A1588F-502F-43B4-8FAF-A47EB11E01C3}" name="Impact on staff or public well-being" dataDxfId="203"/>
    <tableColumn id="3" xr3:uid="{3AC878B3-9819-45A5-8E13-F08505E86523}" name="Impact of breaching legal or regulatory requirements" dataDxfId="202"/>
    <tableColumn id="4" xr3:uid="{B125F7FD-6794-4C70-914D-51C332612711}" name="Damage to reputation" dataDxfId="201"/>
    <tableColumn id="5" xr3:uid="{36AD7218-722F-435A-B799-6ECF4048B5A1}" name="Impact on financial viability" dataDxfId="200"/>
    <tableColumn id="6" xr3:uid="{F76F1D29-35B6-4664-A9F5-36416D2C49DC}" name="Impact on product or service quality" dataDxfId="199"/>
    <tableColumn id="7" xr3:uid="{6A094987-0086-4C47-8EAE-E125AD82983B}" name="Environmental damage" dataDxfId="198"/>
    <tableColumn id="8" xr3:uid="{BFEC1F36-8D7A-41C9-94D4-518F3EED49BF}" name="Total score" dataDxfId="197">
      <calculatedColumnFormula>SUM(Impact1[[#This Row],[Impact on staff or public well-being]:[Environmental damage]])</calculatedColumnFormula>
    </tableColumn>
  </tableColumns>
  <tableStyleInfo name="CertiKit table style 2 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14F84F1-3399-4CED-BA4F-5098A90B53C7}" name="Impact4" displayName="Impact4" ref="B51:I57" totalsRowShown="0" headerRowDxfId="196" dataDxfId="195">
  <tableColumns count="8">
    <tableColumn id="1" xr3:uid="{76CD6DC5-5F12-4EC8-B117-E3232A93C120}" name=" Time_x000a_" dataDxfId="194"/>
    <tableColumn id="2" xr3:uid="{AA38271F-E4B5-43F7-BBC5-8FD960DA7113}" name="Impact on staff or public well-being" dataDxfId="193"/>
    <tableColumn id="3" xr3:uid="{0DEA6C23-5765-4B03-AF50-9277ED627DAC}" name="Impact of breaching legal or regulatory requirements" dataDxfId="192"/>
    <tableColumn id="4" xr3:uid="{CE38F07E-4079-4C8A-B64F-513ED9459946}" name="Damage to reputation" dataDxfId="191"/>
    <tableColumn id="5" xr3:uid="{3AA24E31-3586-4DD3-AD91-A62E4F672FA8}" name="Impact on financial viability" dataDxfId="190"/>
    <tableColumn id="6" xr3:uid="{3069AF48-DC0E-4F57-96F9-A4931F2578AC}" name="Impact on product or service quality" dataDxfId="189"/>
    <tableColumn id="7" xr3:uid="{2BA1C143-A8DF-4F1A-95A8-4A86F6432FDB}" name="Environmental damage" dataDxfId="188"/>
    <tableColumn id="8" xr3:uid="{199C09AC-9665-4D4B-93ED-656FD5E58797}" name="Total score" dataDxfId="187">
      <calculatedColumnFormula>SUM(Impact4[[#This Row],[Impact on staff or public well-being]:[Environmental damage]])</calculatedColumnFormula>
    </tableColumn>
  </tableColumns>
  <tableStyleInfo name="CertiKit table style 2 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B6428C4-99C2-4E87-87BA-80C0BC2A3C30}" name="Impact5" displayName="Impact5" ref="B64:I70" totalsRowShown="0" headerRowDxfId="186" dataDxfId="185">
  <tableColumns count="8">
    <tableColumn id="1" xr3:uid="{847FEB14-4214-492B-9697-D6029E4B8C71}" name=" Time_x000a_" dataDxfId="184"/>
    <tableColumn id="2" xr3:uid="{2FA7CBB6-B683-4D16-81B4-E5AB1F847BF8}" name="Impact on staff or public well-being" dataDxfId="183"/>
    <tableColumn id="3" xr3:uid="{AFB9EA08-6101-424F-8D8D-4BCF57C1AA36}" name="Impact of breaching legal or regulatory requirements" dataDxfId="182"/>
    <tableColumn id="4" xr3:uid="{4B50CCF5-76CE-4282-9E25-CC5D3ADF7D03}" name="Damage to reputation" dataDxfId="181"/>
    <tableColumn id="5" xr3:uid="{0374684F-9242-48FE-80B5-FC6C00B98824}" name="Impact on financial viability" dataDxfId="180"/>
    <tableColumn id="6" xr3:uid="{EB1D3358-FD60-496F-B87F-FC36C0195E0C}" name="Impact on product or service quality" dataDxfId="179"/>
    <tableColumn id="7" xr3:uid="{BD71F2BF-B9DC-4D07-8B98-F9D7D0F8CB82}" name="Environmental damage" dataDxfId="178"/>
    <tableColumn id="8" xr3:uid="{A0E74AFE-F076-4B7E-82F0-7ED6BC0063E9}" name="Total score" dataDxfId="177">
      <calculatedColumnFormula>SUM(Impact5[[#This Row],[Impact on staff or public well-being]:[Environmental damage]])</calculatedColumnFormula>
    </tableColumn>
  </tableColumns>
  <tableStyleInfo name="CertiKit table style 2 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C069070-5A0C-43A9-BF0C-4B476CDF221E}" name="Impact6" displayName="Impact6" ref="B77:I83" totalsRowShown="0" headerRowDxfId="176" dataDxfId="175">
  <tableColumns count="8">
    <tableColumn id="1" xr3:uid="{58659C4E-127B-4E06-B805-0A7A4BD0E01C}" name=" Time_x000a_" dataDxfId="174"/>
    <tableColumn id="2" xr3:uid="{3757AD63-4D18-4F44-A042-4C215EFF418E}" name="Impact on staff or public well-being" dataDxfId="173"/>
    <tableColumn id="3" xr3:uid="{143C11A7-A3F1-4BF5-B81D-EF32397D5081}" name="Impact of breaching legal or regulatory requirements" dataDxfId="172"/>
    <tableColumn id="4" xr3:uid="{02E70164-762C-4991-B51A-5BCB7C25CCB7}" name="Damage to reputation" dataDxfId="171"/>
    <tableColumn id="5" xr3:uid="{B1705C8B-1E4E-4B32-8108-103710614BBB}" name="Impact on financial viability" dataDxfId="170"/>
    <tableColumn id="6" xr3:uid="{00ABF126-253B-41C9-9EC9-BC79212BDC57}" name="Impact on product or service quality" dataDxfId="169"/>
    <tableColumn id="7" xr3:uid="{7708A31F-3ADA-4539-94CD-35A45960A94A}" name="Environmental damage" dataDxfId="168"/>
    <tableColumn id="8" xr3:uid="{D57A6B61-5E6E-4714-AE46-46DDF142A248}" name="Total score" dataDxfId="167">
      <calculatedColumnFormula>SUM(Impact6[[#This Row],[Impact on staff or public well-being]:[Environmental damage]])</calculatedColumnFormula>
    </tableColumn>
  </tableColumns>
  <tableStyleInfo name="CertiKit table style 2 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75CCB09-1DC3-497E-9943-2124D776D225}" name="Impact7" displayName="Impact7" ref="B90:I96" totalsRowShown="0" headerRowDxfId="166" dataDxfId="165">
  <tableColumns count="8">
    <tableColumn id="1" xr3:uid="{DB9A14BD-03D5-43AC-8569-E6E02CA24FD0}" name=" Time_x000a_" dataDxfId="164"/>
    <tableColumn id="2" xr3:uid="{4913BA58-A31E-4D34-ADC8-7B5446DF8941}" name="Impact on staff or public well-being" dataDxfId="163"/>
    <tableColumn id="3" xr3:uid="{60F2AFE4-C5DF-45BD-9662-953B16492DA9}" name="Impact of breaching legal or regulatory requirements" dataDxfId="162"/>
    <tableColumn id="4" xr3:uid="{33282514-E2A5-4552-B791-28845B55CACB}" name="Damage to reputation" dataDxfId="161"/>
    <tableColumn id="5" xr3:uid="{195C951A-98D8-4B28-8C5D-C82B7E456EDA}" name="Impact on financial viability" dataDxfId="160"/>
    <tableColumn id="6" xr3:uid="{3CCD274C-F478-4D9C-A235-71DAEA6A025B}" name="Impact on product or service quality" dataDxfId="159"/>
    <tableColumn id="7" xr3:uid="{67A6DAD3-6DE2-42C8-A3FF-8B769EC7D273}" name="Environmental damage" dataDxfId="158"/>
    <tableColumn id="8" xr3:uid="{1AC4C1FF-244C-46A5-823E-E032BE40FA17}" name="Total score" dataDxfId="157">
      <calculatedColumnFormula>SUM(Impact7[[#This Row],[Impact on staff or public well-being]:[Environmental damage]])</calculatedColumnFormula>
    </tableColumn>
  </tableColumns>
  <tableStyleInfo name="CertiKit table style 2 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EB3A4CA-8797-4250-BF80-FF87AC5F7619}" name="Impact8" displayName="Impact8" ref="B103:I109" totalsRowShown="0" headerRowDxfId="156" dataDxfId="155">
  <tableColumns count="8">
    <tableColumn id="1" xr3:uid="{1E3E69F5-F986-4FC2-ACD5-53F80C7849F9}" name=" Time_x000a_" dataDxfId="154"/>
    <tableColumn id="2" xr3:uid="{A92078A3-BCF1-4C29-B565-CE153C266676}" name="Impact on staff or public well-being" dataDxfId="153"/>
    <tableColumn id="3" xr3:uid="{30A7DE30-3E70-4A96-A2C4-5CC19009102F}" name="Impact of breaching legal or regulatory requirements" dataDxfId="152"/>
    <tableColumn id="4" xr3:uid="{D7BB8B74-2B77-4E73-BFD4-0C68CF6C1194}" name="Damage to reputation" dataDxfId="151"/>
    <tableColumn id="5" xr3:uid="{230C345D-1E0F-41F0-B101-CEA414FADC80}" name="Impact on financial viability" dataDxfId="150"/>
    <tableColumn id="6" xr3:uid="{B2E4CCE7-B887-4991-8D41-9AD6BAF5C3F4}" name="Impact on product or service quality" dataDxfId="149"/>
    <tableColumn id="7" xr3:uid="{B4BE8F73-102B-4302-9820-A6C496C00ACF}" name="Environmental damage" dataDxfId="148"/>
    <tableColumn id="8" xr3:uid="{883CCA77-7913-4F5B-8BC9-FE4BFEEC5BDF}" name="Total score" dataDxfId="147">
      <calculatedColumnFormula>SUM(Impact8[[#This Row],[Impact on staff or public well-being]:[Environmental damage]])</calculatedColumnFormula>
    </tableColumn>
  </tableColumns>
  <tableStyleInfo name="CertiKit table style 2 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1A68A5A-A9BC-443C-B078-50BFC99D20A2}" name="Impact9" displayName="Impact9" ref="B116:I122" totalsRowShown="0" headerRowDxfId="146" dataDxfId="145">
  <tableColumns count="8">
    <tableColumn id="1" xr3:uid="{DFEDEC0C-E6F5-4EEC-85B6-160EBE17371B}" name=" Time_x000a_" dataDxfId="144"/>
    <tableColumn id="2" xr3:uid="{780F0100-12B3-47E5-9B77-9F00B3B2D0DE}" name="Impact on staff or public well-being" dataDxfId="143"/>
    <tableColumn id="3" xr3:uid="{84B14939-4AA0-431E-BE8A-75F393A85D6F}" name="Impact of breaching legal or regulatory requirements" dataDxfId="142"/>
    <tableColumn id="4" xr3:uid="{38B1C92C-C22C-4C0D-98B4-7A1BC82844CB}" name="Damage to reputation" dataDxfId="141"/>
    <tableColumn id="5" xr3:uid="{780C4FB9-D383-4F38-8142-62D7260D838B}" name="Impact on financial viability" dataDxfId="140"/>
    <tableColumn id="6" xr3:uid="{2B24EC2D-C7FE-48AB-8755-DAF58B244C07}" name="Impact on product or service quality" dataDxfId="139"/>
    <tableColumn id="7" xr3:uid="{FDA3A701-7FDC-4B2D-8428-C8EFC5FE294B}" name="Environmental damage" dataDxfId="138"/>
    <tableColumn id="8" xr3:uid="{FC4DA39F-BD09-4B8A-BAAE-5CF6A324F194}" name="Total score" dataDxfId="137">
      <calculatedColumnFormula>SUM(Impact9[[#This Row],[Impact on staff or public well-being]:[Environmental damage]])</calculatedColumnFormula>
    </tableColumn>
  </tableColumns>
  <tableStyleInfo name="CertiKit table style 2 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50C86F6-6399-40ED-9B92-D86E57BBAB80}" name="Impact10" displayName="Impact10" ref="B129:I135" totalsRowShown="0" headerRowDxfId="136" dataDxfId="135">
  <tableColumns count="8">
    <tableColumn id="1" xr3:uid="{7EFFB56A-CE70-4A9E-B7B6-91450F850F2A}" name=" Time_x000a_" dataDxfId="134"/>
    <tableColumn id="2" xr3:uid="{BD6A563E-D765-48CE-A4E9-3F1E50EEEF96}" name="Impact on staff or public well-being" dataDxfId="133"/>
    <tableColumn id="3" xr3:uid="{D070824A-684D-44ED-BBB9-A0E5ABC9897E}" name="Impact of breaching legal or regulatory requirements" dataDxfId="132"/>
    <tableColumn id="4" xr3:uid="{92B340F5-A1CA-4FFD-9FBB-8D07BD814903}" name="Damage to reputation" dataDxfId="131"/>
    <tableColumn id="5" xr3:uid="{54A7C8BF-A239-45E2-B5E8-6D9DCCE9C1ED}" name="Impact on financial viability" dataDxfId="130"/>
    <tableColumn id="6" xr3:uid="{6DCC5E5F-33D4-4A30-93DC-2A288AFD200B}" name="Impact on product or service quality" dataDxfId="129"/>
    <tableColumn id="7" xr3:uid="{ABCC09F7-BC74-44AC-AC28-EAEEB0EF6465}" name="Environmental damage" dataDxfId="128"/>
    <tableColumn id="8" xr3:uid="{83801A70-369E-4507-8CF5-37C4F685BD29}" name="Total score" dataDxfId="127">
      <calculatedColumnFormula>SUM(Impact10[[#This Row],[Impact on staff or public well-being]:[Environmental damage]])</calculatedColumnFormula>
    </tableColumn>
  </tableColumns>
  <tableStyleInfo name="CertiKit table style 2 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AFA8976-A646-47C6-BFF6-74549700E5E0}" name="BusinessActivities14" displayName="BusinessActivities14" ref="B11:G21" totalsRowShown="0" headerRowDxfId="126" dataDxfId="125">
  <tableColumns count="6">
    <tableColumn id="1" xr3:uid="{C1CE10F4-85AE-4695-9099-40850A0FC45C}" name=" REF" dataDxfId="124"/>
    <tableColumn id="2" xr3:uid="{E971A9BF-5111-4B73-B3DF-14C49D9729F2}" name="BUSINESS ACTIVITY" dataDxfId="123">
      <calculatedColumnFormula>IF(ISBLANK(+'Key Business Activities'!C13),"[Business activity]",+'Key Business Activities'!C13)</calculatedColumnFormula>
    </tableColumn>
    <tableColumn id="3" xr3:uid="{FB0A6733-B26D-42C1-8841-00B8C3EEF54F}" name="MTPD" dataDxfId="122"/>
    <tableColumn id="4" xr3:uid="{382757ED-5E67-4776-B0BA-18C6046FDD3C}" name="RTO" dataDxfId="121"/>
    <tableColumn id="5" xr3:uid="{F9EE39E7-DC44-4174-B45F-A37E7209554D}" name="MBCO" dataDxfId="120"/>
    <tableColumn id="6" xr3:uid="{BD3708FF-1C90-4C8F-8DE9-CFBC986E60F5}" name="RPO" dataDxfId="119"/>
  </tableColumns>
  <tableStyleInfo name="CertiKit table style 2 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4C240C1-B1B4-45FF-85CB-5523AA36DDEC}" name="DepRecAll" displayName="DepRecAll" ref="B15:I23" totalsRowShown="0" headerRowDxfId="118" dataDxfId="117">
  <tableColumns count="8">
    <tableColumn id="1" xr3:uid="{FD747A4F-F60A-42F6-B346-C182786A62A0}" name=" Dependency" dataDxfId="116"/>
    <tableColumn id="2" xr3:uid="{0B2292A1-99B1-4033-A8D1-0387EB441480}" name="Normal requirement" dataDxfId="115"/>
    <tableColumn id="3" xr3:uid="{9A5D47F8-39D6-48F5-917F-29FE96BA017B}" name="One hour" dataDxfId="114"/>
    <tableColumn id="4" xr3:uid="{A16D5BC4-45C7-4E1E-B2B9-985A82CCEA7D}" name="Three hours" dataDxfId="113"/>
    <tableColumn id="5" xr3:uid="{FC785F15-1519-4BE9-999A-2306D8A111A7}" name="One day" dataDxfId="112"/>
    <tableColumn id="6" xr3:uid="{767C8624-FCB2-431C-9CA2-BB15E63C2B15}" name="Three days" dataDxfId="111"/>
    <tableColumn id="7" xr3:uid="{699CD3E8-3C2B-42B4-A52C-5A2FBB99F727}" name="One week" dataDxfId="110"/>
    <tableColumn id="8" xr3:uid="{FC1151D3-8E7E-4503-B281-63631A994D05}" name="One month" dataDxfId="109"/>
  </tableColumns>
  <tableStyleInfo name="CertiKit table style 2 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3F6170C-19CE-4626-8DCB-AB2ED408A95B}" name="DepRec2" displayName="DepRec2" ref="B45:I53" totalsRowShown="0" headerRowDxfId="108" dataDxfId="107">
  <tableColumns count="8">
    <tableColumn id="1" xr3:uid="{B4EC6B2B-26FE-4436-A71C-5749EE80661F}" name=" Dependency" dataDxfId="106"/>
    <tableColumn id="2" xr3:uid="{D461F9C7-FDBA-4D0C-A146-AB7473A9ACE1}" name="Normal requirement" dataDxfId="105">
      <calculatedColumnFormula>IF(ISBLANK(+'Key Business Activities'!D14),"[Normal Requirement]",+'Key Business Activities'!D14)</calculatedColumnFormula>
    </tableColumn>
    <tableColumn id="3" xr3:uid="{A55CD0AE-68ED-4EC8-BC83-D708C05C6338}" name="One hour" dataDxfId="104"/>
    <tableColumn id="4" xr3:uid="{FAF38E52-0DA9-4C6D-AD78-ACE1E2848B56}" name="Three hours" dataDxfId="103"/>
    <tableColumn id="5" xr3:uid="{2C3E1FD0-4EC5-42A6-9E85-46C060BED6BE}" name="One day" dataDxfId="102"/>
    <tableColumn id="6" xr3:uid="{DB674179-793D-4C08-8526-0E88EFECD482}" name="Three days" dataDxfId="101"/>
    <tableColumn id="7" xr3:uid="{59746B87-05A7-4694-87B5-B2F9459BA3B0}" name="One week" dataDxfId="100"/>
    <tableColumn id="8" xr3:uid="{2E99A679-9B83-4C13-8140-95BA63E1D2DA}" name="One month" dataDxfId="99"/>
  </tableColumns>
  <tableStyleInfo name="CertiKit table style 2 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F694C63-1BE6-41C4-8E73-CE68D7E17D2A}" name="DepRec3" displayName="DepRec3" ref="B60:I68" totalsRowShown="0" headerRowDxfId="98" dataDxfId="97">
  <tableColumns count="8">
    <tableColumn id="1" xr3:uid="{E451A200-44D5-4C44-8398-AE538CAC3063}" name=" Dependency" dataDxfId="96"/>
    <tableColumn id="2" xr3:uid="{F6B7145F-C608-4DA8-9953-B01B7DF90B3C}" name="Normal requirement" dataDxfId="95">
      <calculatedColumnFormula>IF(ISBLANK(+'Key Business Activities'!D15),"[Normal Requirement]",+'Key Business Activities'!D15)</calculatedColumnFormula>
    </tableColumn>
    <tableColumn id="3" xr3:uid="{41743050-2077-48CA-8145-FA740FE3B0C4}" name="One hour" dataDxfId="94"/>
    <tableColumn id="4" xr3:uid="{74D29911-F236-4FA3-9209-8E818CF6BB25}" name="Three hours" dataDxfId="93"/>
    <tableColumn id="5" xr3:uid="{2831C5A3-0382-40BF-A256-0799CD3E82C8}" name="One day" dataDxfId="92"/>
    <tableColumn id="6" xr3:uid="{DBD00093-43BA-460B-831F-BD1AA8A4E856}" name="Three days" dataDxfId="91"/>
    <tableColumn id="7" xr3:uid="{A01F0F64-0EA4-457F-8A97-711373B473AB}" name="One week" dataDxfId="90"/>
    <tableColumn id="8" xr3:uid="{96EC5EEB-5C21-4D18-A30E-7DF237514E08}" name="One month" dataDxfId="89"/>
  </tableColumns>
  <tableStyleInfo name="CertiKit table style 2 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5B73A3B5-681D-40EB-BE9B-0499EF2FD57D}" name="DepRec4" displayName="DepRec4" ref="B75:I83" totalsRowShown="0" headerRowDxfId="88" dataDxfId="87">
  <tableColumns count="8">
    <tableColumn id="1" xr3:uid="{595EFA77-CA90-4568-8821-D13D230EF911}" name=" Dependency" dataDxfId="86"/>
    <tableColumn id="2" xr3:uid="{DB332986-41F2-4CD1-A66C-0A31027A70F4}" name="Normal requirement" dataDxfId="85">
      <calculatedColumnFormula>IF(ISBLANK(+'Key Business Activities'!D16),"[Normal Requirement]",+'Key Business Activities'!D16)</calculatedColumnFormula>
    </tableColumn>
    <tableColumn id="3" xr3:uid="{3A25FF13-DC97-488B-A7A2-998D725A478C}" name="One hour" dataDxfId="84"/>
    <tableColumn id="4" xr3:uid="{9AF3BBD7-C12A-4AD5-9D37-845F3E3BAE2F}" name="Three hours" dataDxfId="83"/>
    <tableColumn id="5" xr3:uid="{706C15AF-1BE1-4A91-9945-5B925A390170}" name="One day" dataDxfId="82"/>
    <tableColumn id="6" xr3:uid="{68899936-9207-4D73-A49B-DE809E373BA4}" name="Three days" dataDxfId="81"/>
    <tableColumn id="7" xr3:uid="{7C057106-9705-4B69-B0E1-6AA554F3CD6B}" name="One week" dataDxfId="80"/>
    <tableColumn id="8" xr3:uid="{5AFFEE63-BE7D-4575-AA75-1D9CE92663F5}" name="One month" dataDxfId="79"/>
  </tableColumns>
  <tableStyleInfo name="CertiKit table style 2 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B157E2A-136D-4007-9600-D2AE07912199}" name="DepRec5" displayName="DepRec5" ref="B90:I98" totalsRowShown="0" headerRowDxfId="78" dataDxfId="77">
  <tableColumns count="8">
    <tableColumn id="1" xr3:uid="{E34515E5-2670-4C5D-8C9C-C2F045482D64}" name=" Dependency" dataDxfId="76"/>
    <tableColumn id="2" xr3:uid="{496EB6D1-CEE6-45D5-8D2B-7EF47AC973B5}" name="Normal requirement" dataDxfId="75">
      <calculatedColumnFormula>IF(ISBLANK(+'Key Business Activities'!D17),"[Normal Requirement]",+'Key Business Activities'!D17)</calculatedColumnFormula>
    </tableColumn>
    <tableColumn id="3" xr3:uid="{01D34A86-A5E2-4E47-B1AF-FA6FE315F524}" name="One hour" dataDxfId="74"/>
    <tableColumn id="4" xr3:uid="{51E78680-1397-42D8-8195-4B2F3F5E09DB}" name="Three hours" dataDxfId="73"/>
    <tableColumn id="5" xr3:uid="{0E98BEBE-2047-4C55-97E5-8045EE2DD520}" name="One day" dataDxfId="72"/>
    <tableColumn id="6" xr3:uid="{5FA85CFD-D04F-4596-AD71-A1D6660EDB05}" name="Three days" dataDxfId="71"/>
    <tableColumn id="7" xr3:uid="{D6824B7B-EAF8-46C7-B085-BC1295491267}" name="One week" dataDxfId="70"/>
    <tableColumn id="8" xr3:uid="{1EE4BE9A-5C5A-4E1D-9F7B-8C06F9AFDBC0}" name="One month" dataDxfId="69"/>
  </tableColumns>
  <tableStyleInfo name="CertiKit table style 2 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6E894376-9B69-48D8-9E42-78D688934620}" name="DepRec6" displayName="DepRec6" ref="B105:I113" totalsRowShown="0" headerRowDxfId="68" dataDxfId="67">
  <tableColumns count="8">
    <tableColumn id="1" xr3:uid="{0C983B91-47AC-4900-A95C-C4ECE0AD1F0E}" name=" Dependency" dataDxfId="66"/>
    <tableColumn id="2" xr3:uid="{8921F90A-49AD-40D4-A08C-399B7427D145}" name="Normal requirement" dataDxfId="65">
      <calculatedColumnFormula>IF(ISBLANK(+'Key Business Activities'!D18),"[Normal Requirement]",+'Key Business Activities'!D18)</calculatedColumnFormula>
    </tableColumn>
    <tableColumn id="3" xr3:uid="{4868B3CB-EAF0-4D3E-9238-B163AF714A9B}" name="One hour" dataDxfId="64"/>
    <tableColumn id="4" xr3:uid="{054F5EF1-AB53-4816-93C2-245CE4E37DDF}" name="Three hours" dataDxfId="63"/>
    <tableColumn id="5" xr3:uid="{FF031AD4-78D2-404F-84F6-DD2591132E90}" name="One day" dataDxfId="62"/>
    <tableColumn id="6" xr3:uid="{AF0E0821-FFB7-4FD3-BFC5-218868D08EE3}" name="Three days" dataDxfId="61"/>
    <tableColumn id="7" xr3:uid="{BD6B8E79-1873-454F-82DC-6E5D695FBA93}" name="One week" dataDxfId="60"/>
    <tableColumn id="8" xr3:uid="{5C2C7B08-9028-4ACE-96CB-C00ABE9E590A}" name="One month" dataDxfId="59"/>
  </tableColumns>
  <tableStyleInfo name="CertiKit table style 2 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85D22325-24CD-45BB-A0C6-A8E846A69ADD}" name="DepRec7" displayName="DepRec7" ref="B120:I128" totalsRowShown="0" headerRowDxfId="58" dataDxfId="57">
  <tableColumns count="8">
    <tableColumn id="1" xr3:uid="{4BEE5F20-4CD0-4BE4-A817-E559477F4C3C}" name=" Dependency" dataDxfId="56"/>
    <tableColumn id="2" xr3:uid="{5957DC0E-B287-4812-A7B0-7D12B92C4BE3}" name="Normal requirement" dataDxfId="55">
      <calculatedColumnFormula>IF(ISBLANK(+'Key Business Activities'!D19),"[Normal Requirement]",+'Key Business Activities'!D19)</calculatedColumnFormula>
    </tableColumn>
    <tableColumn id="3" xr3:uid="{D5A930CD-1791-4E91-B033-9037BB3B5297}" name="One hour" dataDxfId="54"/>
    <tableColumn id="4" xr3:uid="{683EB0C4-B306-4D11-B096-192723723C21}" name="Three hours" dataDxfId="53"/>
    <tableColumn id="5" xr3:uid="{E3B8B579-837E-4566-AE40-C16C6BB03C78}" name="One day" dataDxfId="52"/>
    <tableColumn id="6" xr3:uid="{C92B4223-CBE4-44D0-825A-1813BD24F905}" name="Three days" dataDxfId="51"/>
    <tableColumn id="7" xr3:uid="{AC244664-156D-4826-AACC-42F66D664D09}" name="One week" dataDxfId="50"/>
    <tableColumn id="8" xr3:uid="{AF7664D9-9DE6-4F2A-8B4D-02349A707DE8}" name="One month" dataDxfId="49"/>
  </tableColumns>
  <tableStyleInfo name="CertiKit table style 2 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D18845A1-843A-4F0C-8BD1-8F547C1AFF45}" name="DepRec8" displayName="DepRec8" ref="B135:I143" totalsRowShown="0" headerRowDxfId="48" dataDxfId="47">
  <tableColumns count="8">
    <tableColumn id="1" xr3:uid="{F15AA528-CB17-484A-81DC-66515095F208}" name=" Dependency" dataDxfId="46"/>
    <tableColumn id="2" xr3:uid="{E225D99D-F085-445C-9522-1161DCC96AB1}" name="Normal requirement" dataDxfId="45">
      <calculatedColumnFormula>IF(ISBLANK(+'Key Business Activities'!D20),"[Normal Requirement]",+'Key Business Activities'!D20)</calculatedColumnFormula>
    </tableColumn>
    <tableColumn id="3" xr3:uid="{8C492138-BAD9-4D3B-889F-C5CE46163A28}" name="One hour" dataDxfId="44"/>
    <tableColumn id="4" xr3:uid="{3B3E5576-A90A-4684-B050-FF1F95011945}" name="Three hours" dataDxfId="43"/>
    <tableColumn id="5" xr3:uid="{A7C1C66C-DBF6-48FB-A0E0-F3B478EDF55C}" name="One day" dataDxfId="42"/>
    <tableColumn id="6" xr3:uid="{705E7BB3-2E57-4BE3-8C38-D3D99824000F}" name="Three days" dataDxfId="41"/>
    <tableColumn id="7" xr3:uid="{65B683AC-1633-424C-A2DE-99F5EA49DC47}" name="One week" dataDxfId="40"/>
    <tableColumn id="8" xr3:uid="{6B87A040-83F8-445F-99C7-0E11897AB274}" name="One month" dataDxfId="39"/>
  </tableColumns>
  <tableStyleInfo name="CertiKit table style 2 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DC9055C8-2AEC-4FC3-94E3-3F3124ECC018}" name="DepRec9" displayName="DepRec9" ref="B150:I158" totalsRowShown="0" headerRowDxfId="38" dataDxfId="37">
  <tableColumns count="8">
    <tableColumn id="1" xr3:uid="{9A491E9B-D39C-4C3F-9937-2B0BD7843EF9}" name=" Dependency" dataDxfId="36"/>
    <tableColumn id="2" xr3:uid="{2A929B4F-56BB-4F69-9C55-F9CA94CAEA33}" name="Normal requirement" dataDxfId="35">
      <calculatedColumnFormula>IF(ISBLANK(+'Key Business Activities'!D21),"[Normal Requirement]",+'Key Business Activities'!D21)</calculatedColumnFormula>
    </tableColumn>
    <tableColumn id="3" xr3:uid="{1A701F69-1161-4F60-A827-F0E4675EF0E7}" name="One hour" dataDxfId="34"/>
    <tableColumn id="4" xr3:uid="{DAC60EF6-C1CE-4EFC-803F-3031668D59B5}" name="Three hours" dataDxfId="33"/>
    <tableColumn id="5" xr3:uid="{62D752CE-E245-4D8F-B6DD-D581E2CDD56D}" name="One day" dataDxfId="32"/>
    <tableColumn id="6" xr3:uid="{148F863E-71D6-4644-94C8-7393F96F1C8E}" name="Three days" dataDxfId="31"/>
    <tableColumn id="7" xr3:uid="{36BD8D4E-2EC2-4855-948D-A9C796D44915}" name="One week" dataDxfId="30"/>
    <tableColumn id="8" xr3:uid="{ED92F9CF-DA31-4D1A-AF8E-793ACAB33CBC}" name="One month" dataDxfId="29"/>
  </tableColumns>
  <tableStyleInfo name="CertiKit table style 2 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666465E-E518-498A-BBAD-8B29A7CB2BE9}" name="DepRec10" displayName="DepRec10" ref="B165:I173" totalsRowShown="0" headerRowDxfId="28" dataDxfId="27">
  <tableColumns count="8">
    <tableColumn id="1" xr3:uid="{6464BF6A-C43D-4F68-A777-07BCEF70A7D2}" name=" Dependency" dataDxfId="26"/>
    <tableColumn id="2" xr3:uid="{E9F291EA-F73D-4F3D-9330-BEA08A64E200}" name="Normal requirement" dataDxfId="25">
      <calculatedColumnFormula>IF(ISBLANK(+'Key Business Activities'!D22),"[Normal Requirement]",+'Key Business Activities'!D22)</calculatedColumnFormula>
    </tableColumn>
    <tableColumn id="3" xr3:uid="{ABE1AC55-C5C8-4C77-AF75-301FC8C6AA99}" name="One hour" dataDxfId="24"/>
    <tableColumn id="4" xr3:uid="{824A9AEF-E1D8-4101-B8F0-6CBEAA845F78}" name="Three hours" dataDxfId="23"/>
    <tableColumn id="5" xr3:uid="{3FD8B3BC-5D5D-4C91-9AF8-9ED06CF362BB}" name="One day" dataDxfId="22"/>
    <tableColumn id="6" xr3:uid="{7F58BB9C-A6CD-4965-9B9B-848B2A2D7204}" name="Three days" dataDxfId="21"/>
    <tableColumn id="7" xr3:uid="{52455673-A9A0-45D5-8C70-5E69251E84AD}" name="One week" dataDxfId="20"/>
    <tableColumn id="8" xr3:uid="{6F5C7B4C-B061-44E2-9B29-9DF17B67707F}" name="One month" dataDxfId="19"/>
  </tableColumns>
  <tableStyleInfo name="CertiKit table style 2 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A95F289E-3BA8-4775-8D24-F7481FD84B94}" name="DepRec138" displayName="DepRec138" ref="B30:I38" totalsRowShown="0" headerRowDxfId="18" dataDxfId="17">
  <tableColumns count="8">
    <tableColumn id="1" xr3:uid="{E4DF892B-9F88-45F7-A7FC-5D14DB72E01A}" name=" Dependency" dataDxfId="16"/>
    <tableColumn id="2" xr3:uid="{873D7704-DC67-41DD-9806-B23C162B0D8F}" name="Normal requirement" dataDxfId="15">
      <calculatedColumnFormula>IF(ISBLANK(+'Key Business Activities'!D13),"[Normal Requirement]",+'Key Business Activities'!D13)</calculatedColumnFormula>
    </tableColumn>
    <tableColumn id="3" xr3:uid="{A6D75B59-F5CB-4B99-B3A9-EBF87D56AC48}" name="One hour" dataDxfId="14"/>
    <tableColumn id="4" xr3:uid="{AE072CCB-D097-4E5E-944B-FC379EEF0B9A}" name="Three hours" dataDxfId="13"/>
    <tableColumn id="5" xr3:uid="{F066498E-0FEC-44E5-9C68-7BF6FBADA85D}" name="One day" dataDxfId="12"/>
    <tableColumn id="6" xr3:uid="{996C338B-E2A4-4364-8793-96C55E5A8288}" name="Three days" dataDxfId="11"/>
    <tableColumn id="7" xr3:uid="{32C85C01-85E9-49B1-8AAE-18C2DC8C68F0}" name="One week" dataDxfId="10"/>
    <tableColumn id="8" xr3:uid="{10F9387B-73A0-43C1-8E4B-C3B07BD7620F}" name="One month" dataDxfId="9"/>
  </tableColumns>
  <tableStyleInfo name="CertiKit table style 2 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6E23E0A-BFC9-4A9E-B394-34B7C2ECDE43}" name="BusinessActivities16" displayName="BusinessActivities16" ref="B11:E21" totalsRowShown="0" headerRowDxfId="8" dataDxfId="7">
  <tableColumns count="4">
    <tableColumn id="1" xr3:uid="{52577569-1DC1-4718-BB21-076C4AD2F9BF}" name=" REF" dataDxfId="6"/>
    <tableColumn id="2" xr3:uid="{F772BD02-96A3-42DA-B951-D2BC87812773}" name="BUSINESS ACTIVITY" dataDxfId="5"/>
    <tableColumn id="3" xr3:uid="{C8515BD1-7233-4698-88E1-FF82ABCF8BBD}" name="RTO" dataDxfId="4"/>
    <tableColumn id="4" xr3:uid="{D76CA919-E8BA-4B09-95B3-AD4D61B7DD91}" name="MBCO REQUIREMENTS AT RTO" dataDxfId="3"/>
  </tableColumns>
  <tableStyleInfo name="CertiKit table style 2 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84A6AE8-DA03-4653-B4CC-449FCAA5E1C4}" name="Table9" displayName="Table9" ref="A1:A7" totalsRowShown="0" headerRowDxfId="2" dataDxfId="1">
  <autoFilter ref="A1:A7" xr:uid="{FD76A86E-0CBB-41A6-B571-F23E5D309F6F}"/>
  <tableColumns count="1">
    <tableColumn id="1" xr3:uid="{07F46F54-66D9-4C3E-A1D0-8C951BC5B8EC}" name="ONE TO FIVE" dataDxfId="0"/>
  </tableColumns>
  <tableStyleInfo name="CertiKit table style" showFirstColumn="0" showLastColumn="0" showRowStripes="1" showColumnStripes="0"/>
</table>
</file>

<file path=xl/theme/theme1.xml><?xml version="1.0" encoding="utf-8"?>
<a:theme xmlns:a="http://schemas.openxmlformats.org/drawingml/2006/main" name="CertiKit Theme">
  <a:themeElements>
    <a:clrScheme name="CertiKit colours (new)">
      <a:dk1>
        <a:srgbClr val="444444"/>
      </a:dk1>
      <a:lt1>
        <a:sysClr val="window" lastClr="FFFFFF"/>
      </a:lt1>
      <a:dk2>
        <a:srgbClr val="CCC900"/>
      </a:dk2>
      <a:lt2>
        <a:srgbClr val="D0EAEB"/>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drawing" Target="../drawings/drawing5.xml"/><Relationship Id="rId1" Type="http://schemas.openxmlformats.org/officeDocument/2006/relationships/printerSettings" Target="../printerSettings/printerSettings5.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table" Target="../tables/table18.xml"/><Relationship Id="rId13" Type="http://schemas.openxmlformats.org/officeDocument/2006/relationships/table" Target="../tables/table23.xml"/><Relationship Id="rId3" Type="http://schemas.openxmlformats.org/officeDocument/2006/relationships/table" Target="../tables/table13.xml"/><Relationship Id="rId7" Type="http://schemas.openxmlformats.org/officeDocument/2006/relationships/table" Target="../tables/table17.xml"/><Relationship Id="rId12" Type="http://schemas.openxmlformats.org/officeDocument/2006/relationships/table" Target="../tables/table22.xml"/><Relationship Id="rId2" Type="http://schemas.openxmlformats.org/officeDocument/2006/relationships/drawing" Target="../drawings/drawing7.xml"/><Relationship Id="rId1" Type="http://schemas.openxmlformats.org/officeDocument/2006/relationships/printerSettings" Target="../printerSettings/printerSettings7.bin"/><Relationship Id="rId6" Type="http://schemas.openxmlformats.org/officeDocument/2006/relationships/table" Target="../tables/table16.xml"/><Relationship Id="rId11" Type="http://schemas.openxmlformats.org/officeDocument/2006/relationships/table" Target="../tables/table21.xml"/><Relationship Id="rId5" Type="http://schemas.openxmlformats.org/officeDocument/2006/relationships/table" Target="../tables/table15.xml"/><Relationship Id="rId10" Type="http://schemas.openxmlformats.org/officeDocument/2006/relationships/table" Target="../tables/table20.xml"/><Relationship Id="rId4" Type="http://schemas.openxmlformats.org/officeDocument/2006/relationships/table" Target="../tables/table14.xml"/><Relationship Id="rId9" Type="http://schemas.openxmlformats.org/officeDocument/2006/relationships/table" Target="../tables/table19.xml"/></Relationships>
</file>

<file path=xl/worksheets/_rels/sheet8.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5DBB7-4277-4A45-906F-D59AA221A72F}">
  <dimension ref="A2:B28"/>
  <sheetViews>
    <sheetView showGridLines="0" zoomScaleNormal="100" workbookViewId="0"/>
  </sheetViews>
  <sheetFormatPr defaultColWidth="9.140625" defaultRowHeight="15" x14ac:dyDescent="0.25"/>
  <cols>
    <col min="1" max="1" width="2.85546875" style="7" customWidth="1"/>
    <col min="2" max="2" width="94.140625" style="7" customWidth="1"/>
    <col min="3" max="16384" width="9.140625" style="7"/>
  </cols>
  <sheetData>
    <row r="2" spans="1:2" x14ac:dyDescent="0.25">
      <c r="B2" s="8"/>
    </row>
    <row r="3" spans="1:2" x14ac:dyDescent="0.25">
      <c r="B3" s="8"/>
    </row>
    <row r="4" spans="1:2" x14ac:dyDescent="0.25">
      <c r="B4" s="8"/>
    </row>
    <row r="5" spans="1:2" x14ac:dyDescent="0.25">
      <c r="B5" s="8"/>
    </row>
    <row r="6" spans="1:2" x14ac:dyDescent="0.25">
      <c r="B6" s="8"/>
    </row>
    <row r="7" spans="1:2" x14ac:dyDescent="0.25">
      <c r="B7" s="8"/>
    </row>
    <row r="8" spans="1:2" ht="38.25" x14ac:dyDescent="0.25">
      <c r="B8" s="6" t="s">
        <v>131</v>
      </c>
    </row>
    <row r="10" spans="1:2" ht="111" x14ac:dyDescent="0.25">
      <c r="B10" s="6" t="s">
        <v>132</v>
      </c>
    </row>
    <row r="12" spans="1:2" ht="36" x14ac:dyDescent="0.25">
      <c r="B12" s="6" t="s">
        <v>133</v>
      </c>
    </row>
    <row r="14" spans="1:2" ht="96" x14ac:dyDescent="0.25">
      <c r="A14" s="9"/>
      <c r="B14" s="6" t="s">
        <v>141</v>
      </c>
    </row>
    <row r="15" spans="1:2" x14ac:dyDescent="0.25">
      <c r="A15" s="9"/>
      <c r="B15" s="10"/>
    </row>
    <row r="16" spans="1:2" ht="141" x14ac:dyDescent="0.25">
      <c r="B16" s="6" t="s">
        <v>134</v>
      </c>
    </row>
    <row r="18" spans="2:2" ht="51" x14ac:dyDescent="0.25">
      <c r="B18" s="6" t="s">
        <v>135</v>
      </c>
    </row>
    <row r="20" spans="2:2" ht="36" x14ac:dyDescent="0.25">
      <c r="B20" s="6" t="s">
        <v>143</v>
      </c>
    </row>
    <row r="22" spans="2:2" ht="66" x14ac:dyDescent="0.25">
      <c r="B22" s="6" t="s">
        <v>136</v>
      </c>
    </row>
    <row r="24" spans="2:2" ht="96" x14ac:dyDescent="0.25">
      <c r="B24" s="6" t="s">
        <v>137</v>
      </c>
    </row>
    <row r="26" spans="2:2" ht="246" x14ac:dyDescent="0.25">
      <c r="B26" s="6" t="s">
        <v>138</v>
      </c>
    </row>
    <row r="27" spans="2:2" ht="15.75" thickBot="1" x14ac:dyDescent="0.3">
      <c r="B27" s="51"/>
    </row>
    <row r="28" spans="2:2" ht="15.75" thickTop="1" x14ac:dyDescent="0.25"/>
  </sheetData>
  <sheetProtection selectLockedCells="1" selectUnlockedCells="1"/>
  <pageMargins left="0.7" right="0.7" top="0.75" bottom="0.75" header="0.3" footer="0.3"/>
  <pageSetup paperSize="9" fitToWidth="0" orientation="portrait" horizontalDpi="1200" verticalDpi="1200" r:id="rId1"/>
  <headerFooter>
    <oddFooter>&amp;L&amp;D&amp;CPage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AC53B-A03D-4DE9-8E48-0C7E28670E54}">
  <sheetPr>
    <pageSetUpPr fitToPage="1"/>
  </sheetPr>
  <dimension ref="B2:C38"/>
  <sheetViews>
    <sheetView showGridLines="0" zoomScaleNormal="100" workbookViewId="0"/>
  </sheetViews>
  <sheetFormatPr defaultColWidth="9.140625" defaultRowHeight="15" x14ac:dyDescent="0.25"/>
  <cols>
    <col min="1" max="1" width="2.85546875" style="7" customWidth="1"/>
    <col min="2" max="2" width="45.85546875" style="7" customWidth="1"/>
    <col min="3" max="3" width="68.85546875" style="7" customWidth="1"/>
    <col min="4" max="16384" width="9.140625" style="7"/>
  </cols>
  <sheetData>
    <row r="2" spans="2:3" x14ac:dyDescent="0.25">
      <c r="B2" s="8"/>
    </row>
    <row r="3" spans="2:3" x14ac:dyDescent="0.25">
      <c r="B3" s="8"/>
    </row>
    <row r="4" spans="2:3" x14ac:dyDescent="0.25">
      <c r="B4" s="8"/>
    </row>
    <row r="5" spans="2:3" x14ac:dyDescent="0.25">
      <c r="B5" s="8"/>
    </row>
    <row r="6" spans="2:3" x14ac:dyDescent="0.25">
      <c r="B6" s="8"/>
    </row>
    <row r="7" spans="2:3" x14ac:dyDescent="0.25">
      <c r="B7" s="8"/>
    </row>
    <row r="8" spans="2:3" ht="21" x14ac:dyDescent="0.25">
      <c r="B8" s="21" t="s">
        <v>3</v>
      </c>
    </row>
    <row r="9" spans="2:3" x14ac:dyDescent="0.25">
      <c r="B9" s="17" t="s">
        <v>142</v>
      </c>
    </row>
    <row r="11" spans="2:3" ht="21" customHeight="1" x14ac:dyDescent="0.25">
      <c r="B11" s="52" t="s">
        <v>4</v>
      </c>
      <c r="C11" s="53" t="s">
        <v>2</v>
      </c>
    </row>
    <row r="12" spans="2:3" ht="60" x14ac:dyDescent="0.25">
      <c r="B12" s="22" t="s">
        <v>5</v>
      </c>
      <c r="C12" s="23" t="s">
        <v>14</v>
      </c>
    </row>
    <row r="13" spans="2:3" ht="15.75" thickBot="1" x14ac:dyDescent="0.3">
      <c r="B13" s="54"/>
      <c r="C13" s="55"/>
    </row>
    <row r="14" spans="2:3" ht="30.75" thickTop="1" x14ac:dyDescent="0.25">
      <c r="B14" s="24" t="s">
        <v>6</v>
      </c>
      <c r="C14" s="25" t="s">
        <v>15</v>
      </c>
    </row>
    <row r="15" spans="2:3" ht="15.75" thickBot="1" x14ac:dyDescent="0.3">
      <c r="B15" s="54"/>
      <c r="C15" s="55"/>
    </row>
    <row r="16" spans="2:3" ht="45.75" thickTop="1" x14ac:dyDescent="0.25">
      <c r="B16" s="24" t="s">
        <v>7</v>
      </c>
      <c r="C16" s="25" t="s">
        <v>16</v>
      </c>
    </row>
    <row r="17" spans="2:3" ht="15.75" thickBot="1" x14ac:dyDescent="0.3">
      <c r="B17" s="54"/>
      <c r="C17" s="55"/>
    </row>
    <row r="18" spans="2:3" ht="45.75" thickTop="1" x14ac:dyDescent="0.25">
      <c r="B18" s="24" t="s">
        <v>8</v>
      </c>
      <c r="C18" s="25" t="s">
        <v>17</v>
      </c>
    </row>
    <row r="19" spans="2:3" ht="15.75" thickBot="1" x14ac:dyDescent="0.3">
      <c r="B19" s="54"/>
      <c r="C19" s="55"/>
    </row>
    <row r="20" spans="2:3" ht="30.75" thickTop="1" x14ac:dyDescent="0.25">
      <c r="B20" s="24" t="s">
        <v>9</v>
      </c>
      <c r="C20" s="25" t="s">
        <v>18</v>
      </c>
    </row>
    <row r="21" spans="2:3" ht="15.75" thickBot="1" x14ac:dyDescent="0.3">
      <c r="B21" s="54"/>
      <c r="C21" s="55"/>
    </row>
    <row r="22" spans="2:3" ht="45.75" thickTop="1" x14ac:dyDescent="0.25">
      <c r="B22" s="24" t="s">
        <v>10</v>
      </c>
      <c r="C22" s="25" t="s">
        <v>19</v>
      </c>
    </row>
    <row r="23" spans="2:3" ht="15.75" thickBot="1" x14ac:dyDescent="0.3">
      <c r="B23" s="54"/>
      <c r="C23" s="55"/>
    </row>
    <row r="24" spans="2:3" ht="30.75" thickTop="1" x14ac:dyDescent="0.25">
      <c r="B24" s="24" t="s">
        <v>11</v>
      </c>
      <c r="C24" s="25" t="s">
        <v>20</v>
      </c>
    </row>
    <row r="25" spans="2:3" ht="15.75" thickBot="1" x14ac:dyDescent="0.3">
      <c r="B25" s="54"/>
      <c r="C25" s="55"/>
    </row>
    <row r="26" spans="2:3" ht="45.75" thickTop="1" x14ac:dyDescent="0.25">
      <c r="B26" s="24" t="s">
        <v>12</v>
      </c>
      <c r="C26" s="25" t="s">
        <v>21</v>
      </c>
    </row>
    <row r="27" spans="2:3" ht="15.75" thickBot="1" x14ac:dyDescent="0.3">
      <c r="B27" s="54"/>
      <c r="C27" s="55"/>
    </row>
    <row r="28" spans="2:3" ht="90.75" thickTop="1" x14ac:dyDescent="0.25">
      <c r="B28" s="24" t="s">
        <v>13</v>
      </c>
      <c r="C28" s="25" t="s">
        <v>22</v>
      </c>
    </row>
    <row r="29" spans="2:3" ht="15.75" thickBot="1" x14ac:dyDescent="0.3">
      <c r="B29" s="51"/>
      <c r="C29" s="51"/>
    </row>
    <row r="30" spans="2:3" ht="15.75" thickTop="1" x14ac:dyDescent="0.25">
      <c r="B30" s="14"/>
      <c r="C30" s="20"/>
    </row>
    <row r="31" spans="2:3" x14ac:dyDescent="0.25">
      <c r="B31" s="13"/>
      <c r="C31" s="6"/>
    </row>
    <row r="32" spans="2:3" x14ac:dyDescent="0.25">
      <c r="B32" s="13"/>
      <c r="C32" s="6"/>
    </row>
    <row r="33" spans="2:3" x14ac:dyDescent="0.25">
      <c r="B33" s="13"/>
      <c r="C33" s="6"/>
    </row>
    <row r="34" spans="2:3" x14ac:dyDescent="0.25">
      <c r="B34" s="13"/>
      <c r="C34" s="6"/>
    </row>
    <row r="35" spans="2:3" x14ac:dyDescent="0.25">
      <c r="B35" s="13"/>
      <c r="C35" s="6"/>
    </row>
    <row r="36" spans="2:3" x14ac:dyDescent="0.25">
      <c r="B36" s="13"/>
      <c r="C36" s="6"/>
    </row>
    <row r="37" spans="2:3" x14ac:dyDescent="0.25">
      <c r="B37" s="13"/>
      <c r="C37" s="6"/>
    </row>
    <row r="38" spans="2:3" x14ac:dyDescent="0.25">
      <c r="B38" s="13"/>
      <c r="C38" s="6"/>
    </row>
  </sheetData>
  <sheetProtection selectLockedCells="1" selectUnlockedCells="1"/>
  <pageMargins left="0.7" right="0.7" top="0.75" bottom="0.75" header="0.3" footer="0.3"/>
  <pageSetup paperSize="9" scale="66" fitToWidth="0" orientation="landscape" horizontalDpi="1200" verticalDpi="1200" r:id="rId1"/>
  <headerFooter>
    <oddFooter>&amp;L&amp;D&amp;CPage &amp;P of &amp;N</oddFooter>
  </headerFooter>
  <colBreaks count="1" manualBreakCount="1">
    <brk id="3" max="33"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5E562-3884-4889-9217-4D41D39EDECE}">
  <dimension ref="B2:J18"/>
  <sheetViews>
    <sheetView showGridLines="0" tabSelected="1" zoomScaleNormal="100" workbookViewId="0"/>
  </sheetViews>
  <sheetFormatPr defaultColWidth="9.140625" defaultRowHeight="15" x14ac:dyDescent="0.25"/>
  <cols>
    <col min="1" max="1" width="2.85546875" style="7" customWidth="1"/>
    <col min="2" max="2" width="22" style="7" customWidth="1"/>
    <col min="3" max="3" width="63.140625" style="7" customWidth="1"/>
    <col min="4" max="16384" width="9.140625" style="7"/>
  </cols>
  <sheetData>
    <row r="2" spans="2:10" x14ac:dyDescent="0.25">
      <c r="B2" s="8"/>
    </row>
    <row r="3" spans="2:10" x14ac:dyDescent="0.25">
      <c r="B3" s="8"/>
    </row>
    <row r="4" spans="2:10" x14ac:dyDescent="0.25">
      <c r="B4" s="8"/>
    </row>
    <row r="5" spans="2:10" x14ac:dyDescent="0.25">
      <c r="B5" s="8"/>
    </row>
    <row r="6" spans="2:10" x14ac:dyDescent="0.25">
      <c r="B6" s="8"/>
    </row>
    <row r="8" spans="2:10" ht="21" x14ac:dyDescent="0.25">
      <c r="B8" s="21" t="s">
        <v>23</v>
      </c>
      <c r="C8" s="26"/>
    </row>
    <row r="9" spans="2:10" x14ac:dyDescent="0.25">
      <c r="B9" s="27"/>
      <c r="C9" s="26"/>
    </row>
    <row r="10" spans="2:10" ht="45" x14ac:dyDescent="0.25">
      <c r="B10" s="56" t="s">
        <v>114</v>
      </c>
      <c r="C10" s="57" t="s">
        <v>24</v>
      </c>
    </row>
    <row r="11" spans="2:10" ht="45" x14ac:dyDescent="0.25">
      <c r="B11" s="56" t="s">
        <v>115</v>
      </c>
      <c r="C11" s="57" t="s">
        <v>25</v>
      </c>
      <c r="E11" s="14"/>
    </row>
    <row r="12" spans="2:10" ht="45" x14ac:dyDescent="0.25">
      <c r="B12" s="56" t="s">
        <v>116</v>
      </c>
      <c r="C12" s="57" t="s">
        <v>26</v>
      </c>
    </row>
    <row r="13" spans="2:10" ht="30" x14ac:dyDescent="0.25">
      <c r="B13" s="56" t="s">
        <v>117</v>
      </c>
      <c r="C13" s="57" t="s">
        <v>27</v>
      </c>
      <c r="J13" s="14"/>
    </row>
    <row r="14" spans="2:10" ht="30" x14ac:dyDescent="0.25">
      <c r="B14" s="56" t="s">
        <v>118</v>
      </c>
      <c r="C14" s="58" t="s">
        <v>28</v>
      </c>
    </row>
    <row r="15" spans="2:10" ht="30" x14ac:dyDescent="0.25">
      <c r="B15" s="56" t="s">
        <v>119</v>
      </c>
      <c r="C15" s="57" t="s">
        <v>32</v>
      </c>
    </row>
    <row r="16" spans="2:10" ht="45" x14ac:dyDescent="0.25">
      <c r="B16" s="56" t="s">
        <v>122</v>
      </c>
      <c r="C16" s="57" t="s">
        <v>31</v>
      </c>
    </row>
    <row r="17" spans="2:3" ht="30" x14ac:dyDescent="0.25">
      <c r="B17" s="56" t="s">
        <v>120</v>
      </c>
      <c r="C17" s="57" t="s">
        <v>30</v>
      </c>
    </row>
    <row r="18" spans="2:3" ht="30" x14ac:dyDescent="0.25">
      <c r="B18" s="56" t="s">
        <v>121</v>
      </c>
      <c r="C18" s="57" t="s">
        <v>29</v>
      </c>
    </row>
  </sheetData>
  <pageMargins left="0.7" right="0.7" top="0.75" bottom="0.75" header="0.3" footer="0.3"/>
  <pageSetup paperSize="9" scale="99" orientation="portrait" horizontalDpi="1200" verticalDpi="1200" r:id="rId1"/>
  <headerFooter>
    <oddFooter>&amp;L&amp;D&amp;CPage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41F24-4A42-4C56-802C-E3B8ADF88117}">
  <sheetPr>
    <pageSetUpPr fitToPage="1"/>
  </sheetPr>
  <dimension ref="A2:Q24"/>
  <sheetViews>
    <sheetView showGridLines="0" zoomScaleNormal="100" workbookViewId="0"/>
  </sheetViews>
  <sheetFormatPr defaultColWidth="9.140625" defaultRowHeight="15" x14ac:dyDescent="0.25"/>
  <cols>
    <col min="1" max="1" width="2.85546875" style="7" customWidth="1"/>
    <col min="2" max="2" width="4.85546875" style="7" customWidth="1"/>
    <col min="3" max="3" width="13.85546875" style="7" customWidth="1"/>
    <col min="4" max="4" width="10.7109375" style="7" customWidth="1"/>
    <col min="5" max="5" width="15.5703125" style="7" customWidth="1"/>
    <col min="6" max="6" width="24.140625" style="7" customWidth="1"/>
    <col min="7" max="7" width="20.85546875" style="7" customWidth="1"/>
    <col min="8" max="8" width="13.140625" style="7" customWidth="1"/>
    <col min="9" max="9" width="15" style="7" customWidth="1"/>
    <col min="10" max="10" width="10.28515625" style="7" customWidth="1"/>
    <col min="11" max="11" width="14.85546875" style="7" customWidth="1"/>
    <col min="12" max="12" width="19.5703125" style="7" customWidth="1"/>
    <col min="13" max="13" width="30.28515625" style="7" customWidth="1"/>
    <col min="14" max="16384" width="9.140625" style="7"/>
  </cols>
  <sheetData>
    <row r="2" spans="1:17" x14ac:dyDescent="0.25">
      <c r="B2" s="8"/>
    </row>
    <row r="3" spans="1:17" x14ac:dyDescent="0.25">
      <c r="B3" s="8"/>
    </row>
    <row r="4" spans="1:17" x14ac:dyDescent="0.25">
      <c r="B4" s="8"/>
    </row>
    <row r="5" spans="1:17" x14ac:dyDescent="0.25">
      <c r="B5" s="8"/>
    </row>
    <row r="6" spans="1:17" x14ac:dyDescent="0.25">
      <c r="B6" s="8"/>
    </row>
    <row r="8" spans="1:17" ht="21" x14ac:dyDescent="0.25">
      <c r="B8" s="21" t="s">
        <v>45</v>
      </c>
    </row>
    <row r="9" spans="1:17" x14ac:dyDescent="0.25">
      <c r="B9" s="61" t="s">
        <v>33</v>
      </c>
    </row>
    <row r="10" spans="1:17" x14ac:dyDescent="0.25">
      <c r="B10" s="28"/>
      <c r="C10" s="28"/>
      <c r="D10" s="28"/>
      <c r="E10" s="28"/>
      <c r="F10" s="28"/>
      <c r="G10" s="28"/>
      <c r="H10" s="29"/>
      <c r="I10" s="29"/>
      <c r="J10" s="29"/>
      <c r="K10" s="28"/>
      <c r="L10" s="28"/>
      <c r="M10" s="29"/>
      <c r="N10" s="29"/>
      <c r="O10" s="28"/>
      <c r="P10" s="28"/>
    </row>
    <row r="11" spans="1:17" ht="21" customHeight="1" x14ac:dyDescent="0.25">
      <c r="A11" s="1"/>
      <c r="B11" s="59"/>
      <c r="C11" s="60"/>
      <c r="D11" s="59" t="s">
        <v>44</v>
      </c>
      <c r="E11" s="59"/>
      <c r="F11" s="59"/>
      <c r="G11" s="59"/>
      <c r="H11" s="59"/>
      <c r="I11" s="59"/>
      <c r="J11" s="59"/>
      <c r="K11" s="60"/>
      <c r="L11" s="59"/>
      <c r="M11" s="59"/>
      <c r="N11" s="2"/>
      <c r="O11" s="2"/>
      <c r="P11" s="2"/>
      <c r="Q11" s="1"/>
    </row>
    <row r="12" spans="1:17" ht="31.5" customHeight="1" x14ac:dyDescent="0.25">
      <c r="A12" s="1"/>
      <c r="B12" s="30" t="s">
        <v>47</v>
      </c>
      <c r="C12" s="30" t="s">
        <v>46</v>
      </c>
      <c r="D12" s="30" t="s">
        <v>1</v>
      </c>
      <c r="E12" s="30" t="s">
        <v>48</v>
      </c>
      <c r="F12" s="30" t="s">
        <v>49</v>
      </c>
      <c r="G12" s="30" t="s">
        <v>50</v>
      </c>
      <c r="H12" s="30" t="s">
        <v>51</v>
      </c>
      <c r="I12" s="30" t="s">
        <v>52</v>
      </c>
      <c r="J12" s="30" t="s">
        <v>53</v>
      </c>
      <c r="K12" s="30" t="s">
        <v>54</v>
      </c>
      <c r="L12" s="30" t="s">
        <v>55</v>
      </c>
      <c r="M12" s="30" t="s">
        <v>56</v>
      </c>
      <c r="N12" s="31"/>
    </row>
    <row r="13" spans="1:17" ht="30" x14ac:dyDescent="0.25">
      <c r="A13" s="1"/>
      <c r="B13" s="32" t="s">
        <v>34</v>
      </c>
      <c r="C13" s="30"/>
      <c r="D13" s="30"/>
      <c r="E13" s="30"/>
      <c r="F13" s="30"/>
      <c r="G13" s="30"/>
      <c r="H13" s="30"/>
      <c r="I13" s="30"/>
      <c r="J13" s="30"/>
      <c r="K13" s="30"/>
      <c r="L13" s="30"/>
      <c r="M13" s="30"/>
      <c r="N13" s="1"/>
    </row>
    <row r="14" spans="1:17" ht="30" x14ac:dyDescent="0.25">
      <c r="A14" s="1"/>
      <c r="B14" s="32" t="s">
        <v>35</v>
      </c>
      <c r="C14" s="30"/>
      <c r="D14" s="30"/>
      <c r="E14" s="30"/>
      <c r="F14" s="30"/>
      <c r="G14" s="30"/>
      <c r="H14" s="30"/>
      <c r="I14" s="30"/>
      <c r="J14" s="30"/>
      <c r="K14" s="30"/>
      <c r="L14" s="30"/>
      <c r="M14" s="30"/>
      <c r="N14" s="1"/>
    </row>
    <row r="15" spans="1:17" ht="30" x14ac:dyDescent="0.25">
      <c r="A15" s="1"/>
      <c r="B15" s="32" t="s">
        <v>36</v>
      </c>
      <c r="C15" s="30"/>
      <c r="D15" s="30"/>
      <c r="E15" s="30"/>
      <c r="F15" s="30"/>
      <c r="G15" s="30"/>
      <c r="H15" s="30"/>
      <c r="I15" s="30"/>
      <c r="J15" s="30"/>
      <c r="K15" s="30"/>
      <c r="L15" s="30"/>
      <c r="M15" s="30"/>
      <c r="N15" s="1"/>
    </row>
    <row r="16" spans="1:17" ht="30" x14ac:dyDescent="0.25">
      <c r="A16" s="1"/>
      <c r="B16" s="32" t="s">
        <v>37</v>
      </c>
      <c r="C16" s="30"/>
      <c r="D16" s="30"/>
      <c r="E16" s="30"/>
      <c r="F16" s="30"/>
      <c r="G16" s="30"/>
      <c r="H16" s="30"/>
      <c r="I16" s="30"/>
      <c r="J16" s="30"/>
      <c r="K16" s="30"/>
      <c r="L16" s="30"/>
      <c r="M16" s="30"/>
      <c r="N16" s="1"/>
    </row>
    <row r="17" spans="1:14" ht="30" x14ac:dyDescent="0.25">
      <c r="A17" s="1"/>
      <c r="B17" s="32" t="s">
        <v>38</v>
      </c>
      <c r="C17" s="30"/>
      <c r="D17" s="30"/>
      <c r="E17" s="30"/>
      <c r="F17" s="30"/>
      <c r="G17" s="30"/>
      <c r="H17" s="30"/>
      <c r="I17" s="30"/>
      <c r="J17" s="30"/>
      <c r="K17" s="30"/>
      <c r="L17" s="30"/>
      <c r="M17" s="30"/>
      <c r="N17" s="1"/>
    </row>
    <row r="18" spans="1:14" ht="30" x14ac:dyDescent="0.25">
      <c r="A18" s="1"/>
      <c r="B18" s="32" t="s">
        <v>39</v>
      </c>
      <c r="C18" s="30"/>
      <c r="D18" s="30"/>
      <c r="E18" s="30"/>
      <c r="F18" s="30"/>
      <c r="G18" s="30"/>
      <c r="H18" s="30"/>
      <c r="I18" s="30"/>
      <c r="J18" s="30"/>
      <c r="K18" s="30"/>
      <c r="L18" s="30"/>
      <c r="M18" s="30"/>
      <c r="N18" s="1"/>
    </row>
    <row r="19" spans="1:14" ht="30" x14ac:dyDescent="0.25">
      <c r="A19" s="1"/>
      <c r="B19" s="32" t="s">
        <v>40</v>
      </c>
      <c r="C19" s="30"/>
      <c r="D19" s="30"/>
      <c r="E19" s="30"/>
      <c r="F19" s="30"/>
      <c r="G19" s="30"/>
      <c r="H19" s="30"/>
      <c r="I19" s="30"/>
      <c r="J19" s="30"/>
      <c r="K19" s="30"/>
      <c r="L19" s="30"/>
      <c r="M19" s="30"/>
      <c r="N19" s="1"/>
    </row>
    <row r="20" spans="1:14" ht="30" x14ac:dyDescent="0.25">
      <c r="A20" s="1"/>
      <c r="B20" s="32" t="s">
        <v>41</v>
      </c>
      <c r="C20" s="30"/>
      <c r="D20" s="30"/>
      <c r="E20" s="30"/>
      <c r="F20" s="30"/>
      <c r="G20" s="30"/>
      <c r="H20" s="30"/>
      <c r="I20" s="30"/>
      <c r="J20" s="30"/>
      <c r="K20" s="30"/>
      <c r="L20" s="30"/>
      <c r="M20" s="30"/>
      <c r="N20" s="1"/>
    </row>
    <row r="21" spans="1:14" ht="30" x14ac:dyDescent="0.25">
      <c r="A21" s="1"/>
      <c r="B21" s="32" t="s">
        <v>42</v>
      </c>
      <c r="C21" s="30"/>
      <c r="D21" s="30"/>
      <c r="E21" s="30"/>
      <c r="F21" s="30"/>
      <c r="G21" s="30"/>
      <c r="H21" s="30"/>
      <c r="I21" s="30"/>
      <c r="J21" s="30"/>
      <c r="K21" s="30"/>
      <c r="L21" s="30"/>
      <c r="M21" s="30"/>
      <c r="N21" s="1"/>
    </row>
    <row r="22" spans="1:14" ht="30" x14ac:dyDescent="0.25">
      <c r="A22" s="1"/>
      <c r="B22" s="32" t="s">
        <v>43</v>
      </c>
      <c r="C22" s="30"/>
      <c r="D22" s="30"/>
      <c r="E22" s="30"/>
      <c r="F22" s="30"/>
      <c r="G22" s="30"/>
      <c r="H22" s="30"/>
      <c r="I22" s="30"/>
      <c r="J22" s="30"/>
      <c r="K22" s="30"/>
      <c r="L22" s="30"/>
      <c r="M22" s="30"/>
      <c r="N22" s="1"/>
    </row>
    <row r="23" spans="1:14" x14ac:dyDescent="0.25">
      <c r="A23" s="1"/>
      <c r="B23" s="1"/>
      <c r="C23" s="1"/>
      <c r="D23" s="1"/>
      <c r="E23" s="1"/>
      <c r="F23" s="1"/>
      <c r="G23" s="1"/>
      <c r="H23" s="1"/>
      <c r="I23" s="1"/>
      <c r="J23" s="1"/>
      <c r="K23" s="1"/>
      <c r="L23" s="1"/>
      <c r="M23" s="1"/>
      <c r="N23" s="1"/>
    </row>
    <row r="24" spans="1:14" x14ac:dyDescent="0.25">
      <c r="A24" s="1"/>
      <c r="B24" s="1"/>
      <c r="C24" s="1"/>
      <c r="D24" s="1"/>
      <c r="E24" s="1"/>
      <c r="F24" s="1"/>
      <c r="G24" s="1"/>
      <c r="H24" s="1"/>
      <c r="I24" s="1"/>
      <c r="J24" s="1"/>
      <c r="K24" s="1"/>
      <c r="L24" s="1"/>
      <c r="M24" s="1"/>
      <c r="N24" s="1"/>
    </row>
  </sheetData>
  <pageMargins left="0.23622047244094491" right="0.23622047244094491" top="0.59055118110236227" bottom="0.59055118110236227" header="0.31496062992125984" footer="0.31496062992125984"/>
  <pageSetup paperSize="9" scale="73" fitToHeight="0" orientation="landscape" horizontalDpi="1200" verticalDpi="1200" r:id="rId1"/>
  <headerFooter>
    <oddFooter>&amp;L&amp;D&amp;CPage &amp;P of &amp;N</oddFooter>
  </headerFooter>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17422-259C-45C9-B3E5-B5A2340DC659}">
  <dimension ref="A2:P140"/>
  <sheetViews>
    <sheetView showGridLines="0" zoomScaleNormal="100" workbookViewId="0"/>
  </sheetViews>
  <sheetFormatPr defaultColWidth="9.140625" defaultRowHeight="15" x14ac:dyDescent="0.25"/>
  <cols>
    <col min="1" max="1" width="2.85546875" style="37" customWidth="1"/>
    <col min="2" max="2" width="14.140625" style="37" customWidth="1"/>
    <col min="3" max="3" width="17" style="37" customWidth="1"/>
    <col min="4" max="4" width="25.5703125" style="37" bestFit="1" customWidth="1"/>
    <col min="5" max="5" width="12.5703125" style="37" customWidth="1"/>
    <col min="6" max="6" width="17" style="37" customWidth="1"/>
    <col min="7" max="7" width="17.5703125" style="37" customWidth="1"/>
    <col min="8" max="8" width="18" style="37" bestFit="1" customWidth="1"/>
    <col min="9" max="9" width="9.42578125" style="37" customWidth="1"/>
    <col min="10" max="10" width="14.85546875" style="37" customWidth="1"/>
    <col min="11" max="11" width="19.5703125" style="37" customWidth="1"/>
    <col min="12" max="12" width="30.28515625" style="37" customWidth="1"/>
    <col min="13" max="16384" width="9.140625" style="37"/>
  </cols>
  <sheetData>
    <row r="2" spans="2:9" x14ac:dyDescent="0.25">
      <c r="B2" s="36"/>
    </row>
    <row r="3" spans="2:9" x14ac:dyDescent="0.25">
      <c r="B3" s="36"/>
    </row>
    <row r="4" spans="2:9" x14ac:dyDescent="0.25">
      <c r="B4" s="36"/>
    </row>
    <row r="5" spans="2:9" x14ac:dyDescent="0.25">
      <c r="B5" s="36"/>
    </row>
    <row r="6" spans="2:9" x14ac:dyDescent="0.25">
      <c r="B6" s="36"/>
    </row>
    <row r="8" spans="2:9" ht="21" x14ac:dyDescent="0.25">
      <c r="B8" s="38" t="s">
        <v>57</v>
      </c>
      <c r="C8" s="39"/>
      <c r="D8" s="39"/>
      <c r="E8" s="39"/>
      <c r="F8" s="39"/>
      <c r="G8" s="39"/>
      <c r="H8" s="39"/>
    </row>
    <row r="9" spans="2:9" x14ac:dyDescent="0.25">
      <c r="B9" s="41" t="s">
        <v>58</v>
      </c>
      <c r="C9" s="39"/>
      <c r="D9" s="39"/>
      <c r="E9" s="39"/>
      <c r="F9" s="39"/>
      <c r="G9" s="39"/>
      <c r="H9" s="39"/>
    </row>
    <row r="11" spans="2:9" ht="21" customHeight="1" x14ac:dyDescent="0.25">
      <c r="B11" s="62" t="s">
        <v>74</v>
      </c>
      <c r="C11" s="62"/>
      <c r="D11" s="63" t="s">
        <v>129</v>
      </c>
      <c r="E11" s="62" t="str">
        <f>IF(ISBLANK(+'Key Business Activities'!C13),"[Business activity]",+'Key Business Activities'!C13)</f>
        <v>[Business activity]</v>
      </c>
      <c r="F11" s="62"/>
      <c r="G11" s="62"/>
      <c r="H11" s="62"/>
      <c r="I11" s="62"/>
    </row>
    <row r="12" spans="2:9" ht="30" x14ac:dyDescent="0.25">
      <c r="B12" s="40" t="s">
        <v>59</v>
      </c>
      <c r="C12" s="40" t="s">
        <v>67</v>
      </c>
      <c r="D12" s="40" t="s">
        <v>68</v>
      </c>
      <c r="E12" s="40" t="s">
        <v>69</v>
      </c>
      <c r="F12" s="40" t="s">
        <v>70</v>
      </c>
      <c r="G12" s="40" t="s">
        <v>71</v>
      </c>
      <c r="H12" s="40" t="s">
        <v>72</v>
      </c>
      <c r="I12" s="40" t="s">
        <v>73</v>
      </c>
    </row>
    <row r="13" spans="2:9" x14ac:dyDescent="0.25">
      <c r="B13" s="40" t="s">
        <v>60</v>
      </c>
      <c r="C13" s="33" t="s">
        <v>0</v>
      </c>
      <c r="D13" s="33" t="s">
        <v>0</v>
      </c>
      <c r="E13" s="33" t="s">
        <v>0</v>
      </c>
      <c r="F13" s="33" t="s">
        <v>0</v>
      </c>
      <c r="G13" s="33" t="s">
        <v>0</v>
      </c>
      <c r="H13" s="33" t="s">
        <v>0</v>
      </c>
      <c r="I13" s="40">
        <f>SUM(Impact1[[#This Row],[Impact on staff or public well-being]:[Environmental damage]])</f>
        <v>0</v>
      </c>
    </row>
    <row r="14" spans="2:9" x14ac:dyDescent="0.25">
      <c r="B14" s="40" t="s">
        <v>61</v>
      </c>
      <c r="C14" s="33" t="s">
        <v>0</v>
      </c>
      <c r="D14" s="33" t="s">
        <v>0</v>
      </c>
      <c r="E14" s="33" t="s">
        <v>0</v>
      </c>
      <c r="F14" s="33" t="s">
        <v>0</v>
      </c>
      <c r="G14" s="33" t="s">
        <v>0</v>
      </c>
      <c r="H14" s="33" t="s">
        <v>0</v>
      </c>
      <c r="I14" s="40">
        <f>SUM(Impact1[[#This Row],[Impact on staff or public well-being]:[Environmental damage]])</f>
        <v>0</v>
      </c>
    </row>
    <row r="15" spans="2:9" x14ac:dyDescent="0.25">
      <c r="B15" s="40" t="s">
        <v>62</v>
      </c>
      <c r="C15" s="33" t="s">
        <v>0</v>
      </c>
      <c r="D15" s="33" t="s">
        <v>0</v>
      </c>
      <c r="E15" s="33" t="s">
        <v>0</v>
      </c>
      <c r="F15" s="33" t="s">
        <v>0</v>
      </c>
      <c r="G15" s="33" t="s">
        <v>0</v>
      </c>
      <c r="H15" s="33" t="s">
        <v>0</v>
      </c>
      <c r="I15" s="40">
        <f>SUM(Impact1[[#This Row],[Impact on staff or public well-being]:[Environmental damage]])</f>
        <v>0</v>
      </c>
    </row>
    <row r="16" spans="2:9" x14ac:dyDescent="0.25">
      <c r="B16" s="40" t="s">
        <v>63</v>
      </c>
      <c r="C16" s="33" t="s">
        <v>0</v>
      </c>
      <c r="D16" s="33" t="s">
        <v>0</v>
      </c>
      <c r="E16" s="33" t="s">
        <v>0</v>
      </c>
      <c r="F16" s="33" t="s">
        <v>0</v>
      </c>
      <c r="G16" s="33" t="s">
        <v>0</v>
      </c>
      <c r="H16" s="33" t="s">
        <v>0</v>
      </c>
      <c r="I16" s="40">
        <f>SUM(Impact1[[#This Row],[Impact on staff or public well-being]:[Environmental damage]])</f>
        <v>0</v>
      </c>
    </row>
    <row r="17" spans="2:15" x14ac:dyDescent="0.25">
      <c r="B17" s="40" t="s">
        <v>64</v>
      </c>
      <c r="C17" s="33" t="s">
        <v>0</v>
      </c>
      <c r="D17" s="33" t="s">
        <v>0</v>
      </c>
      <c r="E17" s="33" t="s">
        <v>0</v>
      </c>
      <c r="F17" s="33" t="s">
        <v>0</v>
      </c>
      <c r="G17" s="33" t="s">
        <v>0</v>
      </c>
      <c r="H17" s="33" t="s">
        <v>0</v>
      </c>
      <c r="I17" s="40">
        <f>SUM(Impact1[[#This Row],[Impact on staff or public well-being]:[Environmental damage]])</f>
        <v>0</v>
      </c>
    </row>
    <row r="18" spans="2:15" x14ac:dyDescent="0.25">
      <c r="B18" s="40" t="s">
        <v>65</v>
      </c>
      <c r="C18" s="33" t="s">
        <v>0</v>
      </c>
      <c r="D18" s="33" t="s">
        <v>0</v>
      </c>
      <c r="E18" s="33" t="s">
        <v>0</v>
      </c>
      <c r="F18" s="33" t="s">
        <v>0</v>
      </c>
      <c r="G18" s="33" t="s">
        <v>0</v>
      </c>
      <c r="H18" s="33" t="s">
        <v>0</v>
      </c>
      <c r="I18" s="40">
        <f>SUM(Impact1[[#This Row],[Impact on staff or public well-being]:[Environmental damage]])</f>
        <v>0</v>
      </c>
    </row>
    <row r="19" spans="2:15" x14ac:dyDescent="0.25">
      <c r="G19" s="50"/>
      <c r="H19" s="50"/>
      <c r="I19" s="50"/>
    </row>
    <row r="20" spans="2:15" x14ac:dyDescent="0.25">
      <c r="B20" s="41" t="s">
        <v>84</v>
      </c>
      <c r="C20" s="39"/>
      <c r="F20" s="50"/>
      <c r="G20" s="64" t="s">
        <v>123</v>
      </c>
      <c r="H20" s="65" t="s">
        <v>125</v>
      </c>
      <c r="I20" s="66"/>
    </row>
    <row r="21" spans="2:15" x14ac:dyDescent="0.25">
      <c r="F21" s="50"/>
      <c r="G21" s="67" t="s">
        <v>124</v>
      </c>
      <c r="H21" s="68" t="s">
        <v>126</v>
      </c>
      <c r="I21" s="69"/>
    </row>
    <row r="24" spans="2:15" ht="21" customHeight="1" x14ac:dyDescent="0.25">
      <c r="B24" s="62" t="s">
        <v>75</v>
      </c>
      <c r="C24" s="62"/>
      <c r="D24" s="63" t="s">
        <v>129</v>
      </c>
      <c r="E24" s="62" t="str">
        <f>IF(ISBLANK(+'Key Business Activities'!C14),"[Business activity]",+'Key Business Activities'!C14)</f>
        <v>[Business activity]</v>
      </c>
      <c r="F24" s="62"/>
      <c r="G24" s="62"/>
      <c r="H24" s="62"/>
      <c r="I24" s="62"/>
    </row>
    <row r="25" spans="2:15" ht="30" x14ac:dyDescent="0.25">
      <c r="B25" s="40" t="s">
        <v>59</v>
      </c>
      <c r="C25" s="40" t="s">
        <v>67</v>
      </c>
      <c r="D25" s="40" t="s">
        <v>68</v>
      </c>
      <c r="E25" s="40" t="s">
        <v>69</v>
      </c>
      <c r="F25" s="40" t="s">
        <v>70</v>
      </c>
      <c r="G25" s="40" t="s">
        <v>71</v>
      </c>
      <c r="H25" s="40" t="s">
        <v>72</v>
      </c>
      <c r="I25" s="40" t="s">
        <v>73</v>
      </c>
      <c r="K25" s="43"/>
      <c r="L25" s="44"/>
      <c r="M25" s="44"/>
      <c r="N25" s="43"/>
      <c r="O25" s="43"/>
    </row>
    <row r="26" spans="2:15" x14ac:dyDescent="0.25">
      <c r="B26" s="40" t="s">
        <v>60</v>
      </c>
      <c r="C26" s="33" t="s">
        <v>0</v>
      </c>
      <c r="D26" s="33" t="s">
        <v>0</v>
      </c>
      <c r="E26" s="33" t="s">
        <v>0</v>
      </c>
      <c r="F26" s="33" t="s">
        <v>0</v>
      </c>
      <c r="G26" s="33" t="s">
        <v>0</v>
      </c>
      <c r="H26" s="33" t="s">
        <v>0</v>
      </c>
      <c r="I26" s="40">
        <f>SUM(Impact2[[#This Row],[Impact on staff or public well-being]:[Environmental damage]])</f>
        <v>0</v>
      </c>
    </row>
    <row r="27" spans="2:15" x14ac:dyDescent="0.25">
      <c r="B27" s="40" t="s">
        <v>61</v>
      </c>
      <c r="C27" s="33" t="s">
        <v>0</v>
      </c>
      <c r="D27" s="33" t="s">
        <v>0</v>
      </c>
      <c r="E27" s="33" t="s">
        <v>0</v>
      </c>
      <c r="F27" s="33" t="s">
        <v>0</v>
      </c>
      <c r="G27" s="33" t="s">
        <v>0</v>
      </c>
      <c r="H27" s="33" t="s">
        <v>0</v>
      </c>
      <c r="I27" s="40">
        <f>SUM(Impact2[[#This Row],[Impact on staff or public well-being]:[Environmental damage]])</f>
        <v>0</v>
      </c>
    </row>
    <row r="28" spans="2:15" x14ac:dyDescent="0.25">
      <c r="B28" s="40" t="s">
        <v>62</v>
      </c>
      <c r="C28" s="33" t="s">
        <v>0</v>
      </c>
      <c r="D28" s="33" t="s">
        <v>0</v>
      </c>
      <c r="E28" s="33" t="s">
        <v>0</v>
      </c>
      <c r="F28" s="33" t="s">
        <v>0</v>
      </c>
      <c r="G28" s="33" t="s">
        <v>0</v>
      </c>
      <c r="H28" s="33" t="s">
        <v>0</v>
      </c>
      <c r="I28" s="40">
        <f>SUM(Impact2[[#This Row],[Impact on staff or public well-being]:[Environmental damage]])</f>
        <v>0</v>
      </c>
    </row>
    <row r="29" spans="2:15" x14ac:dyDescent="0.25">
      <c r="B29" s="40" t="s">
        <v>63</v>
      </c>
      <c r="C29" s="33" t="s">
        <v>0</v>
      </c>
      <c r="D29" s="33" t="s">
        <v>0</v>
      </c>
      <c r="E29" s="33" t="s">
        <v>0</v>
      </c>
      <c r="F29" s="33" t="s">
        <v>0</v>
      </c>
      <c r="G29" s="33" t="s">
        <v>0</v>
      </c>
      <c r="H29" s="33" t="s">
        <v>0</v>
      </c>
      <c r="I29" s="40">
        <f>SUM(Impact2[[#This Row],[Impact on staff or public well-being]:[Environmental damage]])</f>
        <v>0</v>
      </c>
    </row>
    <row r="30" spans="2:15" x14ac:dyDescent="0.25">
      <c r="B30" s="40" t="s">
        <v>64</v>
      </c>
      <c r="C30" s="33" t="s">
        <v>0</v>
      </c>
      <c r="D30" s="33" t="s">
        <v>0</v>
      </c>
      <c r="E30" s="33" t="s">
        <v>0</v>
      </c>
      <c r="F30" s="33" t="s">
        <v>0</v>
      </c>
      <c r="G30" s="33" t="s">
        <v>0</v>
      </c>
      <c r="H30" s="33" t="s">
        <v>0</v>
      </c>
      <c r="I30" s="40">
        <f>SUM(Impact2[[#This Row],[Impact on staff or public well-being]:[Environmental damage]])</f>
        <v>0</v>
      </c>
    </row>
    <row r="31" spans="2:15" x14ac:dyDescent="0.25">
      <c r="B31" s="40" t="s">
        <v>65</v>
      </c>
      <c r="C31" s="33" t="s">
        <v>0</v>
      </c>
      <c r="D31" s="33" t="s">
        <v>0</v>
      </c>
      <c r="E31" s="33" t="s">
        <v>0</v>
      </c>
      <c r="F31" s="33" t="s">
        <v>0</v>
      </c>
      <c r="G31" s="33" t="s">
        <v>0</v>
      </c>
      <c r="H31" s="33" t="s">
        <v>0</v>
      </c>
      <c r="I31" s="40">
        <f>SUM(Impact2[[#This Row],[Impact on staff or public well-being]:[Environmental damage]])</f>
        <v>0</v>
      </c>
    </row>
    <row r="32" spans="2:15" x14ac:dyDescent="0.25">
      <c r="G32" s="50"/>
      <c r="H32" s="50"/>
      <c r="I32" s="50"/>
    </row>
    <row r="33" spans="1:13" x14ac:dyDescent="0.25">
      <c r="B33" s="41" t="s">
        <v>84</v>
      </c>
      <c r="F33" s="50"/>
      <c r="G33" s="64" t="s">
        <v>123</v>
      </c>
      <c r="H33" s="65" t="s">
        <v>125</v>
      </c>
      <c r="I33" s="66"/>
    </row>
    <row r="34" spans="1:13" x14ac:dyDescent="0.25">
      <c r="F34" s="50"/>
      <c r="G34" s="67" t="s">
        <v>124</v>
      </c>
      <c r="H34" s="68" t="s">
        <v>126</v>
      </c>
      <c r="I34" s="69"/>
    </row>
    <row r="36" spans="1:13" x14ac:dyDescent="0.25">
      <c r="L36" s="45"/>
      <c r="M36" s="45"/>
    </row>
    <row r="37" spans="1:13" ht="21" customHeight="1" x14ac:dyDescent="0.25">
      <c r="B37" s="62" t="s">
        <v>76</v>
      </c>
      <c r="C37" s="62"/>
      <c r="D37" s="63" t="s">
        <v>129</v>
      </c>
      <c r="E37" s="62" t="str">
        <f>IF(ISBLANK(+'Key Business Activities'!C15),"[Business activity]",+'Key Business Activities'!C15)</f>
        <v>[Business activity]</v>
      </c>
      <c r="F37" s="62"/>
      <c r="G37" s="62"/>
      <c r="H37" s="62"/>
      <c r="I37" s="62"/>
      <c r="L37" s="45"/>
      <c r="M37" s="45"/>
    </row>
    <row r="38" spans="1:13" ht="30" x14ac:dyDescent="0.25">
      <c r="A38" s="46"/>
      <c r="B38" s="40" t="s">
        <v>59</v>
      </c>
      <c r="C38" s="40" t="s">
        <v>67</v>
      </c>
      <c r="D38" s="40" t="s">
        <v>68</v>
      </c>
      <c r="E38" s="40" t="s">
        <v>69</v>
      </c>
      <c r="F38" s="40" t="s">
        <v>70</v>
      </c>
      <c r="G38" s="40" t="s">
        <v>71</v>
      </c>
      <c r="H38" s="40" t="s">
        <v>72</v>
      </c>
      <c r="I38" s="40" t="s">
        <v>73</v>
      </c>
      <c r="J38" s="45"/>
      <c r="K38" s="45"/>
      <c r="L38" s="45"/>
      <c r="M38" s="45"/>
    </row>
    <row r="39" spans="1:13" x14ac:dyDescent="0.25">
      <c r="A39" s="46"/>
      <c r="B39" s="40" t="s">
        <v>60</v>
      </c>
      <c r="C39" s="33" t="s">
        <v>0</v>
      </c>
      <c r="D39" s="33" t="s">
        <v>0</v>
      </c>
      <c r="E39" s="33" t="s">
        <v>0</v>
      </c>
      <c r="F39" s="33" t="s">
        <v>0</v>
      </c>
      <c r="G39" s="33" t="s">
        <v>0</v>
      </c>
      <c r="H39" s="33" t="s">
        <v>0</v>
      </c>
      <c r="I39" s="40">
        <f>SUM(Impact3[[#This Row],[Impact on staff or public well-being]:[Environmental damage]])</f>
        <v>0</v>
      </c>
      <c r="M39" s="45"/>
    </row>
    <row r="40" spans="1:13" x14ac:dyDescent="0.25">
      <c r="A40" s="46"/>
      <c r="B40" s="40" t="s">
        <v>61</v>
      </c>
      <c r="C40" s="33" t="s">
        <v>0</v>
      </c>
      <c r="D40" s="33" t="s">
        <v>0</v>
      </c>
      <c r="E40" s="33" t="s">
        <v>0</v>
      </c>
      <c r="F40" s="33" t="s">
        <v>0</v>
      </c>
      <c r="G40" s="33" t="s">
        <v>0</v>
      </c>
      <c r="H40" s="33" t="s">
        <v>0</v>
      </c>
      <c r="I40" s="40">
        <f>SUM(Impact3[[#This Row],[Impact on staff or public well-being]:[Environmental damage]])</f>
        <v>0</v>
      </c>
      <c r="M40" s="45"/>
    </row>
    <row r="41" spans="1:13" x14ac:dyDescent="0.25">
      <c r="A41" s="46"/>
      <c r="B41" s="40" t="s">
        <v>62</v>
      </c>
      <c r="C41" s="33" t="s">
        <v>0</v>
      </c>
      <c r="D41" s="33" t="s">
        <v>0</v>
      </c>
      <c r="E41" s="33" t="s">
        <v>0</v>
      </c>
      <c r="F41" s="33" t="s">
        <v>0</v>
      </c>
      <c r="G41" s="33" t="s">
        <v>0</v>
      </c>
      <c r="H41" s="33" t="s">
        <v>0</v>
      </c>
      <c r="I41" s="40">
        <f>SUM(Impact3[[#This Row],[Impact on staff or public well-being]:[Environmental damage]])</f>
        <v>0</v>
      </c>
      <c r="M41" s="45"/>
    </row>
    <row r="42" spans="1:13" x14ac:dyDescent="0.25">
      <c r="A42" s="46"/>
      <c r="B42" s="40" t="s">
        <v>63</v>
      </c>
      <c r="C42" s="33" t="s">
        <v>0</v>
      </c>
      <c r="D42" s="33" t="s">
        <v>0</v>
      </c>
      <c r="E42" s="33" t="s">
        <v>0</v>
      </c>
      <c r="F42" s="33" t="s">
        <v>0</v>
      </c>
      <c r="G42" s="33" t="s">
        <v>0</v>
      </c>
      <c r="H42" s="33" t="s">
        <v>0</v>
      </c>
      <c r="I42" s="40">
        <f>SUM(Impact3[[#This Row],[Impact on staff or public well-being]:[Environmental damage]])</f>
        <v>0</v>
      </c>
      <c r="M42" s="46"/>
    </row>
    <row r="43" spans="1:13" x14ac:dyDescent="0.25">
      <c r="A43" s="46"/>
      <c r="B43" s="40" t="s">
        <v>64</v>
      </c>
      <c r="C43" s="33" t="s">
        <v>0</v>
      </c>
      <c r="D43" s="33" t="s">
        <v>0</v>
      </c>
      <c r="E43" s="33" t="s">
        <v>0</v>
      </c>
      <c r="F43" s="33" t="s">
        <v>0</v>
      </c>
      <c r="G43" s="33" t="s">
        <v>0</v>
      </c>
      <c r="H43" s="33" t="s">
        <v>0</v>
      </c>
      <c r="I43" s="40">
        <f>SUM(Impact3[[#This Row],[Impact on staff or public well-being]:[Environmental damage]])</f>
        <v>0</v>
      </c>
      <c r="M43" s="46"/>
    </row>
    <row r="44" spans="1:13" x14ac:dyDescent="0.25">
      <c r="A44" s="46"/>
      <c r="B44" s="40" t="s">
        <v>65</v>
      </c>
      <c r="C44" s="33" t="s">
        <v>0</v>
      </c>
      <c r="D44" s="33" t="s">
        <v>0</v>
      </c>
      <c r="E44" s="33" t="s">
        <v>0</v>
      </c>
      <c r="F44" s="33" t="s">
        <v>0</v>
      </c>
      <c r="G44" s="33" t="s">
        <v>0</v>
      </c>
      <c r="H44" s="33" t="s">
        <v>0</v>
      </c>
      <c r="I44" s="40">
        <f>SUM(Impact3[[#This Row],[Impact on staff or public well-being]:[Environmental damage]])</f>
        <v>0</v>
      </c>
      <c r="M44" s="46"/>
    </row>
    <row r="45" spans="1:13" x14ac:dyDescent="0.25">
      <c r="G45" s="50"/>
      <c r="H45" s="50"/>
      <c r="I45" s="50"/>
      <c r="M45" s="46"/>
    </row>
    <row r="46" spans="1:13" x14ac:dyDescent="0.25">
      <c r="B46" s="41" t="s">
        <v>84</v>
      </c>
      <c r="F46" s="50"/>
      <c r="G46" s="64" t="s">
        <v>123</v>
      </c>
      <c r="H46" s="65" t="s">
        <v>125</v>
      </c>
      <c r="I46" s="66"/>
      <c r="M46" s="46"/>
    </row>
    <row r="47" spans="1:13" x14ac:dyDescent="0.25">
      <c r="F47" s="50"/>
      <c r="G47" s="67" t="s">
        <v>124</v>
      </c>
      <c r="H47" s="68" t="s">
        <v>126</v>
      </c>
      <c r="I47" s="69"/>
      <c r="M47" s="46"/>
    </row>
    <row r="48" spans="1:13" x14ac:dyDescent="0.25">
      <c r="M48" s="46"/>
    </row>
    <row r="49" spans="1:16" x14ac:dyDescent="0.25">
      <c r="M49" s="46"/>
    </row>
    <row r="50" spans="1:16" ht="21" customHeight="1" x14ac:dyDescent="0.25">
      <c r="B50" s="62" t="s">
        <v>77</v>
      </c>
      <c r="C50" s="62"/>
      <c r="D50" s="63" t="s">
        <v>129</v>
      </c>
      <c r="E50" s="62" t="str">
        <f>IF(ISBLANK(+'Key Business Activities'!C16),"[Business activity]",+'Key Business Activities'!C16)</f>
        <v>[Business activity]</v>
      </c>
      <c r="F50" s="62"/>
      <c r="G50" s="62"/>
      <c r="H50" s="62"/>
      <c r="I50" s="62"/>
      <c r="M50" s="46"/>
    </row>
    <row r="51" spans="1:16" ht="30" x14ac:dyDescent="0.25">
      <c r="A51" s="46"/>
      <c r="B51" s="40" t="s">
        <v>59</v>
      </c>
      <c r="C51" s="40" t="s">
        <v>67</v>
      </c>
      <c r="D51" s="40" t="s">
        <v>68</v>
      </c>
      <c r="E51" s="40" t="s">
        <v>69</v>
      </c>
      <c r="F51" s="40" t="s">
        <v>70</v>
      </c>
      <c r="G51" s="40" t="s">
        <v>71</v>
      </c>
      <c r="H51" s="40" t="s">
        <v>72</v>
      </c>
      <c r="I51" s="40" t="s">
        <v>73</v>
      </c>
      <c r="M51" s="46"/>
    </row>
    <row r="52" spans="1:16" x14ac:dyDescent="0.25">
      <c r="A52" s="46"/>
      <c r="B52" s="40" t="s">
        <v>60</v>
      </c>
      <c r="C52" s="33" t="s">
        <v>0</v>
      </c>
      <c r="D52" s="33" t="s">
        <v>0</v>
      </c>
      <c r="E52" s="33" t="s">
        <v>0</v>
      </c>
      <c r="F52" s="33" t="s">
        <v>0</v>
      </c>
      <c r="G52" s="33" t="s">
        <v>0</v>
      </c>
      <c r="H52" s="33" t="s">
        <v>0</v>
      </c>
      <c r="I52" s="40">
        <f>SUM(Impact4[[#This Row],[Impact on staff or public well-being]:[Environmental damage]])</f>
        <v>0</v>
      </c>
      <c r="M52" s="46"/>
    </row>
    <row r="53" spans="1:16" x14ac:dyDescent="0.25">
      <c r="A53" s="46"/>
      <c r="B53" s="40" t="s">
        <v>61</v>
      </c>
      <c r="C53" s="33" t="s">
        <v>0</v>
      </c>
      <c r="D53" s="33" t="s">
        <v>0</v>
      </c>
      <c r="E53" s="33" t="s">
        <v>0</v>
      </c>
      <c r="F53" s="33" t="s">
        <v>0</v>
      </c>
      <c r="G53" s="33" t="s">
        <v>0</v>
      </c>
      <c r="H53" s="33" t="s">
        <v>0</v>
      </c>
      <c r="I53" s="40">
        <f>SUM(Impact4[[#This Row],[Impact on staff or public well-being]:[Environmental damage]])</f>
        <v>0</v>
      </c>
      <c r="M53" s="46"/>
      <c r="N53" s="46"/>
      <c r="O53" s="46"/>
      <c r="P53" s="46"/>
    </row>
    <row r="54" spans="1:16" x14ac:dyDescent="0.25">
      <c r="A54" s="46"/>
      <c r="B54" s="40" t="s">
        <v>62</v>
      </c>
      <c r="C54" s="33" t="s">
        <v>0</v>
      </c>
      <c r="D54" s="33" t="s">
        <v>0</v>
      </c>
      <c r="E54" s="33" t="s">
        <v>0</v>
      </c>
      <c r="F54" s="33" t="s">
        <v>0</v>
      </c>
      <c r="G54" s="33" t="s">
        <v>0</v>
      </c>
      <c r="H54" s="33" t="s">
        <v>0</v>
      </c>
      <c r="I54" s="40">
        <f>SUM(Impact4[[#This Row],[Impact on staff or public well-being]:[Environmental damage]])</f>
        <v>0</v>
      </c>
      <c r="M54" s="45"/>
      <c r="N54" s="45"/>
      <c r="O54" s="46"/>
      <c r="P54" s="46"/>
    </row>
    <row r="55" spans="1:16" x14ac:dyDescent="0.25">
      <c r="A55" s="46"/>
      <c r="B55" s="40" t="s">
        <v>63</v>
      </c>
      <c r="C55" s="33" t="s">
        <v>0</v>
      </c>
      <c r="D55" s="33" t="s">
        <v>0</v>
      </c>
      <c r="E55" s="33" t="s">
        <v>0</v>
      </c>
      <c r="F55" s="33" t="s">
        <v>0</v>
      </c>
      <c r="G55" s="33" t="s">
        <v>0</v>
      </c>
      <c r="H55" s="33" t="s">
        <v>0</v>
      </c>
      <c r="I55" s="40">
        <f>SUM(Impact4[[#This Row],[Impact on staff or public well-being]:[Environmental damage]])</f>
        <v>0</v>
      </c>
      <c r="M55" s="45"/>
      <c r="N55" s="45"/>
      <c r="O55" s="46"/>
      <c r="P55" s="46"/>
    </row>
    <row r="56" spans="1:16" x14ac:dyDescent="0.25">
      <c r="A56" s="46"/>
      <c r="B56" s="40" t="s">
        <v>64</v>
      </c>
      <c r="C56" s="33" t="s">
        <v>0</v>
      </c>
      <c r="D56" s="33" t="s">
        <v>0</v>
      </c>
      <c r="E56" s="33" t="s">
        <v>0</v>
      </c>
      <c r="F56" s="33" t="s">
        <v>0</v>
      </c>
      <c r="G56" s="33" t="s">
        <v>0</v>
      </c>
      <c r="H56" s="33" t="s">
        <v>0</v>
      </c>
      <c r="I56" s="40">
        <f>SUM(Impact4[[#This Row],[Impact on staff or public well-being]:[Environmental damage]])</f>
        <v>0</v>
      </c>
      <c r="M56" s="45"/>
      <c r="N56" s="45"/>
      <c r="O56" s="46"/>
      <c r="P56" s="46"/>
    </row>
    <row r="57" spans="1:16" x14ac:dyDescent="0.25">
      <c r="B57" s="40" t="s">
        <v>65</v>
      </c>
      <c r="C57" s="33" t="s">
        <v>0</v>
      </c>
      <c r="D57" s="33" t="s">
        <v>0</v>
      </c>
      <c r="E57" s="33" t="s">
        <v>0</v>
      </c>
      <c r="F57" s="33" t="s">
        <v>0</v>
      </c>
      <c r="G57" s="33" t="s">
        <v>0</v>
      </c>
      <c r="H57" s="33" t="s">
        <v>0</v>
      </c>
      <c r="I57" s="40">
        <f>SUM(Impact4[[#This Row],[Impact on staff or public well-being]:[Environmental damage]])</f>
        <v>0</v>
      </c>
    </row>
    <row r="58" spans="1:16" x14ac:dyDescent="0.25">
      <c r="G58" s="50"/>
      <c r="H58" s="50"/>
      <c r="I58" s="50"/>
    </row>
    <row r="59" spans="1:16" x14ac:dyDescent="0.25">
      <c r="B59" s="41" t="s">
        <v>84</v>
      </c>
      <c r="F59" s="50"/>
      <c r="G59" s="64" t="s">
        <v>123</v>
      </c>
      <c r="H59" s="65" t="s">
        <v>125</v>
      </c>
      <c r="I59" s="66"/>
    </row>
    <row r="60" spans="1:16" x14ac:dyDescent="0.25">
      <c r="F60" s="50"/>
      <c r="G60" s="67" t="s">
        <v>124</v>
      </c>
      <c r="H60" s="68" t="s">
        <v>126</v>
      </c>
      <c r="I60" s="69"/>
    </row>
    <row r="63" spans="1:16" ht="21" customHeight="1" x14ac:dyDescent="0.25">
      <c r="B63" s="62" t="s">
        <v>78</v>
      </c>
      <c r="C63" s="62"/>
      <c r="D63" s="63" t="s">
        <v>129</v>
      </c>
      <c r="E63" s="62" t="str">
        <f>IF(ISBLANK(+'Key Business Activities'!C17),"[Business activity]",+'Key Business Activities'!C17)</f>
        <v>[Business activity]</v>
      </c>
      <c r="F63" s="62"/>
      <c r="G63" s="62"/>
      <c r="H63" s="62"/>
      <c r="I63" s="62"/>
    </row>
    <row r="64" spans="1:16" ht="30" x14ac:dyDescent="0.25">
      <c r="B64" s="40" t="s">
        <v>59</v>
      </c>
      <c r="C64" s="40" t="s">
        <v>67</v>
      </c>
      <c r="D64" s="40" t="s">
        <v>68</v>
      </c>
      <c r="E64" s="40" t="s">
        <v>69</v>
      </c>
      <c r="F64" s="40" t="s">
        <v>70</v>
      </c>
      <c r="G64" s="40" t="s">
        <v>71</v>
      </c>
      <c r="H64" s="40" t="s">
        <v>72</v>
      </c>
      <c r="I64" s="40" t="s">
        <v>73</v>
      </c>
    </row>
    <row r="65" spans="2:9" x14ac:dyDescent="0.25">
      <c r="B65" s="40" t="s">
        <v>60</v>
      </c>
      <c r="C65" s="33" t="s">
        <v>0</v>
      </c>
      <c r="D65" s="33" t="s">
        <v>0</v>
      </c>
      <c r="E65" s="33" t="s">
        <v>0</v>
      </c>
      <c r="F65" s="33" t="s">
        <v>0</v>
      </c>
      <c r="G65" s="33" t="s">
        <v>0</v>
      </c>
      <c r="H65" s="33" t="s">
        <v>0</v>
      </c>
      <c r="I65" s="40">
        <f>SUM(Impact5[[#This Row],[Impact on staff or public well-being]:[Environmental damage]])</f>
        <v>0</v>
      </c>
    </row>
    <row r="66" spans="2:9" x14ac:dyDescent="0.25">
      <c r="B66" s="40" t="s">
        <v>61</v>
      </c>
      <c r="C66" s="33" t="s">
        <v>0</v>
      </c>
      <c r="D66" s="33" t="s">
        <v>0</v>
      </c>
      <c r="E66" s="33" t="s">
        <v>0</v>
      </c>
      <c r="F66" s="33" t="s">
        <v>0</v>
      </c>
      <c r="G66" s="33" t="s">
        <v>0</v>
      </c>
      <c r="H66" s="33" t="s">
        <v>0</v>
      </c>
      <c r="I66" s="40">
        <f>SUM(Impact5[[#This Row],[Impact on staff or public well-being]:[Environmental damage]])</f>
        <v>0</v>
      </c>
    </row>
    <row r="67" spans="2:9" x14ac:dyDescent="0.25">
      <c r="B67" s="40" t="s">
        <v>62</v>
      </c>
      <c r="C67" s="33" t="s">
        <v>0</v>
      </c>
      <c r="D67" s="33" t="s">
        <v>0</v>
      </c>
      <c r="E67" s="33" t="s">
        <v>0</v>
      </c>
      <c r="F67" s="33" t="s">
        <v>0</v>
      </c>
      <c r="G67" s="33" t="s">
        <v>0</v>
      </c>
      <c r="H67" s="33" t="s">
        <v>0</v>
      </c>
      <c r="I67" s="40">
        <f>SUM(Impact5[[#This Row],[Impact on staff or public well-being]:[Environmental damage]])</f>
        <v>0</v>
      </c>
    </row>
    <row r="68" spans="2:9" x14ac:dyDescent="0.25">
      <c r="B68" s="40" t="s">
        <v>63</v>
      </c>
      <c r="C68" s="33" t="s">
        <v>0</v>
      </c>
      <c r="D68" s="33" t="s">
        <v>0</v>
      </c>
      <c r="E68" s="33" t="s">
        <v>0</v>
      </c>
      <c r="F68" s="33" t="s">
        <v>0</v>
      </c>
      <c r="G68" s="33" t="s">
        <v>0</v>
      </c>
      <c r="H68" s="33" t="s">
        <v>0</v>
      </c>
      <c r="I68" s="40">
        <f>SUM(Impact5[[#This Row],[Impact on staff or public well-being]:[Environmental damage]])</f>
        <v>0</v>
      </c>
    </row>
    <row r="69" spans="2:9" x14ac:dyDescent="0.25">
      <c r="B69" s="40" t="s">
        <v>64</v>
      </c>
      <c r="C69" s="33" t="s">
        <v>0</v>
      </c>
      <c r="D69" s="33" t="s">
        <v>0</v>
      </c>
      <c r="E69" s="33" t="s">
        <v>0</v>
      </c>
      <c r="F69" s="33" t="s">
        <v>0</v>
      </c>
      <c r="G69" s="33" t="s">
        <v>0</v>
      </c>
      <c r="H69" s="33" t="s">
        <v>0</v>
      </c>
      <c r="I69" s="40">
        <f>SUM(Impact5[[#This Row],[Impact on staff or public well-being]:[Environmental damage]])</f>
        <v>0</v>
      </c>
    </row>
    <row r="70" spans="2:9" x14ac:dyDescent="0.25">
      <c r="B70" s="40" t="s">
        <v>65</v>
      </c>
      <c r="C70" s="33" t="s">
        <v>0</v>
      </c>
      <c r="D70" s="33" t="s">
        <v>0</v>
      </c>
      <c r="E70" s="33" t="s">
        <v>0</v>
      </c>
      <c r="F70" s="33" t="s">
        <v>0</v>
      </c>
      <c r="G70" s="33" t="s">
        <v>0</v>
      </c>
      <c r="H70" s="33" t="s">
        <v>0</v>
      </c>
      <c r="I70" s="40">
        <f>SUM(Impact5[[#This Row],[Impact on staff or public well-being]:[Environmental damage]])</f>
        <v>0</v>
      </c>
    </row>
    <row r="71" spans="2:9" x14ac:dyDescent="0.25">
      <c r="G71" s="50"/>
      <c r="H71" s="50"/>
      <c r="I71" s="50"/>
    </row>
    <row r="72" spans="2:9" x14ac:dyDescent="0.25">
      <c r="B72" s="41" t="s">
        <v>84</v>
      </c>
      <c r="F72" s="50"/>
      <c r="G72" s="64" t="s">
        <v>123</v>
      </c>
      <c r="H72" s="65" t="s">
        <v>125</v>
      </c>
      <c r="I72" s="66"/>
    </row>
    <row r="73" spans="2:9" x14ac:dyDescent="0.25">
      <c r="F73" s="50"/>
      <c r="G73" s="67" t="s">
        <v>124</v>
      </c>
      <c r="H73" s="68" t="s">
        <v>126</v>
      </c>
      <c r="I73" s="69"/>
    </row>
    <row r="76" spans="2:9" ht="21" customHeight="1" x14ac:dyDescent="0.25">
      <c r="B76" s="62" t="s">
        <v>79</v>
      </c>
      <c r="C76" s="62"/>
      <c r="D76" s="63" t="s">
        <v>129</v>
      </c>
      <c r="E76" s="62" t="str">
        <f>IF(ISBLANK(+'Key Business Activities'!C18),"[Business activity]",+'Key Business Activities'!C18)</f>
        <v>[Business activity]</v>
      </c>
      <c r="F76" s="62"/>
      <c r="G76" s="62"/>
      <c r="H76" s="62"/>
      <c r="I76" s="62"/>
    </row>
    <row r="77" spans="2:9" ht="30" x14ac:dyDescent="0.25">
      <c r="B77" s="40" t="s">
        <v>59</v>
      </c>
      <c r="C77" s="40" t="s">
        <v>67</v>
      </c>
      <c r="D77" s="40" t="s">
        <v>68</v>
      </c>
      <c r="E77" s="40" t="s">
        <v>69</v>
      </c>
      <c r="F77" s="40" t="s">
        <v>70</v>
      </c>
      <c r="G77" s="40" t="s">
        <v>71</v>
      </c>
      <c r="H77" s="40" t="s">
        <v>72</v>
      </c>
      <c r="I77" s="40" t="s">
        <v>73</v>
      </c>
    </row>
    <row r="78" spans="2:9" x14ac:dyDescent="0.25">
      <c r="B78" s="40" t="s">
        <v>60</v>
      </c>
      <c r="C78" s="33" t="s">
        <v>0</v>
      </c>
      <c r="D78" s="33" t="s">
        <v>0</v>
      </c>
      <c r="E78" s="33" t="s">
        <v>0</v>
      </c>
      <c r="F78" s="33" t="s">
        <v>0</v>
      </c>
      <c r="G78" s="33" t="s">
        <v>0</v>
      </c>
      <c r="H78" s="33" t="s">
        <v>0</v>
      </c>
      <c r="I78" s="40">
        <f>SUM(Impact6[[#This Row],[Impact on staff or public well-being]:[Environmental damage]])</f>
        <v>0</v>
      </c>
    </row>
    <row r="79" spans="2:9" x14ac:dyDescent="0.25">
      <c r="B79" s="40" t="s">
        <v>61</v>
      </c>
      <c r="C79" s="33" t="s">
        <v>0</v>
      </c>
      <c r="D79" s="33" t="s">
        <v>0</v>
      </c>
      <c r="E79" s="33" t="s">
        <v>0</v>
      </c>
      <c r="F79" s="33" t="s">
        <v>0</v>
      </c>
      <c r="G79" s="33" t="s">
        <v>0</v>
      </c>
      <c r="H79" s="33" t="s">
        <v>0</v>
      </c>
      <c r="I79" s="40">
        <f>SUM(Impact6[[#This Row],[Impact on staff or public well-being]:[Environmental damage]])</f>
        <v>0</v>
      </c>
    </row>
    <row r="80" spans="2:9" x14ac:dyDescent="0.25">
      <c r="B80" s="40" t="s">
        <v>62</v>
      </c>
      <c r="C80" s="33" t="s">
        <v>0</v>
      </c>
      <c r="D80" s="33" t="s">
        <v>0</v>
      </c>
      <c r="E80" s="33" t="s">
        <v>0</v>
      </c>
      <c r="F80" s="33" t="s">
        <v>0</v>
      </c>
      <c r="G80" s="33" t="s">
        <v>0</v>
      </c>
      <c r="H80" s="33" t="s">
        <v>0</v>
      </c>
      <c r="I80" s="40">
        <f>SUM(Impact6[[#This Row],[Impact on staff or public well-being]:[Environmental damage]])</f>
        <v>0</v>
      </c>
    </row>
    <row r="81" spans="2:9" x14ac:dyDescent="0.25">
      <c r="B81" s="40" t="s">
        <v>63</v>
      </c>
      <c r="C81" s="33" t="s">
        <v>0</v>
      </c>
      <c r="D81" s="33" t="s">
        <v>0</v>
      </c>
      <c r="E81" s="33" t="s">
        <v>0</v>
      </c>
      <c r="F81" s="33" t="s">
        <v>0</v>
      </c>
      <c r="G81" s="33" t="s">
        <v>0</v>
      </c>
      <c r="H81" s="33" t="s">
        <v>0</v>
      </c>
      <c r="I81" s="40">
        <f>SUM(Impact6[[#This Row],[Impact on staff or public well-being]:[Environmental damage]])</f>
        <v>0</v>
      </c>
    </row>
    <row r="82" spans="2:9" x14ac:dyDescent="0.25">
      <c r="B82" s="40" t="s">
        <v>64</v>
      </c>
      <c r="C82" s="33" t="s">
        <v>0</v>
      </c>
      <c r="D82" s="33" t="s">
        <v>0</v>
      </c>
      <c r="E82" s="33" t="s">
        <v>0</v>
      </c>
      <c r="F82" s="33" t="s">
        <v>0</v>
      </c>
      <c r="G82" s="33" t="s">
        <v>0</v>
      </c>
      <c r="H82" s="33" t="s">
        <v>0</v>
      </c>
      <c r="I82" s="40">
        <f>SUM(Impact6[[#This Row],[Impact on staff or public well-being]:[Environmental damage]])</f>
        <v>0</v>
      </c>
    </row>
    <row r="83" spans="2:9" x14ac:dyDescent="0.25">
      <c r="B83" s="40" t="s">
        <v>65</v>
      </c>
      <c r="C83" s="33" t="s">
        <v>0</v>
      </c>
      <c r="D83" s="33" t="s">
        <v>0</v>
      </c>
      <c r="E83" s="33" t="s">
        <v>0</v>
      </c>
      <c r="F83" s="33" t="s">
        <v>0</v>
      </c>
      <c r="G83" s="33" t="s">
        <v>0</v>
      </c>
      <c r="H83" s="33" t="s">
        <v>0</v>
      </c>
      <c r="I83" s="40">
        <f>SUM(Impact6[[#This Row],[Impact on staff or public well-being]:[Environmental damage]])</f>
        <v>0</v>
      </c>
    </row>
    <row r="84" spans="2:9" x14ac:dyDescent="0.25">
      <c r="G84" s="50"/>
      <c r="H84" s="50"/>
      <c r="I84" s="50"/>
    </row>
    <row r="85" spans="2:9" x14ac:dyDescent="0.25">
      <c r="B85" s="41" t="s">
        <v>84</v>
      </c>
      <c r="F85" s="50"/>
      <c r="G85" s="64" t="s">
        <v>123</v>
      </c>
      <c r="H85" s="65" t="s">
        <v>125</v>
      </c>
      <c r="I85" s="66"/>
    </row>
    <row r="86" spans="2:9" x14ac:dyDescent="0.25">
      <c r="F86" s="50"/>
      <c r="G86" s="67" t="s">
        <v>124</v>
      </c>
      <c r="H86" s="68" t="s">
        <v>126</v>
      </c>
      <c r="I86" s="69"/>
    </row>
    <row r="89" spans="2:9" ht="21" customHeight="1" x14ac:dyDescent="0.25">
      <c r="B89" s="62" t="s">
        <v>80</v>
      </c>
      <c r="C89" s="62"/>
      <c r="D89" s="63" t="s">
        <v>129</v>
      </c>
      <c r="E89" s="62" t="str">
        <f>IF(ISBLANK(+'Key Business Activities'!C19),"[Business activity]",+'Key Business Activities'!C19)</f>
        <v>[Business activity]</v>
      </c>
      <c r="F89" s="62"/>
      <c r="G89" s="62"/>
      <c r="H89" s="62"/>
      <c r="I89" s="62"/>
    </row>
    <row r="90" spans="2:9" ht="30" x14ac:dyDescent="0.25">
      <c r="B90" s="40" t="s">
        <v>59</v>
      </c>
      <c r="C90" s="40" t="s">
        <v>67</v>
      </c>
      <c r="D90" s="40" t="s">
        <v>68</v>
      </c>
      <c r="E90" s="40" t="s">
        <v>69</v>
      </c>
      <c r="F90" s="40" t="s">
        <v>70</v>
      </c>
      <c r="G90" s="40" t="s">
        <v>71</v>
      </c>
      <c r="H90" s="40" t="s">
        <v>72</v>
      </c>
      <c r="I90" s="40" t="s">
        <v>73</v>
      </c>
    </row>
    <row r="91" spans="2:9" x14ac:dyDescent="0.25">
      <c r="B91" s="40" t="s">
        <v>60</v>
      </c>
      <c r="C91" s="33" t="s">
        <v>0</v>
      </c>
      <c r="D91" s="33" t="s">
        <v>0</v>
      </c>
      <c r="E91" s="33" t="s">
        <v>0</v>
      </c>
      <c r="F91" s="33" t="s">
        <v>0</v>
      </c>
      <c r="G91" s="33" t="s">
        <v>0</v>
      </c>
      <c r="H91" s="33" t="s">
        <v>0</v>
      </c>
      <c r="I91" s="40">
        <f>SUM(Impact7[[#This Row],[Impact on staff or public well-being]:[Environmental damage]])</f>
        <v>0</v>
      </c>
    </row>
    <row r="92" spans="2:9" x14ac:dyDescent="0.25">
      <c r="B92" s="40" t="s">
        <v>61</v>
      </c>
      <c r="C92" s="33" t="s">
        <v>0</v>
      </c>
      <c r="D92" s="33" t="s">
        <v>0</v>
      </c>
      <c r="E92" s="33" t="s">
        <v>0</v>
      </c>
      <c r="F92" s="33" t="s">
        <v>0</v>
      </c>
      <c r="G92" s="33" t="s">
        <v>0</v>
      </c>
      <c r="H92" s="33" t="s">
        <v>0</v>
      </c>
      <c r="I92" s="40">
        <f>SUM(Impact7[[#This Row],[Impact on staff or public well-being]:[Environmental damage]])</f>
        <v>0</v>
      </c>
    </row>
    <row r="93" spans="2:9" x14ac:dyDescent="0.25">
      <c r="B93" s="40" t="s">
        <v>62</v>
      </c>
      <c r="C93" s="33" t="s">
        <v>0</v>
      </c>
      <c r="D93" s="33" t="s">
        <v>0</v>
      </c>
      <c r="E93" s="33" t="s">
        <v>0</v>
      </c>
      <c r="F93" s="33" t="s">
        <v>0</v>
      </c>
      <c r="G93" s="33" t="s">
        <v>0</v>
      </c>
      <c r="H93" s="33" t="s">
        <v>0</v>
      </c>
      <c r="I93" s="40">
        <f>SUM(Impact7[[#This Row],[Impact on staff or public well-being]:[Environmental damage]])</f>
        <v>0</v>
      </c>
    </row>
    <row r="94" spans="2:9" x14ac:dyDescent="0.25">
      <c r="B94" s="40" t="s">
        <v>63</v>
      </c>
      <c r="C94" s="33" t="s">
        <v>0</v>
      </c>
      <c r="D94" s="33" t="s">
        <v>0</v>
      </c>
      <c r="E94" s="33" t="s">
        <v>0</v>
      </c>
      <c r="F94" s="33" t="s">
        <v>0</v>
      </c>
      <c r="G94" s="33" t="s">
        <v>0</v>
      </c>
      <c r="H94" s="33" t="s">
        <v>0</v>
      </c>
      <c r="I94" s="40">
        <f>SUM(Impact7[[#This Row],[Impact on staff or public well-being]:[Environmental damage]])</f>
        <v>0</v>
      </c>
    </row>
    <row r="95" spans="2:9" x14ac:dyDescent="0.25">
      <c r="B95" s="40" t="s">
        <v>64</v>
      </c>
      <c r="C95" s="33" t="s">
        <v>0</v>
      </c>
      <c r="D95" s="33" t="s">
        <v>0</v>
      </c>
      <c r="E95" s="33" t="s">
        <v>0</v>
      </c>
      <c r="F95" s="33" t="s">
        <v>0</v>
      </c>
      <c r="G95" s="33" t="s">
        <v>0</v>
      </c>
      <c r="H95" s="33" t="s">
        <v>0</v>
      </c>
      <c r="I95" s="40">
        <f>SUM(Impact7[[#This Row],[Impact on staff or public well-being]:[Environmental damage]])</f>
        <v>0</v>
      </c>
    </row>
    <row r="96" spans="2:9" x14ac:dyDescent="0.25">
      <c r="B96" s="40" t="s">
        <v>65</v>
      </c>
      <c r="C96" s="33" t="s">
        <v>0</v>
      </c>
      <c r="D96" s="33" t="s">
        <v>0</v>
      </c>
      <c r="E96" s="33" t="s">
        <v>0</v>
      </c>
      <c r="F96" s="33" t="s">
        <v>0</v>
      </c>
      <c r="G96" s="33" t="s">
        <v>0</v>
      </c>
      <c r="H96" s="33" t="s">
        <v>0</v>
      </c>
      <c r="I96" s="40">
        <f>SUM(Impact7[[#This Row],[Impact on staff or public well-being]:[Environmental damage]])</f>
        <v>0</v>
      </c>
    </row>
    <row r="97" spans="2:9" x14ac:dyDescent="0.25">
      <c r="G97" s="50"/>
      <c r="H97" s="50"/>
      <c r="I97" s="50"/>
    </row>
    <row r="98" spans="2:9" x14ac:dyDescent="0.25">
      <c r="B98" s="41" t="s">
        <v>84</v>
      </c>
      <c r="F98" s="50"/>
      <c r="G98" s="64" t="s">
        <v>123</v>
      </c>
      <c r="H98" s="65" t="s">
        <v>125</v>
      </c>
      <c r="I98" s="66"/>
    </row>
    <row r="99" spans="2:9" x14ac:dyDescent="0.25">
      <c r="F99" s="50"/>
      <c r="G99" s="67" t="s">
        <v>124</v>
      </c>
      <c r="H99" s="68" t="s">
        <v>126</v>
      </c>
      <c r="I99" s="69"/>
    </row>
    <row r="102" spans="2:9" ht="21" customHeight="1" x14ac:dyDescent="0.25">
      <c r="B102" s="62" t="s">
        <v>81</v>
      </c>
      <c r="C102" s="62"/>
      <c r="D102" s="63" t="s">
        <v>129</v>
      </c>
      <c r="E102" s="62" t="str">
        <f>IF(ISBLANK(+'Key Business Activities'!C20),"[Business activity]",+'Key Business Activities'!C20)</f>
        <v>[Business activity]</v>
      </c>
      <c r="F102" s="62"/>
      <c r="G102" s="62"/>
      <c r="H102" s="62"/>
      <c r="I102" s="62"/>
    </row>
    <row r="103" spans="2:9" ht="30" x14ac:dyDescent="0.25">
      <c r="B103" s="40" t="s">
        <v>59</v>
      </c>
      <c r="C103" s="40" t="s">
        <v>67</v>
      </c>
      <c r="D103" s="40" t="s">
        <v>68</v>
      </c>
      <c r="E103" s="40" t="s">
        <v>69</v>
      </c>
      <c r="F103" s="40" t="s">
        <v>70</v>
      </c>
      <c r="G103" s="40" t="s">
        <v>71</v>
      </c>
      <c r="H103" s="40" t="s">
        <v>72</v>
      </c>
      <c r="I103" s="40" t="s">
        <v>73</v>
      </c>
    </row>
    <row r="104" spans="2:9" x14ac:dyDescent="0.25">
      <c r="B104" s="40" t="s">
        <v>60</v>
      </c>
      <c r="C104" s="33" t="s">
        <v>0</v>
      </c>
      <c r="D104" s="33" t="s">
        <v>0</v>
      </c>
      <c r="E104" s="33" t="s">
        <v>0</v>
      </c>
      <c r="F104" s="33" t="s">
        <v>0</v>
      </c>
      <c r="G104" s="33" t="s">
        <v>0</v>
      </c>
      <c r="H104" s="33" t="s">
        <v>0</v>
      </c>
      <c r="I104" s="40">
        <f>SUM(Impact8[[#This Row],[Impact on staff or public well-being]:[Environmental damage]])</f>
        <v>0</v>
      </c>
    </row>
    <row r="105" spans="2:9" x14ac:dyDescent="0.25">
      <c r="B105" s="40" t="s">
        <v>61</v>
      </c>
      <c r="C105" s="33" t="s">
        <v>0</v>
      </c>
      <c r="D105" s="33" t="s">
        <v>0</v>
      </c>
      <c r="E105" s="33" t="s">
        <v>0</v>
      </c>
      <c r="F105" s="33" t="s">
        <v>0</v>
      </c>
      <c r="G105" s="33" t="s">
        <v>0</v>
      </c>
      <c r="H105" s="33" t="s">
        <v>0</v>
      </c>
      <c r="I105" s="40">
        <f>SUM(Impact8[[#This Row],[Impact on staff or public well-being]:[Environmental damage]])</f>
        <v>0</v>
      </c>
    </row>
    <row r="106" spans="2:9" x14ac:dyDescent="0.25">
      <c r="B106" s="40" t="s">
        <v>62</v>
      </c>
      <c r="C106" s="33" t="s">
        <v>0</v>
      </c>
      <c r="D106" s="33" t="s">
        <v>0</v>
      </c>
      <c r="E106" s="33" t="s">
        <v>0</v>
      </c>
      <c r="F106" s="33" t="s">
        <v>0</v>
      </c>
      <c r="G106" s="33" t="s">
        <v>0</v>
      </c>
      <c r="H106" s="33" t="s">
        <v>0</v>
      </c>
      <c r="I106" s="40">
        <f>SUM(Impact8[[#This Row],[Impact on staff or public well-being]:[Environmental damage]])</f>
        <v>0</v>
      </c>
    </row>
    <row r="107" spans="2:9" x14ac:dyDescent="0.25">
      <c r="B107" s="40" t="s">
        <v>63</v>
      </c>
      <c r="C107" s="33" t="s">
        <v>0</v>
      </c>
      <c r="D107" s="33" t="s">
        <v>0</v>
      </c>
      <c r="E107" s="33" t="s">
        <v>0</v>
      </c>
      <c r="F107" s="33" t="s">
        <v>0</v>
      </c>
      <c r="G107" s="33" t="s">
        <v>0</v>
      </c>
      <c r="H107" s="33" t="s">
        <v>0</v>
      </c>
      <c r="I107" s="40">
        <f>SUM(Impact8[[#This Row],[Impact on staff or public well-being]:[Environmental damage]])</f>
        <v>0</v>
      </c>
    </row>
    <row r="108" spans="2:9" x14ac:dyDescent="0.25">
      <c r="B108" s="40" t="s">
        <v>64</v>
      </c>
      <c r="C108" s="33" t="s">
        <v>0</v>
      </c>
      <c r="D108" s="33" t="s">
        <v>0</v>
      </c>
      <c r="E108" s="33" t="s">
        <v>0</v>
      </c>
      <c r="F108" s="33" t="s">
        <v>0</v>
      </c>
      <c r="G108" s="33" t="s">
        <v>0</v>
      </c>
      <c r="H108" s="33" t="s">
        <v>0</v>
      </c>
      <c r="I108" s="40">
        <f>SUM(Impact8[[#This Row],[Impact on staff or public well-being]:[Environmental damage]])</f>
        <v>0</v>
      </c>
    </row>
    <row r="109" spans="2:9" x14ac:dyDescent="0.25">
      <c r="B109" s="40" t="s">
        <v>65</v>
      </c>
      <c r="C109" s="33" t="s">
        <v>0</v>
      </c>
      <c r="D109" s="33" t="s">
        <v>0</v>
      </c>
      <c r="E109" s="33" t="s">
        <v>0</v>
      </c>
      <c r="F109" s="33" t="s">
        <v>0</v>
      </c>
      <c r="G109" s="33" t="s">
        <v>0</v>
      </c>
      <c r="H109" s="33" t="s">
        <v>0</v>
      </c>
      <c r="I109" s="40">
        <f>SUM(Impact8[[#This Row],[Impact on staff or public well-being]:[Environmental damage]])</f>
        <v>0</v>
      </c>
    </row>
    <row r="110" spans="2:9" x14ac:dyDescent="0.25">
      <c r="G110" s="50"/>
      <c r="H110" s="50"/>
      <c r="I110" s="50"/>
    </row>
    <row r="111" spans="2:9" x14ac:dyDescent="0.25">
      <c r="B111" s="41" t="s">
        <v>84</v>
      </c>
      <c r="F111" s="50"/>
      <c r="G111" s="64" t="s">
        <v>123</v>
      </c>
      <c r="H111" s="65" t="s">
        <v>125</v>
      </c>
      <c r="I111" s="66"/>
    </row>
    <row r="112" spans="2:9" x14ac:dyDescent="0.25">
      <c r="F112" s="50"/>
      <c r="G112" s="67" t="s">
        <v>124</v>
      </c>
      <c r="H112" s="68" t="s">
        <v>126</v>
      </c>
      <c r="I112" s="69"/>
    </row>
    <row r="115" spans="2:9" ht="21" customHeight="1" x14ac:dyDescent="0.25">
      <c r="B115" s="62" t="s">
        <v>82</v>
      </c>
      <c r="C115" s="62"/>
      <c r="D115" s="63" t="s">
        <v>129</v>
      </c>
      <c r="E115" s="62" t="str">
        <f>IF(ISBLANK(+'Key Business Activities'!C21),"[Business activity]",+'Key Business Activities'!C21)</f>
        <v>[Business activity]</v>
      </c>
      <c r="F115" s="62"/>
      <c r="G115" s="62"/>
      <c r="H115" s="62"/>
      <c r="I115" s="62"/>
    </row>
    <row r="116" spans="2:9" ht="30" x14ac:dyDescent="0.25">
      <c r="B116" s="40" t="s">
        <v>59</v>
      </c>
      <c r="C116" s="40" t="s">
        <v>67</v>
      </c>
      <c r="D116" s="40" t="s">
        <v>68</v>
      </c>
      <c r="E116" s="40" t="s">
        <v>69</v>
      </c>
      <c r="F116" s="40" t="s">
        <v>70</v>
      </c>
      <c r="G116" s="40" t="s">
        <v>71</v>
      </c>
      <c r="H116" s="40" t="s">
        <v>72</v>
      </c>
      <c r="I116" s="40" t="s">
        <v>73</v>
      </c>
    </row>
    <row r="117" spans="2:9" x14ac:dyDescent="0.25">
      <c r="B117" s="40" t="s">
        <v>60</v>
      </c>
      <c r="C117" s="33" t="s">
        <v>0</v>
      </c>
      <c r="D117" s="33" t="s">
        <v>0</v>
      </c>
      <c r="E117" s="33" t="s">
        <v>0</v>
      </c>
      <c r="F117" s="33" t="s">
        <v>0</v>
      </c>
      <c r="G117" s="33" t="s">
        <v>0</v>
      </c>
      <c r="H117" s="33" t="s">
        <v>0</v>
      </c>
      <c r="I117" s="40">
        <f>SUM(Impact9[[#This Row],[Impact on staff or public well-being]:[Environmental damage]])</f>
        <v>0</v>
      </c>
    </row>
    <row r="118" spans="2:9" x14ac:dyDescent="0.25">
      <c r="B118" s="40" t="s">
        <v>61</v>
      </c>
      <c r="C118" s="33" t="s">
        <v>0</v>
      </c>
      <c r="D118" s="33" t="s">
        <v>0</v>
      </c>
      <c r="E118" s="33" t="s">
        <v>0</v>
      </c>
      <c r="F118" s="33" t="s">
        <v>0</v>
      </c>
      <c r="G118" s="33" t="s">
        <v>0</v>
      </c>
      <c r="H118" s="33" t="s">
        <v>0</v>
      </c>
      <c r="I118" s="40">
        <f>SUM(Impact9[[#This Row],[Impact on staff or public well-being]:[Environmental damage]])</f>
        <v>0</v>
      </c>
    </row>
    <row r="119" spans="2:9" x14ac:dyDescent="0.25">
      <c r="B119" s="40" t="s">
        <v>62</v>
      </c>
      <c r="C119" s="33" t="s">
        <v>0</v>
      </c>
      <c r="D119" s="33" t="s">
        <v>0</v>
      </c>
      <c r="E119" s="33" t="s">
        <v>0</v>
      </c>
      <c r="F119" s="33" t="s">
        <v>0</v>
      </c>
      <c r="G119" s="33" t="s">
        <v>0</v>
      </c>
      <c r="H119" s="33" t="s">
        <v>0</v>
      </c>
      <c r="I119" s="40">
        <f>SUM(Impact9[[#This Row],[Impact on staff or public well-being]:[Environmental damage]])</f>
        <v>0</v>
      </c>
    </row>
    <row r="120" spans="2:9" x14ac:dyDescent="0.25">
      <c r="B120" s="40" t="s">
        <v>63</v>
      </c>
      <c r="C120" s="33" t="s">
        <v>0</v>
      </c>
      <c r="D120" s="33" t="s">
        <v>0</v>
      </c>
      <c r="E120" s="33" t="s">
        <v>0</v>
      </c>
      <c r="F120" s="33" t="s">
        <v>0</v>
      </c>
      <c r="G120" s="33" t="s">
        <v>0</v>
      </c>
      <c r="H120" s="33" t="s">
        <v>0</v>
      </c>
      <c r="I120" s="40">
        <f>SUM(Impact9[[#This Row],[Impact on staff or public well-being]:[Environmental damage]])</f>
        <v>0</v>
      </c>
    </row>
    <row r="121" spans="2:9" x14ac:dyDescent="0.25">
      <c r="B121" s="40" t="s">
        <v>64</v>
      </c>
      <c r="C121" s="33" t="s">
        <v>0</v>
      </c>
      <c r="D121" s="33" t="s">
        <v>0</v>
      </c>
      <c r="E121" s="33" t="s">
        <v>0</v>
      </c>
      <c r="F121" s="33" t="s">
        <v>0</v>
      </c>
      <c r="G121" s="33" t="s">
        <v>0</v>
      </c>
      <c r="H121" s="33" t="s">
        <v>0</v>
      </c>
      <c r="I121" s="40">
        <f>SUM(Impact9[[#This Row],[Impact on staff or public well-being]:[Environmental damage]])</f>
        <v>0</v>
      </c>
    </row>
    <row r="122" spans="2:9" x14ac:dyDescent="0.25">
      <c r="B122" s="40" t="s">
        <v>65</v>
      </c>
      <c r="C122" s="33" t="s">
        <v>0</v>
      </c>
      <c r="D122" s="33" t="s">
        <v>0</v>
      </c>
      <c r="E122" s="33" t="s">
        <v>0</v>
      </c>
      <c r="F122" s="33" t="s">
        <v>0</v>
      </c>
      <c r="G122" s="33" t="s">
        <v>0</v>
      </c>
      <c r="H122" s="33" t="s">
        <v>0</v>
      </c>
      <c r="I122" s="40">
        <f>SUM(Impact9[[#This Row],[Impact on staff or public well-being]:[Environmental damage]])</f>
        <v>0</v>
      </c>
    </row>
    <row r="123" spans="2:9" x14ac:dyDescent="0.25">
      <c r="B123" s="46"/>
      <c r="C123" s="46"/>
      <c r="D123" s="46"/>
      <c r="E123" s="46"/>
      <c r="G123" s="50"/>
      <c r="H123" s="50"/>
      <c r="I123" s="50"/>
    </row>
    <row r="124" spans="2:9" x14ac:dyDescent="0.25">
      <c r="B124" s="41" t="s">
        <v>84</v>
      </c>
      <c r="C124" s="46"/>
      <c r="D124" s="46"/>
      <c r="E124" s="46"/>
      <c r="F124" s="50"/>
      <c r="G124" s="64" t="s">
        <v>123</v>
      </c>
      <c r="H124" s="65" t="s">
        <v>125</v>
      </c>
      <c r="I124" s="66"/>
    </row>
    <row r="125" spans="2:9" x14ac:dyDescent="0.25">
      <c r="B125" s="46"/>
      <c r="C125" s="46"/>
      <c r="D125" s="46"/>
      <c r="E125" s="46"/>
      <c r="F125" s="50"/>
      <c r="G125" s="67" t="s">
        <v>124</v>
      </c>
      <c r="H125" s="68" t="s">
        <v>126</v>
      </c>
      <c r="I125" s="69"/>
    </row>
    <row r="126" spans="2:9" x14ac:dyDescent="0.25">
      <c r="B126" s="46"/>
      <c r="C126" s="46"/>
      <c r="D126" s="46"/>
      <c r="E126" s="46"/>
    </row>
    <row r="127" spans="2:9" x14ac:dyDescent="0.25">
      <c r="B127" s="46"/>
      <c r="C127" s="46"/>
      <c r="D127" s="46"/>
      <c r="E127" s="46"/>
      <c r="F127" s="46"/>
      <c r="G127" s="45"/>
      <c r="H127" s="45"/>
      <c r="I127" s="45"/>
    </row>
    <row r="128" spans="2:9" ht="21" customHeight="1" x14ac:dyDescent="0.25">
      <c r="B128" s="62" t="s">
        <v>83</v>
      </c>
      <c r="C128" s="62"/>
      <c r="D128" s="63" t="s">
        <v>129</v>
      </c>
      <c r="E128" s="62" t="str">
        <f>IF(ISBLANK(+'Key Business Activities'!C22),"[Business activity]",+'Key Business Activities'!C22)</f>
        <v>[Business activity]</v>
      </c>
      <c r="F128" s="62"/>
      <c r="G128" s="62"/>
      <c r="H128" s="62"/>
      <c r="I128" s="62"/>
    </row>
    <row r="129" spans="2:9" ht="30" x14ac:dyDescent="0.25">
      <c r="B129" s="40" t="s">
        <v>59</v>
      </c>
      <c r="C129" s="40" t="s">
        <v>67</v>
      </c>
      <c r="D129" s="40" t="s">
        <v>68</v>
      </c>
      <c r="E129" s="40" t="s">
        <v>69</v>
      </c>
      <c r="F129" s="40" t="s">
        <v>70</v>
      </c>
      <c r="G129" s="40" t="s">
        <v>71</v>
      </c>
      <c r="H129" s="40" t="s">
        <v>72</v>
      </c>
      <c r="I129" s="40" t="s">
        <v>73</v>
      </c>
    </row>
    <row r="130" spans="2:9" x14ac:dyDescent="0.25">
      <c r="B130" s="40" t="s">
        <v>60</v>
      </c>
      <c r="C130" s="33" t="s">
        <v>0</v>
      </c>
      <c r="D130" s="33" t="s">
        <v>0</v>
      </c>
      <c r="E130" s="33" t="s">
        <v>0</v>
      </c>
      <c r="F130" s="33" t="s">
        <v>0</v>
      </c>
      <c r="G130" s="33" t="s">
        <v>0</v>
      </c>
      <c r="H130" s="33" t="s">
        <v>0</v>
      </c>
      <c r="I130" s="40">
        <f>SUM(Impact10[[#This Row],[Impact on staff or public well-being]:[Environmental damage]])</f>
        <v>0</v>
      </c>
    </row>
    <row r="131" spans="2:9" x14ac:dyDescent="0.25">
      <c r="B131" s="40" t="s">
        <v>61</v>
      </c>
      <c r="C131" s="33" t="s">
        <v>0</v>
      </c>
      <c r="D131" s="33" t="s">
        <v>0</v>
      </c>
      <c r="E131" s="33" t="s">
        <v>0</v>
      </c>
      <c r="F131" s="33" t="s">
        <v>0</v>
      </c>
      <c r="G131" s="33" t="s">
        <v>0</v>
      </c>
      <c r="H131" s="33" t="s">
        <v>0</v>
      </c>
      <c r="I131" s="40">
        <f>SUM(Impact10[[#This Row],[Impact on staff or public well-being]:[Environmental damage]])</f>
        <v>0</v>
      </c>
    </row>
    <row r="132" spans="2:9" x14ac:dyDescent="0.25">
      <c r="B132" s="40" t="s">
        <v>62</v>
      </c>
      <c r="C132" s="33" t="s">
        <v>0</v>
      </c>
      <c r="D132" s="33" t="s">
        <v>0</v>
      </c>
      <c r="E132" s="33" t="s">
        <v>0</v>
      </c>
      <c r="F132" s="33" t="s">
        <v>0</v>
      </c>
      <c r="G132" s="33" t="s">
        <v>0</v>
      </c>
      <c r="H132" s="33" t="s">
        <v>0</v>
      </c>
      <c r="I132" s="40">
        <f>SUM(Impact10[[#This Row],[Impact on staff or public well-being]:[Environmental damage]])</f>
        <v>0</v>
      </c>
    </row>
    <row r="133" spans="2:9" x14ac:dyDescent="0.25">
      <c r="B133" s="40" t="s">
        <v>63</v>
      </c>
      <c r="C133" s="33" t="s">
        <v>0</v>
      </c>
      <c r="D133" s="33" t="s">
        <v>0</v>
      </c>
      <c r="E133" s="33" t="s">
        <v>0</v>
      </c>
      <c r="F133" s="33" t="s">
        <v>0</v>
      </c>
      <c r="G133" s="33" t="s">
        <v>0</v>
      </c>
      <c r="H133" s="33" t="s">
        <v>0</v>
      </c>
      <c r="I133" s="40">
        <f>SUM(Impact10[[#This Row],[Impact on staff or public well-being]:[Environmental damage]])</f>
        <v>0</v>
      </c>
    </row>
    <row r="134" spans="2:9" x14ac:dyDescent="0.25">
      <c r="B134" s="40" t="s">
        <v>64</v>
      </c>
      <c r="C134" s="33" t="s">
        <v>0</v>
      </c>
      <c r="D134" s="33" t="s">
        <v>0</v>
      </c>
      <c r="E134" s="33" t="s">
        <v>0</v>
      </c>
      <c r="F134" s="33" t="s">
        <v>0</v>
      </c>
      <c r="G134" s="33" t="s">
        <v>0</v>
      </c>
      <c r="H134" s="33" t="s">
        <v>0</v>
      </c>
      <c r="I134" s="40">
        <f>SUM(Impact10[[#This Row],[Impact on staff or public well-being]:[Environmental damage]])</f>
        <v>0</v>
      </c>
    </row>
    <row r="135" spans="2:9" x14ac:dyDescent="0.25">
      <c r="B135" s="40" t="s">
        <v>65</v>
      </c>
      <c r="C135" s="33" t="s">
        <v>0</v>
      </c>
      <c r="D135" s="33" t="s">
        <v>0</v>
      </c>
      <c r="E135" s="33" t="s">
        <v>0</v>
      </c>
      <c r="F135" s="33" t="s">
        <v>0</v>
      </c>
      <c r="G135" s="33" t="s">
        <v>0</v>
      </c>
      <c r="H135" s="33" t="s">
        <v>0</v>
      </c>
      <c r="I135" s="40">
        <f>SUM(Impact10[[#This Row],[Impact on staff or public well-being]:[Environmental damage]])</f>
        <v>0</v>
      </c>
    </row>
    <row r="136" spans="2:9" x14ac:dyDescent="0.25">
      <c r="G136" s="50"/>
      <c r="H136" s="50"/>
      <c r="I136" s="50"/>
    </row>
    <row r="137" spans="2:9" x14ac:dyDescent="0.25">
      <c r="B137" s="41" t="s">
        <v>84</v>
      </c>
      <c r="F137" s="50"/>
      <c r="G137" s="64" t="s">
        <v>123</v>
      </c>
      <c r="H137" s="65" t="s">
        <v>125</v>
      </c>
      <c r="I137" s="66"/>
    </row>
    <row r="138" spans="2:9" x14ac:dyDescent="0.25">
      <c r="F138" s="50"/>
      <c r="G138" s="67" t="s">
        <v>124</v>
      </c>
      <c r="H138" s="68" t="s">
        <v>126</v>
      </c>
      <c r="I138" s="69"/>
    </row>
    <row r="140" spans="2:9" x14ac:dyDescent="0.25">
      <c r="F140" s="46"/>
      <c r="G140" s="45"/>
      <c r="H140" s="45"/>
      <c r="I140" s="45"/>
    </row>
  </sheetData>
  <pageMargins left="0.23622047244094491" right="0.23622047244094491" top="0.39370078740157483" bottom="0.39370078740157483" header="0.31496062992125984" footer="0.31496062992125984"/>
  <pageSetup paperSize="9" scale="99" orientation="landscape" horizontalDpi="1200" verticalDpi="1200" r:id="rId1"/>
  <headerFooter>
    <oddFooter>&amp;L&amp;D&amp;CPage &amp;P of &amp;N</oddFooter>
  </headerFooter>
  <rowBreaks count="4" manualBreakCount="4">
    <brk id="34" max="16383" man="1"/>
    <brk id="61" max="16383" man="1"/>
    <brk id="87" max="16383" man="1"/>
    <brk id="113" max="16383" man="1"/>
  </rowBreaks>
  <drawing r:id="rId2"/>
  <tableParts count="10">
    <tablePart r:id="rId3"/>
    <tablePart r:id="rId4"/>
    <tablePart r:id="rId5"/>
    <tablePart r:id="rId6"/>
    <tablePart r:id="rId7"/>
    <tablePart r:id="rId8"/>
    <tablePart r:id="rId9"/>
    <tablePart r:id="rId10"/>
    <tablePart r:id="rId11"/>
    <tablePart r:id="rId12"/>
  </tableParts>
  <extLst>
    <ext xmlns:x14="http://schemas.microsoft.com/office/spreadsheetml/2009/9/main" uri="{CCE6A557-97BC-4b89-ADB6-D9C93CAAB3DF}">
      <x14:dataValidations xmlns:xm="http://schemas.microsoft.com/office/excel/2006/main" count="1">
        <x14:dataValidation type="list" allowBlank="1" showInputMessage="1" showErrorMessage="1" xr:uid="{824BD273-9288-4DDB-AAC6-4D41C2596FC8}">
          <x14:formula1>
            <xm:f>Tables!$A$2:$A$7</xm:f>
          </x14:formula1>
          <xm:sqref>C13:H18 C130:H135 C26:H31 C52:H57 C65:H70 C78:H83 C91:H96 C104:H109 C117:H122 C39:H44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70E02-2A38-4B70-8BE4-D0E25AC8885B}">
  <sheetPr>
    <pageSetUpPr fitToPage="1"/>
  </sheetPr>
  <dimension ref="A2:Q32"/>
  <sheetViews>
    <sheetView showGridLines="0" zoomScaleNormal="100" workbookViewId="0"/>
  </sheetViews>
  <sheetFormatPr defaultColWidth="9.140625" defaultRowHeight="15" x14ac:dyDescent="0.25"/>
  <cols>
    <col min="1" max="1" width="2.85546875" style="7" customWidth="1"/>
    <col min="2" max="2" width="5" style="7" customWidth="1"/>
    <col min="3" max="7" width="21.42578125" style="7" customWidth="1"/>
    <col min="8" max="8" width="9.140625" style="7"/>
    <col min="9" max="9" width="58.5703125" style="7" customWidth="1"/>
    <col min="10" max="16384" width="9.140625" style="7"/>
  </cols>
  <sheetData>
    <row r="2" spans="1:9" x14ac:dyDescent="0.25">
      <c r="B2" s="8"/>
    </row>
    <row r="3" spans="1:9" x14ac:dyDescent="0.25">
      <c r="B3" s="8"/>
    </row>
    <row r="4" spans="1:9" x14ac:dyDescent="0.25">
      <c r="B4" s="8"/>
    </row>
    <row r="5" spans="1:9" x14ac:dyDescent="0.25">
      <c r="B5" s="8"/>
    </row>
    <row r="6" spans="1:9" x14ac:dyDescent="0.25">
      <c r="B6" s="8"/>
    </row>
    <row r="8" spans="1:9" ht="21" x14ac:dyDescent="0.25">
      <c r="B8" s="21" t="s">
        <v>85</v>
      </c>
      <c r="I8" s="14"/>
    </row>
    <row r="9" spans="1:9" x14ac:dyDescent="0.25">
      <c r="B9" s="61" t="s">
        <v>140</v>
      </c>
    </row>
    <row r="10" spans="1:9" x14ac:dyDescent="0.25">
      <c r="B10" s="11"/>
      <c r="C10" s="11"/>
      <c r="D10" s="11"/>
      <c r="E10" s="11"/>
      <c r="F10" s="11"/>
      <c r="G10" s="11"/>
      <c r="H10" s="11"/>
      <c r="I10" s="11"/>
    </row>
    <row r="11" spans="1:9" ht="21" customHeight="1" x14ac:dyDescent="0.25">
      <c r="A11" s="1"/>
      <c r="B11" s="12" t="s">
        <v>90</v>
      </c>
      <c r="C11" s="12" t="s">
        <v>91</v>
      </c>
      <c r="D11" s="12" t="s">
        <v>86</v>
      </c>
      <c r="E11" s="12" t="s">
        <v>87</v>
      </c>
      <c r="F11" s="12" t="s">
        <v>88</v>
      </c>
      <c r="G11" s="12" t="s">
        <v>89</v>
      </c>
      <c r="I11" s="74" t="s">
        <v>139</v>
      </c>
    </row>
    <row r="12" spans="1:9" ht="30" x14ac:dyDescent="0.25">
      <c r="A12" s="1"/>
      <c r="B12" s="5" t="s">
        <v>34</v>
      </c>
      <c r="C12" s="5" t="str">
        <f>IF(ISBLANK(+'Key Business Activities'!C13),"[Business activity]",+'Key Business Activities'!C13)</f>
        <v>[Business activity]</v>
      </c>
      <c r="D12" s="33"/>
      <c r="E12" s="33"/>
      <c r="F12" s="33"/>
      <c r="G12" s="33"/>
      <c r="I12" s="75"/>
    </row>
    <row r="13" spans="1:9" ht="30" x14ac:dyDescent="0.25">
      <c r="A13" s="1"/>
      <c r="B13" s="5" t="s">
        <v>35</v>
      </c>
      <c r="C13" s="5" t="str">
        <f>IF(ISBLANK(+'Key Business Activities'!C14),"[Business activity]",+'Key Business Activities'!C14)</f>
        <v>[Business activity]</v>
      </c>
      <c r="D13" s="33"/>
      <c r="E13" s="33"/>
      <c r="F13" s="33"/>
      <c r="G13" s="33"/>
      <c r="I13" s="75"/>
    </row>
    <row r="14" spans="1:9" ht="30" x14ac:dyDescent="0.25">
      <c r="A14" s="1"/>
      <c r="B14" s="5" t="s">
        <v>36</v>
      </c>
      <c r="C14" s="5" t="str">
        <f>IF(ISBLANK(+'Key Business Activities'!C15),"[Business activity]",+'Key Business Activities'!C15)</f>
        <v>[Business activity]</v>
      </c>
      <c r="D14" s="33"/>
      <c r="E14" s="33"/>
      <c r="F14" s="33"/>
      <c r="G14" s="33"/>
      <c r="I14" s="75"/>
    </row>
    <row r="15" spans="1:9" ht="30" x14ac:dyDescent="0.25">
      <c r="A15" s="1"/>
      <c r="B15" s="5" t="s">
        <v>37</v>
      </c>
      <c r="C15" s="5" t="str">
        <f>IF(ISBLANK(+'Key Business Activities'!C16),"[Business activity]",+'Key Business Activities'!C16)</f>
        <v>[Business activity]</v>
      </c>
      <c r="D15" s="33"/>
      <c r="E15" s="33"/>
      <c r="F15" s="33"/>
      <c r="G15" s="33"/>
      <c r="I15" s="75"/>
    </row>
    <row r="16" spans="1:9" ht="30" x14ac:dyDescent="0.25">
      <c r="A16" s="1"/>
      <c r="B16" s="5" t="s">
        <v>38</v>
      </c>
      <c r="C16" s="5" t="str">
        <f>IF(ISBLANK(+'Key Business Activities'!C17),"[Business activity]",+'Key Business Activities'!C17)</f>
        <v>[Business activity]</v>
      </c>
      <c r="D16" s="33"/>
      <c r="E16" s="33"/>
      <c r="F16" s="33"/>
      <c r="G16" s="33"/>
      <c r="I16" s="75"/>
    </row>
    <row r="17" spans="1:17" ht="30" x14ac:dyDescent="0.25">
      <c r="A17" s="1"/>
      <c r="B17" s="5" t="s">
        <v>39</v>
      </c>
      <c r="C17" s="5" t="str">
        <f>IF(ISBLANK(+'Key Business Activities'!C18),"[Business activity]",+'Key Business Activities'!C18)</f>
        <v>[Business activity]</v>
      </c>
      <c r="D17" s="33"/>
      <c r="E17" s="33"/>
      <c r="F17" s="33"/>
      <c r="G17" s="33"/>
      <c r="I17" s="75"/>
      <c r="Q17" s="14"/>
    </row>
    <row r="18" spans="1:17" ht="30" x14ac:dyDescent="0.25">
      <c r="A18" s="1"/>
      <c r="B18" s="5" t="s">
        <v>40</v>
      </c>
      <c r="C18" s="5" t="str">
        <f>IF(ISBLANK(+'Key Business Activities'!C19),"[Business activity]",+'Key Business Activities'!C19)</f>
        <v>[Business activity]</v>
      </c>
      <c r="D18" s="33"/>
      <c r="E18" s="33"/>
      <c r="F18" s="33"/>
      <c r="G18" s="33"/>
      <c r="I18" s="75"/>
    </row>
    <row r="19" spans="1:17" ht="30" x14ac:dyDescent="0.25">
      <c r="A19" s="1"/>
      <c r="B19" s="5" t="s">
        <v>41</v>
      </c>
      <c r="C19" s="5" t="str">
        <f>IF(ISBLANK(+'Key Business Activities'!C20),"[Business activity]",+'Key Business Activities'!C20)</f>
        <v>[Business activity]</v>
      </c>
      <c r="D19" s="33"/>
      <c r="E19" s="33"/>
      <c r="F19" s="33"/>
      <c r="G19" s="33"/>
      <c r="I19" s="75"/>
    </row>
    <row r="20" spans="1:17" ht="30" x14ac:dyDescent="0.25">
      <c r="A20" s="1"/>
      <c r="B20" s="5" t="s">
        <v>42</v>
      </c>
      <c r="C20" s="5" t="str">
        <f>IF(ISBLANK(+'Key Business Activities'!C21),"[Business activity]",+'Key Business Activities'!C21)</f>
        <v>[Business activity]</v>
      </c>
      <c r="D20" s="33"/>
      <c r="E20" s="33"/>
      <c r="F20" s="33"/>
      <c r="G20" s="33"/>
      <c r="I20" s="75"/>
    </row>
    <row r="21" spans="1:17" ht="30" x14ac:dyDescent="0.25">
      <c r="A21" s="1"/>
      <c r="B21" s="5" t="s">
        <v>43</v>
      </c>
      <c r="C21" s="5" t="str">
        <f>IF(ISBLANK(+'Key Business Activities'!C22),"[Business activity]",+'Key Business Activities'!C22)</f>
        <v>[Business activity]</v>
      </c>
      <c r="D21" s="33"/>
      <c r="E21" s="33"/>
      <c r="F21" s="33"/>
      <c r="G21" s="33"/>
      <c r="I21" s="76"/>
    </row>
    <row r="22" spans="1:17" x14ac:dyDescent="0.25">
      <c r="A22" s="1"/>
      <c r="B22" s="1"/>
      <c r="C22" s="1"/>
      <c r="D22" s="1"/>
      <c r="E22" s="1"/>
      <c r="F22" s="1"/>
      <c r="G22" s="1"/>
    </row>
    <row r="23" spans="1:17" x14ac:dyDescent="0.25">
      <c r="A23" s="1"/>
      <c r="B23" s="17"/>
      <c r="D23" s="1"/>
    </row>
    <row r="24" spans="1:17" x14ac:dyDescent="0.25">
      <c r="A24" s="1"/>
      <c r="B24" s="17"/>
    </row>
    <row r="25" spans="1:17" x14ac:dyDescent="0.25">
      <c r="A25" s="1"/>
      <c r="B25" s="17"/>
    </row>
    <row r="26" spans="1:17" x14ac:dyDescent="0.25">
      <c r="A26" s="1"/>
      <c r="B26" s="17"/>
    </row>
    <row r="27" spans="1:17" x14ac:dyDescent="0.25">
      <c r="A27" s="1"/>
    </row>
    <row r="28" spans="1:17" x14ac:dyDescent="0.25">
      <c r="A28" s="1"/>
    </row>
    <row r="29" spans="1:17" x14ac:dyDescent="0.25">
      <c r="A29" s="1"/>
      <c r="H29" s="1"/>
      <c r="I29" s="1"/>
      <c r="J29" s="1"/>
    </row>
    <row r="30" spans="1:17" x14ac:dyDescent="0.25">
      <c r="A30" s="1"/>
      <c r="H30" s="4"/>
      <c r="I30" s="1"/>
      <c r="J30" s="1"/>
    </row>
    <row r="31" spans="1:17" x14ac:dyDescent="0.25">
      <c r="A31" s="1"/>
      <c r="H31" s="4"/>
      <c r="I31" s="1"/>
      <c r="J31" s="1"/>
    </row>
    <row r="32" spans="1:17" x14ac:dyDescent="0.25">
      <c r="A32" s="1"/>
      <c r="H32" s="4"/>
      <c r="I32" s="1"/>
      <c r="J32" s="1"/>
    </row>
  </sheetData>
  <mergeCells count="1">
    <mergeCell ref="I11:I21"/>
  </mergeCells>
  <phoneticPr fontId="12" type="noConversion"/>
  <pageMargins left="0.23622047244094491" right="0.23622047244094491" top="0.59055118110236227" bottom="0.59055118110236227" header="0.31496062992125984" footer="0.31496062992125984"/>
  <pageSetup paperSize="9" scale="79" orientation="landscape" horizontalDpi="1200" verticalDpi="1200" r:id="rId1"/>
  <headerFooter>
    <oddFooter>&amp;L&amp;D&amp;CPage &amp;P of &amp;N</oddFoot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F00BD-BA6F-44A0-BA07-7557D4EC98F6}">
  <sheetPr>
    <pageSetUpPr fitToPage="1"/>
  </sheetPr>
  <dimension ref="B2:P177"/>
  <sheetViews>
    <sheetView showGridLines="0" zoomScaleNormal="100" workbookViewId="0"/>
  </sheetViews>
  <sheetFormatPr defaultColWidth="9.140625" defaultRowHeight="15" x14ac:dyDescent="0.25"/>
  <cols>
    <col min="1" max="1" width="2.85546875" style="37" customWidth="1"/>
    <col min="2" max="2" width="40.140625" style="37" customWidth="1"/>
    <col min="3" max="3" width="22.140625" style="37" customWidth="1"/>
    <col min="4" max="6" width="21.42578125" style="37" customWidth="1"/>
    <col min="7" max="7" width="17.5703125" style="37" customWidth="1"/>
    <col min="8" max="9" width="21.42578125" style="37" customWidth="1"/>
    <col min="10" max="10" width="14.85546875" style="37" customWidth="1"/>
    <col min="11" max="11" width="19.5703125" style="37" customWidth="1"/>
    <col min="12" max="12" width="30.28515625" style="37" customWidth="1"/>
    <col min="13" max="16384" width="9.140625" style="37"/>
  </cols>
  <sheetData>
    <row r="2" spans="2:9" x14ac:dyDescent="0.25">
      <c r="B2" s="36"/>
    </row>
    <row r="3" spans="2:9" x14ac:dyDescent="0.25">
      <c r="B3" s="36"/>
    </row>
    <row r="4" spans="2:9" x14ac:dyDescent="0.25">
      <c r="B4" s="36"/>
    </row>
    <row r="5" spans="2:9" x14ac:dyDescent="0.25">
      <c r="B5" s="36"/>
    </row>
    <row r="6" spans="2:9" x14ac:dyDescent="0.25">
      <c r="B6" s="36"/>
    </row>
    <row r="8" spans="2:9" ht="21" x14ac:dyDescent="0.25">
      <c r="B8" s="38" t="s">
        <v>96</v>
      </c>
    </row>
    <row r="9" spans="2:9" x14ac:dyDescent="0.25">
      <c r="B9" s="41" t="s">
        <v>97</v>
      </c>
    </row>
    <row r="10" spans="2:9" x14ac:dyDescent="0.25">
      <c r="B10" s="41" t="s">
        <v>98</v>
      </c>
    </row>
    <row r="12" spans="2:9" ht="18.75" x14ac:dyDescent="0.25">
      <c r="B12" s="47" t="s">
        <v>99</v>
      </c>
    </row>
    <row r="14" spans="2:9" ht="21" customHeight="1" x14ac:dyDescent="0.25">
      <c r="B14" s="70" t="s">
        <v>102</v>
      </c>
      <c r="C14" s="70" t="s">
        <v>129</v>
      </c>
      <c r="D14" s="70" t="s">
        <v>130</v>
      </c>
      <c r="E14" s="70"/>
      <c r="F14" s="70"/>
      <c r="G14" s="70"/>
      <c r="H14" s="70"/>
      <c r="I14" s="70"/>
    </row>
    <row r="15" spans="2:9" ht="21" customHeight="1" x14ac:dyDescent="0.25">
      <c r="B15" s="44" t="s">
        <v>95</v>
      </c>
      <c r="C15" s="44" t="s">
        <v>93</v>
      </c>
      <c r="D15" s="44" t="s">
        <v>60</v>
      </c>
      <c r="E15" s="44" t="s">
        <v>61</v>
      </c>
      <c r="F15" s="44" t="s">
        <v>62</v>
      </c>
      <c r="G15" s="44" t="s">
        <v>63</v>
      </c>
      <c r="H15" s="44" t="s">
        <v>64</v>
      </c>
      <c r="I15" s="44" t="s">
        <v>65</v>
      </c>
    </row>
    <row r="16" spans="2:9" x14ac:dyDescent="0.25">
      <c r="B16" s="40" t="s">
        <v>1</v>
      </c>
      <c r="C16" s="33"/>
      <c r="D16" s="33"/>
      <c r="E16" s="33"/>
      <c r="F16" s="33"/>
      <c r="G16" s="33"/>
      <c r="H16" s="33"/>
      <c r="I16" s="33"/>
    </row>
    <row r="17" spans="2:9" x14ac:dyDescent="0.25">
      <c r="B17" s="40" t="s">
        <v>92</v>
      </c>
      <c r="C17" s="33"/>
      <c r="D17" s="33"/>
      <c r="E17" s="33"/>
      <c r="F17" s="33"/>
      <c r="G17" s="33"/>
      <c r="H17" s="33"/>
      <c r="I17" s="33"/>
    </row>
    <row r="18" spans="2:9" x14ac:dyDescent="0.25">
      <c r="B18" s="40" t="s">
        <v>49</v>
      </c>
      <c r="C18" s="33"/>
      <c r="D18" s="33"/>
      <c r="E18" s="33"/>
      <c r="F18" s="33"/>
      <c r="G18" s="33"/>
      <c r="H18" s="33"/>
      <c r="I18" s="33"/>
    </row>
    <row r="19" spans="2:9" x14ac:dyDescent="0.25">
      <c r="B19" s="40" t="s">
        <v>50</v>
      </c>
      <c r="C19" s="33"/>
      <c r="D19" s="33"/>
      <c r="E19" s="33"/>
      <c r="F19" s="33"/>
      <c r="G19" s="33"/>
      <c r="H19" s="33"/>
      <c r="I19" s="33"/>
    </row>
    <row r="20" spans="2:9" x14ac:dyDescent="0.25">
      <c r="B20" s="40" t="s">
        <v>51</v>
      </c>
      <c r="C20" s="33"/>
      <c r="D20" s="33"/>
      <c r="E20" s="33"/>
      <c r="F20" s="33"/>
      <c r="G20" s="33"/>
      <c r="H20" s="33"/>
      <c r="I20" s="33"/>
    </row>
    <row r="21" spans="2:9" x14ac:dyDescent="0.25">
      <c r="B21" s="40" t="s">
        <v>52</v>
      </c>
      <c r="C21" s="33"/>
      <c r="D21" s="33"/>
      <c r="E21" s="33"/>
      <c r="F21" s="33"/>
      <c r="G21" s="33"/>
      <c r="H21" s="33"/>
      <c r="I21" s="34"/>
    </row>
    <row r="22" spans="2:9" x14ac:dyDescent="0.25">
      <c r="B22" s="40" t="s">
        <v>53</v>
      </c>
      <c r="C22" s="33"/>
      <c r="D22" s="33"/>
      <c r="E22" s="33"/>
      <c r="F22" s="33"/>
      <c r="G22" s="33"/>
      <c r="H22" s="33"/>
      <c r="I22" s="34"/>
    </row>
    <row r="23" spans="2:9" x14ac:dyDescent="0.25">
      <c r="B23" s="40" t="s">
        <v>54</v>
      </c>
      <c r="C23" s="33"/>
      <c r="D23" s="33"/>
      <c r="E23" s="33"/>
      <c r="F23" s="33"/>
      <c r="G23" s="33"/>
      <c r="H23" s="33"/>
      <c r="I23" s="34"/>
    </row>
    <row r="24" spans="2:9" x14ac:dyDescent="0.25">
      <c r="G24" s="50"/>
      <c r="H24" s="50"/>
      <c r="I24" s="50"/>
    </row>
    <row r="25" spans="2:9" x14ac:dyDescent="0.25">
      <c r="F25" s="50"/>
      <c r="G25" s="64" t="s">
        <v>123</v>
      </c>
      <c r="H25" s="65" t="s">
        <v>125</v>
      </c>
      <c r="I25" s="66"/>
    </row>
    <row r="26" spans="2:9" x14ac:dyDescent="0.25">
      <c r="F26" s="50"/>
      <c r="G26" s="67" t="s">
        <v>124</v>
      </c>
      <c r="H26" s="68" t="s">
        <v>126</v>
      </c>
      <c r="I26" s="69"/>
    </row>
    <row r="27" spans="2:9" ht="18.75" x14ac:dyDescent="0.25">
      <c r="B27" s="47" t="s">
        <v>100</v>
      </c>
    </row>
    <row r="29" spans="2:9" ht="21" customHeight="1" x14ac:dyDescent="0.25">
      <c r="B29" s="71" t="s">
        <v>94</v>
      </c>
      <c r="C29" s="71" t="s">
        <v>129</v>
      </c>
      <c r="D29" s="71" t="str">
        <f>IF(ISBLANK(+'Key Business Activities'!C13),"[Business  activity]",+'Key Business Activities'!C13)</f>
        <v>[Business  activity]</v>
      </c>
      <c r="E29" s="71"/>
      <c r="F29" s="71"/>
      <c r="G29" s="71"/>
      <c r="H29" s="71"/>
      <c r="I29" s="71"/>
    </row>
    <row r="30" spans="2:9" ht="21" customHeight="1" x14ac:dyDescent="0.25">
      <c r="B30" s="48" t="s">
        <v>95</v>
      </c>
      <c r="C30" s="48" t="s">
        <v>93</v>
      </c>
      <c r="D30" s="48" t="s">
        <v>60</v>
      </c>
      <c r="E30" s="48" t="s">
        <v>61</v>
      </c>
      <c r="F30" s="48" t="s">
        <v>62</v>
      </c>
      <c r="G30" s="48" t="s">
        <v>63</v>
      </c>
      <c r="H30" s="48" t="s">
        <v>64</v>
      </c>
      <c r="I30" s="48" t="s">
        <v>65</v>
      </c>
    </row>
    <row r="31" spans="2:9" x14ac:dyDescent="0.25">
      <c r="B31" s="49" t="s">
        <v>1</v>
      </c>
      <c r="C31" s="49" t="str">
        <f>IF(ISBLANK(+'Key Business Activities'!D13),"[Normal Requirement]",+'Key Business Activities'!D13)</f>
        <v>[Normal Requirement]</v>
      </c>
      <c r="D31" s="35"/>
      <c r="E31" s="35"/>
      <c r="F31" s="35"/>
      <c r="G31" s="35"/>
      <c r="H31" s="35"/>
      <c r="I31" s="35"/>
    </row>
    <row r="32" spans="2:9" x14ac:dyDescent="0.25">
      <c r="B32" s="49" t="s">
        <v>92</v>
      </c>
      <c r="C32" s="49" t="str">
        <f>IF(ISBLANK(+'Key Business Activities'!E13),"[Normal Requirement]",+'Key Business Activities'!E13)</f>
        <v>[Normal Requirement]</v>
      </c>
      <c r="D32" s="35"/>
      <c r="E32" s="35"/>
      <c r="F32" s="35"/>
      <c r="G32" s="35"/>
      <c r="H32" s="35"/>
      <c r="I32" s="35"/>
    </row>
    <row r="33" spans="2:9" x14ac:dyDescent="0.25">
      <c r="B33" s="49" t="s">
        <v>49</v>
      </c>
      <c r="C33" s="49" t="str">
        <f>IF(ISBLANK(+'Key Business Activities'!F13),"[Normal Requirement]",+'Key Business Activities'!F13)</f>
        <v>[Normal Requirement]</v>
      </c>
      <c r="D33" s="35"/>
      <c r="E33" s="35"/>
      <c r="F33" s="35"/>
      <c r="G33" s="35"/>
      <c r="H33" s="35"/>
      <c r="I33" s="35"/>
    </row>
    <row r="34" spans="2:9" x14ac:dyDescent="0.25">
      <c r="B34" s="49" t="s">
        <v>50</v>
      </c>
      <c r="C34" s="49" t="str">
        <f>IF(ISBLANK(+'Key Business Activities'!G13),"[Normal Requirement]",+'Key Business Activities'!G13)</f>
        <v>[Normal Requirement]</v>
      </c>
      <c r="D34" s="35"/>
      <c r="E34" s="35"/>
      <c r="F34" s="35"/>
      <c r="G34" s="35"/>
      <c r="H34" s="35"/>
      <c r="I34" s="35"/>
    </row>
    <row r="35" spans="2:9" x14ac:dyDescent="0.25">
      <c r="B35" s="49" t="s">
        <v>51</v>
      </c>
      <c r="C35" s="49" t="str">
        <f>IF(ISBLANK(+'Key Business Activities'!H13),"[Normal Requirement]",+'Key Business Activities'!H13)</f>
        <v>[Normal Requirement]</v>
      </c>
      <c r="D35" s="35"/>
      <c r="E35" s="35"/>
      <c r="F35" s="35"/>
      <c r="G35" s="35"/>
      <c r="H35" s="35"/>
      <c r="I35" s="35"/>
    </row>
    <row r="36" spans="2:9" x14ac:dyDescent="0.25">
      <c r="B36" s="49" t="s">
        <v>52</v>
      </c>
      <c r="C36" s="49" t="str">
        <f>IF(ISBLANK(+'Key Business Activities'!I13),"[Normal Requirement]",+'Key Business Activities'!I13)</f>
        <v>[Normal Requirement]</v>
      </c>
      <c r="D36" s="35"/>
      <c r="E36" s="35"/>
      <c r="F36" s="35"/>
      <c r="G36" s="35"/>
      <c r="H36" s="35"/>
      <c r="I36" s="35"/>
    </row>
    <row r="37" spans="2:9" x14ac:dyDescent="0.25">
      <c r="B37" s="49" t="s">
        <v>53</v>
      </c>
      <c r="C37" s="49" t="str">
        <f>IF(ISBLANK(+'Key Business Activities'!J13),"[Normal Requirement]",+'Key Business Activities'!J13)</f>
        <v>[Normal Requirement]</v>
      </c>
      <c r="D37" s="35"/>
      <c r="E37" s="35"/>
      <c r="F37" s="35"/>
      <c r="G37" s="35"/>
      <c r="H37" s="35"/>
      <c r="I37" s="35"/>
    </row>
    <row r="38" spans="2:9" x14ac:dyDescent="0.25">
      <c r="B38" s="49" t="s">
        <v>54</v>
      </c>
      <c r="C38" s="49" t="str">
        <f>IF(ISBLANK(+'Key Business Activities'!K13),"[Normal Requirement]",+'Key Business Activities'!K13)</f>
        <v>[Normal Requirement]</v>
      </c>
      <c r="D38" s="35"/>
      <c r="E38" s="35"/>
      <c r="F38" s="35"/>
      <c r="G38" s="35"/>
      <c r="H38" s="35"/>
      <c r="I38" s="35"/>
    </row>
    <row r="39" spans="2:9" x14ac:dyDescent="0.25">
      <c r="G39" s="50"/>
      <c r="H39" s="50"/>
      <c r="I39" s="50"/>
    </row>
    <row r="40" spans="2:9" x14ac:dyDescent="0.25">
      <c r="G40" s="64" t="s">
        <v>127</v>
      </c>
      <c r="H40" s="72" t="str">
        <f>IF(ISBLANK(+'Key Targets'!E12),"[RTO]",+'Key Targets'!E12)</f>
        <v>[RTO]</v>
      </c>
      <c r="I40" s="66"/>
    </row>
    <row r="41" spans="2:9" x14ac:dyDescent="0.25">
      <c r="G41" s="67" t="s">
        <v>128</v>
      </c>
      <c r="H41" s="73" t="str">
        <f>IF(ISBLANK(+'Key Targets'!F12),"[MBCO]",+'Key Targets'!F12)</f>
        <v>[MBCO]</v>
      </c>
      <c r="I41" s="69"/>
    </row>
    <row r="42" spans="2:9" x14ac:dyDescent="0.25">
      <c r="H42" s="42"/>
      <c r="I42" s="50"/>
    </row>
    <row r="44" spans="2:9" ht="21" customHeight="1" x14ac:dyDescent="0.25">
      <c r="B44" s="70" t="s">
        <v>101</v>
      </c>
      <c r="C44" s="71" t="s">
        <v>129</v>
      </c>
      <c r="D44" s="71" t="str">
        <f>IF(ISBLANK(+'Key Business Activities'!C14),"[Business activity]",+'Key Business Activities'!C14)</f>
        <v>[Business activity]</v>
      </c>
      <c r="E44" s="70"/>
      <c r="F44" s="70"/>
      <c r="G44" s="70"/>
      <c r="H44" s="70"/>
      <c r="I44" s="70"/>
    </row>
    <row r="45" spans="2:9" ht="21" customHeight="1" x14ac:dyDescent="0.25">
      <c r="B45" s="44" t="s">
        <v>95</v>
      </c>
      <c r="C45" s="44" t="s">
        <v>93</v>
      </c>
      <c r="D45" s="44" t="s">
        <v>60</v>
      </c>
      <c r="E45" s="44" t="s">
        <v>61</v>
      </c>
      <c r="F45" s="44" t="s">
        <v>62</v>
      </c>
      <c r="G45" s="44" t="s">
        <v>63</v>
      </c>
      <c r="H45" s="44" t="s">
        <v>64</v>
      </c>
      <c r="I45" s="44" t="s">
        <v>65</v>
      </c>
    </row>
    <row r="46" spans="2:9" x14ac:dyDescent="0.25">
      <c r="B46" s="40" t="s">
        <v>1</v>
      </c>
      <c r="C46" s="49" t="str">
        <f>IF(ISBLANK(+'Key Business Activities'!D14),"[Normal Requirement]",+'Key Business Activities'!D14)</f>
        <v>[Normal Requirement]</v>
      </c>
      <c r="D46" s="33"/>
      <c r="E46" s="33"/>
      <c r="F46" s="33"/>
      <c r="G46" s="33"/>
      <c r="H46" s="33"/>
      <c r="I46" s="33"/>
    </row>
    <row r="47" spans="2:9" x14ac:dyDescent="0.25">
      <c r="B47" s="40" t="s">
        <v>92</v>
      </c>
      <c r="C47" s="49" t="str">
        <f>IF(ISBLANK(+'Key Business Activities'!E14),"[Normal Requirement]",+'Key Business Activities'!E14)</f>
        <v>[Normal Requirement]</v>
      </c>
      <c r="D47" s="33"/>
      <c r="E47" s="33"/>
      <c r="F47" s="33"/>
      <c r="G47" s="33"/>
      <c r="H47" s="33"/>
      <c r="I47" s="33"/>
    </row>
    <row r="48" spans="2:9" x14ac:dyDescent="0.25">
      <c r="B48" s="40" t="s">
        <v>49</v>
      </c>
      <c r="C48" s="49" t="str">
        <f>IF(ISBLANK(+'Key Business Activities'!F14),"[Normal Requirement]",+'Key Business Activities'!F14)</f>
        <v>[Normal Requirement]</v>
      </c>
      <c r="D48" s="33"/>
      <c r="E48" s="33"/>
      <c r="F48" s="33"/>
      <c r="G48" s="33"/>
      <c r="H48" s="33"/>
      <c r="I48" s="33"/>
    </row>
    <row r="49" spans="2:9" x14ac:dyDescent="0.25">
      <c r="B49" s="40" t="s">
        <v>50</v>
      </c>
      <c r="C49" s="49" t="str">
        <f>IF(ISBLANK(+'Key Business Activities'!G14),"[Normal Requirement]",+'Key Business Activities'!G14)</f>
        <v>[Normal Requirement]</v>
      </c>
      <c r="D49" s="33"/>
      <c r="E49" s="33"/>
      <c r="F49" s="33"/>
      <c r="G49" s="33"/>
      <c r="H49" s="33"/>
      <c r="I49" s="33"/>
    </row>
    <row r="50" spans="2:9" x14ac:dyDescent="0.25">
      <c r="B50" s="40" t="s">
        <v>51</v>
      </c>
      <c r="C50" s="49" t="str">
        <f>IF(ISBLANK(+'Key Business Activities'!H14),"[Normal Requirement]",+'Key Business Activities'!H14)</f>
        <v>[Normal Requirement]</v>
      </c>
      <c r="D50" s="33"/>
      <c r="E50" s="33"/>
      <c r="F50" s="33"/>
      <c r="G50" s="33"/>
      <c r="H50" s="33"/>
      <c r="I50" s="33"/>
    </row>
    <row r="51" spans="2:9" x14ac:dyDescent="0.25">
      <c r="B51" s="40" t="s">
        <v>52</v>
      </c>
      <c r="C51" s="49" t="str">
        <f>IF(ISBLANK(+'Key Business Activities'!I14),"[Normal Requirement]",+'Key Business Activities'!I14)</f>
        <v>[Normal Requirement]</v>
      </c>
      <c r="D51" s="33"/>
      <c r="E51" s="33"/>
      <c r="F51" s="33"/>
      <c r="G51" s="33"/>
      <c r="H51" s="33"/>
      <c r="I51" s="34"/>
    </row>
    <row r="52" spans="2:9" x14ac:dyDescent="0.25">
      <c r="B52" s="40" t="s">
        <v>53</v>
      </c>
      <c r="C52" s="49" t="str">
        <f>IF(ISBLANK(+'Key Business Activities'!J14),"[Normal Requirement]",+'Key Business Activities'!J14)</f>
        <v>[Normal Requirement]</v>
      </c>
      <c r="D52" s="33"/>
      <c r="E52" s="33"/>
      <c r="F52" s="33"/>
      <c r="G52" s="33"/>
      <c r="H52" s="33"/>
      <c r="I52" s="34"/>
    </row>
    <row r="53" spans="2:9" x14ac:dyDescent="0.25">
      <c r="B53" s="40" t="s">
        <v>54</v>
      </c>
      <c r="C53" s="49" t="str">
        <f>IF(ISBLANK(+'Key Business Activities'!K14),"[Normal Requirement]",+'Key Business Activities'!K14)</f>
        <v>[Normal Requirement]</v>
      </c>
      <c r="D53" s="33"/>
      <c r="E53" s="33"/>
      <c r="F53" s="33"/>
      <c r="G53" s="33"/>
      <c r="H53" s="33"/>
      <c r="I53" s="34"/>
    </row>
    <row r="54" spans="2:9" x14ac:dyDescent="0.25">
      <c r="G54" s="50"/>
      <c r="H54" s="50"/>
      <c r="I54" s="50"/>
    </row>
    <row r="55" spans="2:9" x14ac:dyDescent="0.25">
      <c r="G55" s="64" t="s">
        <v>127</v>
      </c>
      <c r="H55" s="72" t="str">
        <f>IF(ISBLANK(+'Key Targets'!E13),"[RTO]",+'Key Targets'!E13)</f>
        <v>[RTO]</v>
      </c>
      <c r="I55" s="66"/>
    </row>
    <row r="56" spans="2:9" x14ac:dyDescent="0.25">
      <c r="G56" s="67" t="s">
        <v>128</v>
      </c>
      <c r="H56" s="73" t="str">
        <f>IF(ISBLANK(+'Key Targets'!F13),"[MBCO]",+'Key Targets'!F13)</f>
        <v>[MBCO]</v>
      </c>
      <c r="I56" s="69"/>
    </row>
    <row r="57" spans="2:9" x14ac:dyDescent="0.25">
      <c r="H57" s="42"/>
      <c r="I57" s="50"/>
    </row>
    <row r="59" spans="2:9" ht="21" customHeight="1" x14ac:dyDescent="0.25">
      <c r="B59" s="70" t="s">
        <v>106</v>
      </c>
      <c r="C59" s="71" t="s">
        <v>129</v>
      </c>
      <c r="D59" s="71" t="str">
        <f>IF(ISBLANK(+'Key Business Activities'!C15),"[Business activity]",+'Key Business Activities'!C15)</f>
        <v>[Business activity]</v>
      </c>
      <c r="E59" s="70"/>
      <c r="F59" s="70"/>
      <c r="G59" s="70"/>
      <c r="H59" s="70"/>
      <c r="I59" s="70"/>
    </row>
    <row r="60" spans="2:9" ht="21" customHeight="1" x14ac:dyDescent="0.25">
      <c r="B60" s="44" t="s">
        <v>95</v>
      </c>
      <c r="C60" s="44" t="s">
        <v>93</v>
      </c>
      <c r="D60" s="44" t="s">
        <v>60</v>
      </c>
      <c r="E60" s="44" t="s">
        <v>61</v>
      </c>
      <c r="F60" s="44" t="s">
        <v>62</v>
      </c>
      <c r="G60" s="44" t="s">
        <v>63</v>
      </c>
      <c r="H60" s="44" t="s">
        <v>64</v>
      </c>
      <c r="I60" s="44" t="s">
        <v>65</v>
      </c>
    </row>
    <row r="61" spans="2:9" x14ac:dyDescent="0.25">
      <c r="B61" s="40" t="s">
        <v>1</v>
      </c>
      <c r="C61" s="49" t="str">
        <f>IF(ISBLANK(+'Key Business Activities'!D15),"[Normal Requirement]",+'Key Business Activities'!D15)</f>
        <v>[Normal Requirement]</v>
      </c>
      <c r="D61" s="33"/>
      <c r="E61" s="33"/>
      <c r="F61" s="33"/>
      <c r="G61" s="33"/>
      <c r="H61" s="33"/>
      <c r="I61" s="33"/>
    </row>
    <row r="62" spans="2:9" x14ac:dyDescent="0.25">
      <c r="B62" s="40" t="s">
        <v>92</v>
      </c>
      <c r="C62" s="49" t="str">
        <f>IF(ISBLANK(+'Key Business Activities'!E15),"[Normal Requirement]",+'Key Business Activities'!E15)</f>
        <v>[Normal Requirement]</v>
      </c>
      <c r="D62" s="33"/>
      <c r="E62" s="33"/>
      <c r="F62" s="33"/>
      <c r="G62" s="33"/>
      <c r="H62" s="33"/>
      <c r="I62" s="33"/>
    </row>
    <row r="63" spans="2:9" x14ac:dyDescent="0.25">
      <c r="B63" s="40" t="s">
        <v>49</v>
      </c>
      <c r="C63" s="49" t="str">
        <f>IF(ISBLANK(+'Key Business Activities'!F15),"[Normal Requirement]",+'Key Business Activities'!F15)</f>
        <v>[Normal Requirement]</v>
      </c>
      <c r="D63" s="33"/>
      <c r="E63" s="33"/>
      <c r="F63" s="33"/>
      <c r="G63" s="33"/>
      <c r="H63" s="33"/>
      <c r="I63" s="33"/>
    </row>
    <row r="64" spans="2:9" x14ac:dyDescent="0.25">
      <c r="B64" s="40" t="s">
        <v>50</v>
      </c>
      <c r="C64" s="49" t="str">
        <f>IF(ISBLANK(+'Key Business Activities'!G15),"[Normal Requirement]",+'Key Business Activities'!G15)</f>
        <v>[Normal Requirement]</v>
      </c>
      <c r="D64" s="33"/>
      <c r="E64" s="33"/>
      <c r="F64" s="33"/>
      <c r="G64" s="33"/>
      <c r="H64" s="33"/>
      <c r="I64" s="33"/>
    </row>
    <row r="65" spans="2:16" x14ac:dyDescent="0.25">
      <c r="B65" s="40" t="s">
        <v>51</v>
      </c>
      <c r="C65" s="49" t="str">
        <f>IF(ISBLANK(+'Key Business Activities'!H15),"[Normal Requirement]",+'Key Business Activities'!H15)</f>
        <v>[Normal Requirement]</v>
      </c>
      <c r="D65" s="33"/>
      <c r="E65" s="33"/>
      <c r="F65" s="33"/>
      <c r="G65" s="33"/>
      <c r="H65" s="33"/>
      <c r="I65" s="33"/>
    </row>
    <row r="66" spans="2:16" x14ac:dyDescent="0.25">
      <c r="B66" s="40" t="s">
        <v>52</v>
      </c>
      <c r="C66" s="49" t="str">
        <f>IF(ISBLANK(+'Key Business Activities'!I15),"[Normal Requirement]",+'Key Business Activities'!I15)</f>
        <v>[Normal Requirement]</v>
      </c>
      <c r="D66" s="33"/>
      <c r="E66" s="33"/>
      <c r="F66" s="33"/>
      <c r="G66" s="33"/>
      <c r="H66" s="33"/>
      <c r="I66" s="34"/>
    </row>
    <row r="67" spans="2:16" x14ac:dyDescent="0.25">
      <c r="B67" s="40" t="s">
        <v>53</v>
      </c>
      <c r="C67" s="49" t="str">
        <f>IF(ISBLANK(+'Key Business Activities'!J15),"[Normal Requirement]",+'Key Business Activities'!J15)</f>
        <v>[Normal Requirement]</v>
      </c>
      <c r="D67" s="33"/>
      <c r="E67" s="33"/>
      <c r="F67" s="33"/>
      <c r="G67" s="33"/>
      <c r="H67" s="33"/>
      <c r="I67" s="34"/>
      <c r="P67" s="46"/>
    </row>
    <row r="68" spans="2:16" x14ac:dyDescent="0.25">
      <c r="B68" s="40" t="s">
        <v>54</v>
      </c>
      <c r="C68" s="49" t="str">
        <f>IF(ISBLANK(+'Key Business Activities'!K15),"[Normal Requirement]",+'Key Business Activities'!K15)</f>
        <v>[Normal Requirement]</v>
      </c>
      <c r="D68" s="33"/>
      <c r="E68" s="33"/>
      <c r="F68" s="33"/>
      <c r="G68" s="33"/>
      <c r="H68" s="33"/>
      <c r="I68" s="34"/>
      <c r="P68" s="46"/>
    </row>
    <row r="69" spans="2:16" x14ac:dyDescent="0.25">
      <c r="G69" s="50"/>
      <c r="H69" s="50"/>
      <c r="I69" s="50"/>
      <c r="P69" s="46"/>
    </row>
    <row r="70" spans="2:16" x14ac:dyDescent="0.25">
      <c r="G70" s="64" t="s">
        <v>127</v>
      </c>
      <c r="H70" s="72" t="str">
        <f>IF(ISBLANK(+'Key Targets'!E14),"[RTO]",+'Key Targets'!E14)</f>
        <v>[RTO]</v>
      </c>
      <c r="I70" s="66"/>
      <c r="P70" s="46"/>
    </row>
    <row r="71" spans="2:16" x14ac:dyDescent="0.25">
      <c r="G71" s="67" t="s">
        <v>128</v>
      </c>
      <c r="H71" s="73" t="str">
        <f>IF(ISBLANK(+'Key Targets'!F14),"[MBCO]",+'Key Targets'!F14)</f>
        <v>[MBCO]</v>
      </c>
      <c r="I71" s="69"/>
      <c r="P71" s="46"/>
    </row>
    <row r="72" spans="2:16" x14ac:dyDescent="0.25">
      <c r="H72" s="42"/>
      <c r="I72" s="50"/>
    </row>
    <row r="74" spans="2:16" ht="21" customHeight="1" x14ac:dyDescent="0.25">
      <c r="B74" s="70" t="s">
        <v>107</v>
      </c>
      <c r="C74" s="71" t="s">
        <v>129</v>
      </c>
      <c r="D74" s="71" t="str">
        <f>IF(ISBLANK(+'Key Business Activities'!C16),"[Business activity]",+'Key Business Activities'!C16)</f>
        <v>[Business activity]</v>
      </c>
      <c r="E74" s="70"/>
      <c r="F74" s="70"/>
      <c r="G74" s="70"/>
      <c r="H74" s="70"/>
      <c r="I74" s="70"/>
    </row>
    <row r="75" spans="2:16" ht="21" customHeight="1" x14ac:dyDescent="0.25">
      <c r="B75" s="44" t="s">
        <v>95</v>
      </c>
      <c r="C75" s="44" t="s">
        <v>93</v>
      </c>
      <c r="D75" s="44" t="s">
        <v>60</v>
      </c>
      <c r="E75" s="44" t="s">
        <v>61</v>
      </c>
      <c r="F75" s="44" t="s">
        <v>62</v>
      </c>
      <c r="G75" s="44" t="s">
        <v>63</v>
      </c>
      <c r="H75" s="44" t="s">
        <v>64</v>
      </c>
      <c r="I75" s="44" t="s">
        <v>65</v>
      </c>
    </row>
    <row r="76" spans="2:16" x14ac:dyDescent="0.25">
      <c r="B76" s="40" t="s">
        <v>1</v>
      </c>
      <c r="C76" s="49" t="str">
        <f>IF(ISBLANK(+'Key Business Activities'!D16),"[Normal Requirement]",+'Key Business Activities'!D16)</f>
        <v>[Normal Requirement]</v>
      </c>
      <c r="D76" s="33"/>
      <c r="E76" s="33"/>
      <c r="F76" s="33"/>
      <c r="G76" s="33"/>
      <c r="H76" s="33"/>
      <c r="I76" s="33"/>
    </row>
    <row r="77" spans="2:16" x14ac:dyDescent="0.25">
      <c r="B77" s="40" t="s">
        <v>92</v>
      </c>
      <c r="C77" s="49" t="str">
        <f>IF(ISBLANK(+'Key Business Activities'!E16),"[Normal Requirement]",+'Key Business Activities'!E16)</f>
        <v>[Normal Requirement]</v>
      </c>
      <c r="D77" s="33"/>
      <c r="E77" s="33"/>
      <c r="F77" s="33"/>
      <c r="G77" s="33"/>
      <c r="H77" s="33"/>
      <c r="I77" s="33"/>
    </row>
    <row r="78" spans="2:16" x14ac:dyDescent="0.25">
      <c r="B78" s="40" t="s">
        <v>49</v>
      </c>
      <c r="C78" s="49" t="str">
        <f>IF(ISBLANK(+'Key Business Activities'!F16),"[Normal Requirement]",+'Key Business Activities'!F16)</f>
        <v>[Normal Requirement]</v>
      </c>
      <c r="D78" s="33"/>
      <c r="E78" s="33"/>
      <c r="F78" s="33"/>
      <c r="G78" s="33"/>
      <c r="H78" s="33"/>
      <c r="I78" s="33"/>
    </row>
    <row r="79" spans="2:16" x14ac:dyDescent="0.25">
      <c r="B79" s="40" t="s">
        <v>50</v>
      </c>
      <c r="C79" s="49" t="str">
        <f>IF(ISBLANK(+'Key Business Activities'!G16),"[Normal Requirement]",+'Key Business Activities'!G16)</f>
        <v>[Normal Requirement]</v>
      </c>
      <c r="D79" s="33"/>
      <c r="E79" s="33"/>
      <c r="F79" s="33"/>
      <c r="G79" s="33"/>
      <c r="H79" s="33"/>
      <c r="I79" s="33"/>
    </row>
    <row r="80" spans="2:16" x14ac:dyDescent="0.25">
      <c r="B80" s="40" t="s">
        <v>51</v>
      </c>
      <c r="C80" s="49" t="str">
        <f>IF(ISBLANK(+'Key Business Activities'!H16),"[Normal Requirement]",+'Key Business Activities'!H16)</f>
        <v>[Normal Requirement]</v>
      </c>
      <c r="D80" s="33"/>
      <c r="E80" s="33"/>
      <c r="F80" s="33"/>
      <c r="G80" s="33"/>
      <c r="H80" s="33"/>
      <c r="I80" s="33"/>
    </row>
    <row r="81" spans="2:9" x14ac:dyDescent="0.25">
      <c r="B81" s="40" t="s">
        <v>52</v>
      </c>
      <c r="C81" s="49" t="str">
        <f>IF(ISBLANK(+'Key Business Activities'!I16),"[Normal Requirement]",+'Key Business Activities'!I16)</f>
        <v>[Normal Requirement]</v>
      </c>
      <c r="D81" s="33"/>
      <c r="E81" s="33"/>
      <c r="F81" s="33"/>
      <c r="G81" s="33"/>
      <c r="H81" s="33"/>
      <c r="I81" s="34"/>
    </row>
    <row r="82" spans="2:9" x14ac:dyDescent="0.25">
      <c r="B82" s="40" t="s">
        <v>53</v>
      </c>
      <c r="C82" s="49" t="str">
        <f>IF(ISBLANK(+'Key Business Activities'!J16),"[Normal Requirement]",+'Key Business Activities'!J16)</f>
        <v>[Normal Requirement]</v>
      </c>
      <c r="D82" s="33"/>
      <c r="E82" s="33"/>
      <c r="F82" s="33"/>
      <c r="G82" s="33"/>
      <c r="H82" s="33"/>
      <c r="I82" s="34"/>
    </row>
    <row r="83" spans="2:9" x14ac:dyDescent="0.25">
      <c r="B83" s="40" t="s">
        <v>54</v>
      </c>
      <c r="C83" s="49" t="str">
        <f>IF(ISBLANK(+'Key Business Activities'!K16),"[Normal Requirement]",+'Key Business Activities'!K16)</f>
        <v>[Normal Requirement]</v>
      </c>
      <c r="D83" s="33"/>
      <c r="E83" s="33"/>
      <c r="F83" s="33"/>
      <c r="G83" s="33"/>
      <c r="H83" s="33"/>
      <c r="I83" s="34"/>
    </row>
    <row r="84" spans="2:9" x14ac:dyDescent="0.25">
      <c r="G84" s="50"/>
      <c r="H84" s="50"/>
      <c r="I84" s="50"/>
    </row>
    <row r="85" spans="2:9" x14ac:dyDescent="0.25">
      <c r="G85" s="64" t="s">
        <v>127</v>
      </c>
      <c r="H85" s="72" t="str">
        <f>IF(ISBLANK(+'Key Targets'!E15),"[RTO]",+'Key Targets'!E15)</f>
        <v>[RTO]</v>
      </c>
      <c r="I85" s="66"/>
    </row>
    <row r="86" spans="2:9" x14ac:dyDescent="0.25">
      <c r="G86" s="67" t="s">
        <v>128</v>
      </c>
      <c r="H86" s="73" t="str">
        <f>IF(ISBLANK(+'Key Targets'!F15),"[MBCO]",+'Key Targets'!F15)</f>
        <v>[MBCO]</v>
      </c>
      <c r="I86" s="69"/>
    </row>
    <row r="87" spans="2:9" x14ac:dyDescent="0.25">
      <c r="H87" s="42"/>
      <c r="I87" s="50"/>
    </row>
    <row r="89" spans="2:9" ht="21" customHeight="1" x14ac:dyDescent="0.25">
      <c r="B89" s="70" t="s">
        <v>108</v>
      </c>
      <c r="C89" s="71" t="s">
        <v>129</v>
      </c>
      <c r="D89" s="71" t="str">
        <f>IF(ISBLANK(+'Key Business Activities'!C17),"[Business activity]",+'Key Business Activities'!C17)</f>
        <v>[Business activity]</v>
      </c>
      <c r="E89" s="70"/>
      <c r="F89" s="70"/>
      <c r="G89" s="70"/>
      <c r="H89" s="70"/>
      <c r="I89" s="70"/>
    </row>
    <row r="90" spans="2:9" ht="21" customHeight="1" x14ac:dyDescent="0.25">
      <c r="B90" s="44" t="s">
        <v>95</v>
      </c>
      <c r="C90" s="44" t="s">
        <v>93</v>
      </c>
      <c r="D90" s="44" t="s">
        <v>60</v>
      </c>
      <c r="E90" s="44" t="s">
        <v>61</v>
      </c>
      <c r="F90" s="44" t="s">
        <v>62</v>
      </c>
      <c r="G90" s="44" t="s">
        <v>63</v>
      </c>
      <c r="H90" s="44" t="s">
        <v>64</v>
      </c>
      <c r="I90" s="44" t="s">
        <v>65</v>
      </c>
    </row>
    <row r="91" spans="2:9" x14ac:dyDescent="0.25">
      <c r="B91" s="40" t="s">
        <v>1</v>
      </c>
      <c r="C91" s="49" t="str">
        <f>IF(ISBLANK(+'Key Business Activities'!D17),"[Normal Requirement]",+'Key Business Activities'!D17)</f>
        <v>[Normal Requirement]</v>
      </c>
      <c r="D91" s="33"/>
      <c r="E91" s="33"/>
      <c r="F91" s="33"/>
      <c r="G91" s="33"/>
      <c r="H91" s="33"/>
      <c r="I91" s="33"/>
    </row>
    <row r="92" spans="2:9" x14ac:dyDescent="0.25">
      <c r="B92" s="40" t="s">
        <v>92</v>
      </c>
      <c r="C92" s="49" t="str">
        <f>IF(ISBLANK(+'Key Business Activities'!E17),"[Normal Requirement]",+'Key Business Activities'!E17)</f>
        <v>[Normal Requirement]</v>
      </c>
      <c r="D92" s="33"/>
      <c r="E92" s="33"/>
      <c r="F92" s="33"/>
      <c r="G92" s="33"/>
      <c r="H92" s="33"/>
      <c r="I92" s="33"/>
    </row>
    <row r="93" spans="2:9" x14ac:dyDescent="0.25">
      <c r="B93" s="40" t="s">
        <v>49</v>
      </c>
      <c r="C93" s="49" t="str">
        <f>IF(ISBLANK(+'Key Business Activities'!F17),"[Normal Requirement]",+'Key Business Activities'!F17)</f>
        <v>[Normal Requirement]</v>
      </c>
      <c r="D93" s="33"/>
      <c r="E93" s="33"/>
      <c r="F93" s="33"/>
      <c r="G93" s="33"/>
      <c r="H93" s="33"/>
      <c r="I93" s="33"/>
    </row>
    <row r="94" spans="2:9" x14ac:dyDescent="0.25">
      <c r="B94" s="40" t="s">
        <v>50</v>
      </c>
      <c r="C94" s="49" t="str">
        <f>IF(ISBLANK(+'Key Business Activities'!G17),"[Normal Requirement]",+'Key Business Activities'!G17)</f>
        <v>[Normal Requirement]</v>
      </c>
      <c r="D94" s="33"/>
      <c r="E94" s="33"/>
      <c r="F94" s="33"/>
      <c r="G94" s="33"/>
      <c r="H94" s="33"/>
      <c r="I94" s="33"/>
    </row>
    <row r="95" spans="2:9" x14ac:dyDescent="0.25">
      <c r="B95" s="40" t="s">
        <v>51</v>
      </c>
      <c r="C95" s="49" t="str">
        <f>IF(ISBLANK(+'Key Business Activities'!H17),"[Normal Requirement]",+'Key Business Activities'!H17)</f>
        <v>[Normal Requirement]</v>
      </c>
      <c r="D95" s="33"/>
      <c r="E95" s="33"/>
      <c r="F95" s="33"/>
      <c r="G95" s="33"/>
      <c r="H95" s="33"/>
      <c r="I95" s="33"/>
    </row>
    <row r="96" spans="2:9" x14ac:dyDescent="0.25">
      <c r="B96" s="40" t="s">
        <v>52</v>
      </c>
      <c r="C96" s="49" t="str">
        <f>IF(ISBLANK(+'Key Business Activities'!I17),"[Normal Requirement]",+'Key Business Activities'!I17)</f>
        <v>[Normal Requirement]</v>
      </c>
      <c r="D96" s="33"/>
      <c r="E96" s="33"/>
      <c r="F96" s="33"/>
      <c r="G96" s="33"/>
      <c r="H96" s="33"/>
      <c r="I96" s="34"/>
    </row>
    <row r="97" spans="2:9" x14ac:dyDescent="0.25">
      <c r="B97" s="40" t="s">
        <v>53</v>
      </c>
      <c r="C97" s="49" t="str">
        <f>IF(ISBLANK(+'Key Business Activities'!J17),"[Normal Requirement]",+'Key Business Activities'!J17)</f>
        <v>[Normal Requirement]</v>
      </c>
      <c r="D97" s="33"/>
      <c r="E97" s="33"/>
      <c r="F97" s="33"/>
      <c r="G97" s="33"/>
      <c r="H97" s="33"/>
      <c r="I97" s="34"/>
    </row>
    <row r="98" spans="2:9" x14ac:dyDescent="0.25">
      <c r="B98" s="40" t="s">
        <v>54</v>
      </c>
      <c r="C98" s="49" t="str">
        <f>IF(ISBLANK(+'Key Business Activities'!K17),"[Normal Requirement]",+'Key Business Activities'!K17)</f>
        <v>[Normal Requirement]</v>
      </c>
      <c r="D98" s="33"/>
      <c r="E98" s="33"/>
      <c r="F98" s="33"/>
      <c r="G98" s="33"/>
      <c r="H98" s="33"/>
      <c r="I98" s="34"/>
    </row>
    <row r="99" spans="2:9" x14ac:dyDescent="0.25">
      <c r="G99" s="50"/>
      <c r="H99" s="50"/>
      <c r="I99" s="50"/>
    </row>
    <row r="100" spans="2:9" x14ac:dyDescent="0.25">
      <c r="G100" s="64" t="s">
        <v>127</v>
      </c>
      <c r="H100" s="72" t="str">
        <f>IF(ISBLANK(+'Key Targets'!E16),"[RTO]",+'Key Targets'!E16)</f>
        <v>[RTO]</v>
      </c>
      <c r="I100" s="66"/>
    </row>
    <row r="101" spans="2:9" x14ac:dyDescent="0.25">
      <c r="G101" s="67" t="s">
        <v>128</v>
      </c>
      <c r="H101" s="73" t="str">
        <f>IF(ISBLANK(+'Key Targets'!F16),"[MBCO]",+'Key Targets'!F16)</f>
        <v>[MBCO]</v>
      </c>
      <c r="I101" s="69"/>
    </row>
    <row r="102" spans="2:9" x14ac:dyDescent="0.25">
      <c r="H102" s="42"/>
      <c r="I102" s="50"/>
    </row>
    <row r="104" spans="2:9" ht="21" customHeight="1" x14ac:dyDescent="0.25">
      <c r="B104" s="70" t="s">
        <v>109</v>
      </c>
      <c r="C104" s="71" t="s">
        <v>129</v>
      </c>
      <c r="D104" s="71" t="str">
        <f>IF(ISBLANK(+'Key Business Activities'!C18),"[Business activity]",+'Key Business Activities'!C18)</f>
        <v>[Business activity]</v>
      </c>
      <c r="E104" s="70"/>
      <c r="F104" s="70"/>
      <c r="G104" s="70"/>
      <c r="H104" s="70"/>
      <c r="I104" s="70"/>
    </row>
    <row r="105" spans="2:9" ht="21" customHeight="1" x14ac:dyDescent="0.25">
      <c r="B105" s="44" t="s">
        <v>95</v>
      </c>
      <c r="C105" s="44" t="s">
        <v>93</v>
      </c>
      <c r="D105" s="44" t="s">
        <v>60</v>
      </c>
      <c r="E105" s="44" t="s">
        <v>61</v>
      </c>
      <c r="F105" s="44" t="s">
        <v>62</v>
      </c>
      <c r="G105" s="44" t="s">
        <v>63</v>
      </c>
      <c r="H105" s="44" t="s">
        <v>64</v>
      </c>
      <c r="I105" s="44" t="s">
        <v>65</v>
      </c>
    </row>
    <row r="106" spans="2:9" x14ac:dyDescent="0.25">
      <c r="B106" s="40" t="s">
        <v>1</v>
      </c>
      <c r="C106" s="49" t="str">
        <f>IF(ISBLANK(+'Key Business Activities'!D18),"[Normal Requirement]",+'Key Business Activities'!D18)</f>
        <v>[Normal Requirement]</v>
      </c>
      <c r="D106" s="33"/>
      <c r="E106" s="33"/>
      <c r="F106" s="33"/>
      <c r="G106" s="33"/>
      <c r="H106" s="33"/>
      <c r="I106" s="33"/>
    </row>
    <row r="107" spans="2:9" x14ac:dyDescent="0.25">
      <c r="B107" s="40" t="s">
        <v>92</v>
      </c>
      <c r="C107" s="49" t="str">
        <f>IF(ISBLANK(+'Key Business Activities'!E18),"[Normal Requirement]",+'Key Business Activities'!E18)</f>
        <v>[Normal Requirement]</v>
      </c>
      <c r="D107" s="33"/>
      <c r="E107" s="33"/>
      <c r="F107" s="33"/>
      <c r="G107" s="33"/>
      <c r="H107" s="33"/>
      <c r="I107" s="33"/>
    </row>
    <row r="108" spans="2:9" x14ac:dyDescent="0.25">
      <c r="B108" s="40" t="s">
        <v>49</v>
      </c>
      <c r="C108" s="49" t="str">
        <f>IF(ISBLANK(+'Key Business Activities'!F18),"[Normal Requirement]",+'Key Business Activities'!F18)</f>
        <v>[Normal Requirement]</v>
      </c>
      <c r="D108" s="33"/>
      <c r="E108" s="33"/>
      <c r="F108" s="33"/>
      <c r="G108" s="33"/>
      <c r="H108" s="33"/>
      <c r="I108" s="33"/>
    </row>
    <row r="109" spans="2:9" x14ac:dyDescent="0.25">
      <c r="B109" s="40" t="s">
        <v>50</v>
      </c>
      <c r="C109" s="49" t="str">
        <f>IF(ISBLANK(+'Key Business Activities'!G18),"[Normal Requirement]",+'Key Business Activities'!G18)</f>
        <v>[Normal Requirement]</v>
      </c>
      <c r="D109" s="33"/>
      <c r="E109" s="33"/>
      <c r="F109" s="33"/>
      <c r="G109" s="33"/>
      <c r="H109" s="33"/>
      <c r="I109" s="33"/>
    </row>
    <row r="110" spans="2:9" x14ac:dyDescent="0.25">
      <c r="B110" s="40" t="s">
        <v>51</v>
      </c>
      <c r="C110" s="49" t="str">
        <f>IF(ISBLANK(+'Key Business Activities'!H18),"[Normal Requirement]",+'Key Business Activities'!H18)</f>
        <v>[Normal Requirement]</v>
      </c>
      <c r="D110" s="33"/>
      <c r="E110" s="33"/>
      <c r="F110" s="33"/>
      <c r="G110" s="33"/>
      <c r="H110" s="33"/>
      <c r="I110" s="33"/>
    </row>
    <row r="111" spans="2:9" x14ac:dyDescent="0.25">
      <c r="B111" s="40" t="s">
        <v>52</v>
      </c>
      <c r="C111" s="49" t="str">
        <f>IF(ISBLANK(+'Key Business Activities'!I18),"[Normal Requirement]",+'Key Business Activities'!I18)</f>
        <v>[Normal Requirement]</v>
      </c>
      <c r="D111" s="33"/>
      <c r="E111" s="33"/>
      <c r="F111" s="33"/>
      <c r="G111" s="33"/>
      <c r="H111" s="33"/>
      <c r="I111" s="34"/>
    </row>
    <row r="112" spans="2:9" x14ac:dyDescent="0.25">
      <c r="B112" s="40" t="s">
        <v>53</v>
      </c>
      <c r="C112" s="49" t="str">
        <f>IF(ISBLANK(+'Key Business Activities'!J18),"[Normal Requirement]",+'Key Business Activities'!J18)</f>
        <v>[Normal Requirement]</v>
      </c>
      <c r="D112" s="33"/>
      <c r="E112" s="33"/>
      <c r="F112" s="33"/>
      <c r="G112" s="33"/>
      <c r="H112" s="33"/>
      <c r="I112" s="34"/>
    </row>
    <row r="113" spans="2:9" x14ac:dyDescent="0.25">
      <c r="B113" s="40" t="s">
        <v>54</v>
      </c>
      <c r="C113" s="49" t="str">
        <f>IF(ISBLANK(+'Key Business Activities'!K18),"[Normal Requirement]",+'Key Business Activities'!K18)</f>
        <v>[Normal Requirement]</v>
      </c>
      <c r="D113" s="33"/>
      <c r="E113" s="33"/>
      <c r="F113" s="33"/>
      <c r="G113" s="33"/>
      <c r="H113" s="33"/>
      <c r="I113" s="34"/>
    </row>
    <row r="114" spans="2:9" x14ac:dyDescent="0.25">
      <c r="G114" s="50"/>
      <c r="H114" s="50"/>
      <c r="I114" s="50"/>
    </row>
    <row r="115" spans="2:9" x14ac:dyDescent="0.25">
      <c r="G115" s="64" t="s">
        <v>127</v>
      </c>
      <c r="H115" s="72" t="str">
        <f>IF(ISBLANK(+'Key Targets'!E17),"[RTO]",+'Key Targets'!E17)</f>
        <v>[RTO]</v>
      </c>
      <c r="I115" s="66"/>
    </row>
    <row r="116" spans="2:9" x14ac:dyDescent="0.25">
      <c r="G116" s="67" t="s">
        <v>128</v>
      </c>
      <c r="H116" s="73" t="str">
        <f>IF(ISBLANK(+'Key Targets'!F17),"[MBCO]",+'Key Targets'!F17)</f>
        <v>[MBCO]</v>
      </c>
      <c r="I116" s="69"/>
    </row>
    <row r="117" spans="2:9" x14ac:dyDescent="0.25">
      <c r="H117" s="42"/>
      <c r="I117" s="50"/>
    </row>
    <row r="119" spans="2:9" ht="21" customHeight="1" x14ac:dyDescent="0.25">
      <c r="B119" s="70" t="s">
        <v>110</v>
      </c>
      <c r="C119" s="71" t="s">
        <v>129</v>
      </c>
      <c r="D119" s="71" t="str">
        <f>IF(ISBLANK(+'Key Business Activities'!C19),"[Business activity]",+'Key Business Activities'!C19)</f>
        <v>[Business activity]</v>
      </c>
      <c r="E119" s="70"/>
      <c r="F119" s="70"/>
      <c r="G119" s="70"/>
      <c r="H119" s="70"/>
      <c r="I119" s="70"/>
    </row>
    <row r="120" spans="2:9" ht="21" customHeight="1" x14ac:dyDescent="0.25">
      <c r="B120" s="44" t="s">
        <v>95</v>
      </c>
      <c r="C120" s="44" t="s">
        <v>93</v>
      </c>
      <c r="D120" s="44" t="s">
        <v>60</v>
      </c>
      <c r="E120" s="44" t="s">
        <v>61</v>
      </c>
      <c r="F120" s="44" t="s">
        <v>62</v>
      </c>
      <c r="G120" s="44" t="s">
        <v>63</v>
      </c>
      <c r="H120" s="44" t="s">
        <v>64</v>
      </c>
      <c r="I120" s="44" t="s">
        <v>65</v>
      </c>
    </row>
    <row r="121" spans="2:9" x14ac:dyDescent="0.25">
      <c r="B121" s="40" t="s">
        <v>1</v>
      </c>
      <c r="C121" s="49" t="str">
        <f>IF(ISBLANK(+'Key Business Activities'!D19),"[Normal Requirement]",+'Key Business Activities'!D19)</f>
        <v>[Normal Requirement]</v>
      </c>
      <c r="D121" s="33"/>
      <c r="E121" s="33"/>
      <c r="F121" s="33"/>
      <c r="G121" s="33"/>
      <c r="H121" s="33"/>
      <c r="I121" s="33"/>
    </row>
    <row r="122" spans="2:9" x14ac:dyDescent="0.25">
      <c r="B122" s="40" t="s">
        <v>92</v>
      </c>
      <c r="C122" s="49" t="str">
        <f>IF(ISBLANK(+'Key Business Activities'!E19),"[Normal Requirement]",+'Key Business Activities'!E19)</f>
        <v>[Normal Requirement]</v>
      </c>
      <c r="D122" s="33"/>
      <c r="E122" s="33"/>
      <c r="F122" s="33"/>
      <c r="G122" s="33"/>
      <c r="H122" s="33"/>
      <c r="I122" s="33"/>
    </row>
    <row r="123" spans="2:9" x14ac:dyDescent="0.25">
      <c r="B123" s="40" t="s">
        <v>49</v>
      </c>
      <c r="C123" s="49" t="str">
        <f>IF(ISBLANK(+'Key Business Activities'!F19),"[Normal Requirement]",+'Key Business Activities'!F19)</f>
        <v>[Normal Requirement]</v>
      </c>
      <c r="D123" s="33"/>
      <c r="E123" s="33"/>
      <c r="F123" s="33"/>
      <c r="G123" s="33"/>
      <c r="H123" s="33"/>
      <c r="I123" s="33"/>
    </row>
    <row r="124" spans="2:9" x14ac:dyDescent="0.25">
      <c r="B124" s="40" t="s">
        <v>50</v>
      </c>
      <c r="C124" s="49" t="str">
        <f>IF(ISBLANK(+'Key Business Activities'!G19),"[Normal Requirement]",+'Key Business Activities'!G19)</f>
        <v>[Normal Requirement]</v>
      </c>
      <c r="D124" s="33"/>
      <c r="E124" s="33"/>
      <c r="F124" s="33"/>
      <c r="G124" s="33"/>
      <c r="H124" s="33"/>
      <c r="I124" s="33"/>
    </row>
    <row r="125" spans="2:9" x14ac:dyDescent="0.25">
      <c r="B125" s="40" t="s">
        <v>51</v>
      </c>
      <c r="C125" s="49" t="str">
        <f>IF(ISBLANK(+'Key Business Activities'!H19),"[Normal Requirement]",+'Key Business Activities'!H19)</f>
        <v>[Normal Requirement]</v>
      </c>
      <c r="D125" s="33"/>
      <c r="E125" s="33"/>
      <c r="F125" s="33"/>
      <c r="G125" s="33"/>
      <c r="H125" s="33"/>
      <c r="I125" s="33"/>
    </row>
    <row r="126" spans="2:9" x14ac:dyDescent="0.25">
      <c r="B126" s="40" t="s">
        <v>52</v>
      </c>
      <c r="C126" s="49" t="str">
        <f>IF(ISBLANK(+'Key Business Activities'!I19),"[Normal Requirement]",+'Key Business Activities'!I19)</f>
        <v>[Normal Requirement]</v>
      </c>
      <c r="D126" s="33"/>
      <c r="E126" s="33"/>
      <c r="F126" s="33"/>
      <c r="G126" s="33"/>
      <c r="H126" s="33"/>
      <c r="I126" s="34"/>
    </row>
    <row r="127" spans="2:9" x14ac:dyDescent="0.25">
      <c r="B127" s="40" t="s">
        <v>53</v>
      </c>
      <c r="C127" s="49" t="str">
        <f>IF(ISBLANK(+'Key Business Activities'!J19),"[Normal Requirement]",+'Key Business Activities'!J19)</f>
        <v>[Normal Requirement]</v>
      </c>
      <c r="D127" s="33"/>
      <c r="E127" s="33"/>
      <c r="F127" s="33"/>
      <c r="G127" s="33"/>
      <c r="H127" s="33"/>
      <c r="I127" s="34"/>
    </row>
    <row r="128" spans="2:9" x14ac:dyDescent="0.25">
      <c r="B128" s="40" t="s">
        <v>54</v>
      </c>
      <c r="C128" s="49" t="str">
        <f>IF(ISBLANK(+'Key Business Activities'!K19),"[Normal Requirement]",+'Key Business Activities'!K19)</f>
        <v>[Normal Requirement]</v>
      </c>
      <c r="D128" s="33"/>
      <c r="E128" s="33"/>
      <c r="F128" s="33"/>
      <c r="G128" s="33"/>
      <c r="H128" s="33"/>
      <c r="I128" s="34"/>
    </row>
    <row r="129" spans="2:9" x14ac:dyDescent="0.25">
      <c r="G129" s="50"/>
      <c r="H129" s="50"/>
      <c r="I129" s="50"/>
    </row>
    <row r="130" spans="2:9" x14ac:dyDescent="0.25">
      <c r="G130" s="64" t="s">
        <v>127</v>
      </c>
      <c r="H130" s="72" t="str">
        <f>IF(ISBLANK(+'Key Targets'!E18),"[RTO]",+'Key Targets'!E18)</f>
        <v>[RTO]</v>
      </c>
      <c r="I130" s="66"/>
    </row>
    <row r="131" spans="2:9" x14ac:dyDescent="0.25">
      <c r="G131" s="67" t="s">
        <v>128</v>
      </c>
      <c r="H131" s="73" t="str">
        <f>IF(ISBLANK(+'Key Targets'!F18),"[MBCO]",+'Key Targets'!F18)</f>
        <v>[MBCO]</v>
      </c>
      <c r="I131" s="69"/>
    </row>
    <row r="132" spans="2:9" x14ac:dyDescent="0.25">
      <c r="H132" s="42"/>
      <c r="I132" s="50"/>
    </row>
    <row r="134" spans="2:9" ht="21" customHeight="1" x14ac:dyDescent="0.25">
      <c r="B134" s="70" t="s">
        <v>111</v>
      </c>
      <c r="C134" s="71" t="s">
        <v>129</v>
      </c>
      <c r="D134" s="71" t="str">
        <f>IF(ISBLANK(+'Key Business Activities'!C20),"[Business activity]",+'Key Business Activities'!C20)</f>
        <v>[Business activity]</v>
      </c>
      <c r="E134" s="70"/>
      <c r="F134" s="70"/>
      <c r="G134" s="70"/>
      <c r="H134" s="70"/>
      <c r="I134" s="70"/>
    </row>
    <row r="135" spans="2:9" ht="21" customHeight="1" x14ac:dyDescent="0.25">
      <c r="B135" s="44" t="s">
        <v>95</v>
      </c>
      <c r="C135" s="44" t="s">
        <v>93</v>
      </c>
      <c r="D135" s="44" t="s">
        <v>60</v>
      </c>
      <c r="E135" s="44" t="s">
        <v>61</v>
      </c>
      <c r="F135" s="44" t="s">
        <v>62</v>
      </c>
      <c r="G135" s="44" t="s">
        <v>63</v>
      </c>
      <c r="H135" s="44" t="s">
        <v>64</v>
      </c>
      <c r="I135" s="44" t="s">
        <v>65</v>
      </c>
    </row>
    <row r="136" spans="2:9" x14ac:dyDescent="0.25">
      <c r="B136" s="40" t="s">
        <v>1</v>
      </c>
      <c r="C136" s="49" t="str">
        <f>IF(ISBLANK(+'Key Business Activities'!D20),"[Normal Requirement]",+'Key Business Activities'!D20)</f>
        <v>[Normal Requirement]</v>
      </c>
      <c r="D136" s="33"/>
      <c r="E136" s="33"/>
      <c r="F136" s="33"/>
      <c r="G136" s="33"/>
      <c r="H136" s="33"/>
      <c r="I136" s="33"/>
    </row>
    <row r="137" spans="2:9" x14ac:dyDescent="0.25">
      <c r="B137" s="40" t="s">
        <v>92</v>
      </c>
      <c r="C137" s="49" t="str">
        <f>IF(ISBLANK(+'Key Business Activities'!E21),"[Normal Requirement]",+'Key Business Activities'!E21)</f>
        <v>[Normal Requirement]</v>
      </c>
      <c r="D137" s="33"/>
      <c r="E137" s="33"/>
      <c r="F137" s="33"/>
      <c r="G137" s="33"/>
      <c r="H137" s="33"/>
      <c r="I137" s="33"/>
    </row>
    <row r="138" spans="2:9" x14ac:dyDescent="0.25">
      <c r="B138" s="40" t="s">
        <v>49</v>
      </c>
      <c r="C138" s="49" t="str">
        <f>IF(ISBLANK(+'Key Business Activities'!F20),"[Normal Requirement]",+'Key Business Activities'!F20)</f>
        <v>[Normal Requirement]</v>
      </c>
      <c r="D138" s="33"/>
      <c r="E138" s="33"/>
      <c r="F138" s="33"/>
      <c r="G138" s="33"/>
      <c r="H138" s="33"/>
      <c r="I138" s="33"/>
    </row>
    <row r="139" spans="2:9" x14ac:dyDescent="0.25">
      <c r="B139" s="40" t="s">
        <v>50</v>
      </c>
      <c r="C139" s="49" t="str">
        <f>IF(ISBLANK(+'Key Business Activities'!G20),"[Normal Requirement]",+'Key Business Activities'!G20)</f>
        <v>[Normal Requirement]</v>
      </c>
      <c r="D139" s="33"/>
      <c r="E139" s="33"/>
      <c r="F139" s="33"/>
      <c r="G139" s="33"/>
      <c r="H139" s="33"/>
      <c r="I139" s="33"/>
    </row>
    <row r="140" spans="2:9" x14ac:dyDescent="0.25">
      <c r="B140" s="40" t="s">
        <v>51</v>
      </c>
      <c r="C140" s="49" t="str">
        <f>IF(ISBLANK(+'Key Business Activities'!H20),"[Normal Requirement]",+'Key Business Activities'!H20)</f>
        <v>[Normal Requirement]</v>
      </c>
      <c r="D140" s="33"/>
      <c r="E140" s="33"/>
      <c r="F140" s="33"/>
      <c r="G140" s="33"/>
      <c r="H140" s="33"/>
      <c r="I140" s="33"/>
    </row>
    <row r="141" spans="2:9" x14ac:dyDescent="0.25">
      <c r="B141" s="40" t="s">
        <v>52</v>
      </c>
      <c r="C141" s="49" t="str">
        <f>IF(ISBLANK(+'Key Business Activities'!I20),"[Normal Requirement]",+'Key Business Activities'!I20)</f>
        <v>[Normal Requirement]</v>
      </c>
      <c r="D141" s="33"/>
      <c r="E141" s="33"/>
      <c r="F141" s="33"/>
      <c r="G141" s="33"/>
      <c r="H141" s="33"/>
      <c r="I141" s="34"/>
    </row>
    <row r="142" spans="2:9" x14ac:dyDescent="0.25">
      <c r="B142" s="40" t="s">
        <v>53</v>
      </c>
      <c r="C142" s="49" t="str">
        <f>IF(ISBLANK(+'Key Business Activities'!J20),"[Normal Requirement]",+'Key Business Activities'!J20)</f>
        <v>[Normal Requirement]</v>
      </c>
      <c r="D142" s="33"/>
      <c r="E142" s="33"/>
      <c r="F142" s="33"/>
      <c r="G142" s="33"/>
      <c r="H142" s="33"/>
      <c r="I142" s="34"/>
    </row>
    <row r="143" spans="2:9" x14ac:dyDescent="0.25">
      <c r="B143" s="40" t="s">
        <v>54</v>
      </c>
      <c r="C143" s="49" t="str">
        <f>IF(ISBLANK(+'Key Business Activities'!K20),"[Normal Requirement]",+'Key Business Activities'!K20)</f>
        <v>[Normal Requirement]</v>
      </c>
      <c r="D143" s="33"/>
      <c r="E143" s="33"/>
      <c r="F143" s="33"/>
      <c r="G143" s="33"/>
      <c r="H143" s="33"/>
      <c r="I143" s="34"/>
    </row>
    <row r="144" spans="2:9" x14ac:dyDescent="0.25">
      <c r="G144" s="50"/>
      <c r="H144" s="50"/>
      <c r="I144" s="50"/>
    </row>
    <row r="145" spans="2:9" x14ac:dyDescent="0.25">
      <c r="G145" s="64" t="s">
        <v>127</v>
      </c>
      <c r="H145" s="72" t="str">
        <f>IF(ISBLANK(+'Key Targets'!E19),"[RTO]",+'Key Targets'!E19)</f>
        <v>[RTO]</v>
      </c>
      <c r="I145" s="66"/>
    </row>
    <row r="146" spans="2:9" x14ac:dyDescent="0.25">
      <c r="G146" s="67" t="s">
        <v>128</v>
      </c>
      <c r="H146" s="73" t="str">
        <f>IF(ISBLANK(+'Key Targets'!F19),"[MBCO]",+'Key Targets'!F19)</f>
        <v>[MBCO]</v>
      </c>
      <c r="I146" s="69"/>
    </row>
    <row r="147" spans="2:9" x14ac:dyDescent="0.25">
      <c r="H147" s="42"/>
      <c r="I147" s="50"/>
    </row>
    <row r="149" spans="2:9" ht="21" customHeight="1" x14ac:dyDescent="0.25">
      <c r="B149" s="70" t="s">
        <v>112</v>
      </c>
      <c r="C149" s="71" t="s">
        <v>129</v>
      </c>
      <c r="D149" s="71" t="str">
        <f>IF(ISBLANK(+'Key Business Activities'!C21),"[Business activity]",+'Key Business Activities'!C21)</f>
        <v>[Business activity]</v>
      </c>
      <c r="E149" s="70"/>
      <c r="F149" s="70"/>
      <c r="G149" s="70"/>
      <c r="H149" s="70"/>
      <c r="I149" s="70"/>
    </row>
    <row r="150" spans="2:9" ht="21" customHeight="1" x14ac:dyDescent="0.25">
      <c r="B150" s="44" t="s">
        <v>95</v>
      </c>
      <c r="C150" s="44" t="s">
        <v>93</v>
      </c>
      <c r="D150" s="44" t="s">
        <v>60</v>
      </c>
      <c r="E150" s="44" t="s">
        <v>61</v>
      </c>
      <c r="F150" s="44" t="s">
        <v>62</v>
      </c>
      <c r="G150" s="44" t="s">
        <v>63</v>
      </c>
      <c r="H150" s="44" t="s">
        <v>64</v>
      </c>
      <c r="I150" s="44" t="s">
        <v>65</v>
      </c>
    </row>
    <row r="151" spans="2:9" x14ac:dyDescent="0.25">
      <c r="B151" s="40" t="s">
        <v>1</v>
      </c>
      <c r="C151" s="49" t="str">
        <f>IF(ISBLANK(+'Key Business Activities'!D21),"[Normal Requirement]",+'Key Business Activities'!D21)</f>
        <v>[Normal Requirement]</v>
      </c>
      <c r="D151" s="33"/>
      <c r="E151" s="33"/>
      <c r="F151" s="33"/>
      <c r="G151" s="33"/>
      <c r="H151" s="33"/>
      <c r="I151" s="33"/>
    </row>
    <row r="152" spans="2:9" x14ac:dyDescent="0.25">
      <c r="B152" s="40" t="s">
        <v>92</v>
      </c>
      <c r="C152" s="49" t="str">
        <f>IF(ISBLANK(+'Key Business Activities'!E21),"[Normal Requirement]",+'Key Business Activities'!E21)</f>
        <v>[Normal Requirement]</v>
      </c>
      <c r="D152" s="33"/>
      <c r="E152" s="33"/>
      <c r="F152" s="33"/>
      <c r="G152" s="33"/>
      <c r="H152" s="33"/>
      <c r="I152" s="33"/>
    </row>
    <row r="153" spans="2:9" x14ac:dyDescent="0.25">
      <c r="B153" s="40" t="s">
        <v>49</v>
      </c>
      <c r="C153" s="49" t="str">
        <f>IF(ISBLANK(+'Key Business Activities'!F21),"[Normal Requirement]",+'Key Business Activities'!F21)</f>
        <v>[Normal Requirement]</v>
      </c>
      <c r="D153" s="33"/>
      <c r="E153" s="33"/>
      <c r="F153" s="33"/>
      <c r="G153" s="33"/>
      <c r="H153" s="33"/>
      <c r="I153" s="33"/>
    </row>
    <row r="154" spans="2:9" x14ac:dyDescent="0.25">
      <c r="B154" s="40" t="s">
        <v>50</v>
      </c>
      <c r="C154" s="49" t="str">
        <f>IF(ISBLANK(+'Key Business Activities'!G21),"[Normal Requirement]",+'Key Business Activities'!G21)</f>
        <v>[Normal Requirement]</v>
      </c>
      <c r="D154" s="33"/>
      <c r="E154" s="33"/>
      <c r="F154" s="33"/>
      <c r="G154" s="33"/>
      <c r="H154" s="33"/>
      <c r="I154" s="33"/>
    </row>
    <row r="155" spans="2:9" x14ac:dyDescent="0.25">
      <c r="B155" s="40" t="s">
        <v>51</v>
      </c>
      <c r="C155" s="49" t="str">
        <f>IF(ISBLANK(+'Key Business Activities'!H21),"[Normal Requirement]",+'Key Business Activities'!H21)</f>
        <v>[Normal Requirement]</v>
      </c>
      <c r="D155" s="33"/>
      <c r="E155" s="33"/>
      <c r="F155" s="33"/>
      <c r="G155" s="33"/>
      <c r="H155" s="33"/>
      <c r="I155" s="33"/>
    </row>
    <row r="156" spans="2:9" x14ac:dyDescent="0.25">
      <c r="B156" s="40" t="s">
        <v>52</v>
      </c>
      <c r="C156" s="49" t="str">
        <f>IF(ISBLANK(+'Key Business Activities'!I21),"[Normal Requirement]",+'Key Business Activities'!I21)</f>
        <v>[Normal Requirement]</v>
      </c>
      <c r="D156" s="33"/>
      <c r="E156" s="33"/>
      <c r="F156" s="33"/>
      <c r="G156" s="33"/>
      <c r="H156" s="33"/>
      <c r="I156" s="34"/>
    </row>
    <row r="157" spans="2:9" x14ac:dyDescent="0.25">
      <c r="B157" s="40" t="s">
        <v>53</v>
      </c>
      <c r="C157" s="49" t="str">
        <f>IF(ISBLANK(+'Key Business Activities'!J21),"[Normal Requirement]",+'Key Business Activities'!J21)</f>
        <v>[Normal Requirement]</v>
      </c>
      <c r="D157" s="33"/>
      <c r="E157" s="33"/>
      <c r="F157" s="33"/>
      <c r="G157" s="33"/>
      <c r="H157" s="33"/>
      <c r="I157" s="34"/>
    </row>
    <row r="158" spans="2:9" x14ac:dyDescent="0.25">
      <c r="B158" s="40" t="s">
        <v>54</v>
      </c>
      <c r="C158" s="49" t="str">
        <f>IF(ISBLANK(+'Key Business Activities'!K21),"[Normal Requirement]",+'Key Business Activities'!K21)</f>
        <v>[Normal Requirement]</v>
      </c>
      <c r="D158" s="33"/>
      <c r="E158" s="33"/>
      <c r="F158" s="33"/>
      <c r="G158" s="33"/>
      <c r="H158" s="33"/>
      <c r="I158" s="34"/>
    </row>
    <row r="159" spans="2:9" x14ac:dyDescent="0.25">
      <c r="G159" s="50"/>
      <c r="H159" s="50"/>
      <c r="I159" s="50"/>
    </row>
    <row r="160" spans="2:9" x14ac:dyDescent="0.25">
      <c r="G160" s="64" t="s">
        <v>127</v>
      </c>
      <c r="H160" s="72" t="str">
        <f>IF(ISBLANK(+'Key Targets'!E20),"[RTO]",+'Key Targets'!E20)</f>
        <v>[RTO]</v>
      </c>
      <c r="I160" s="66"/>
    </row>
    <row r="161" spans="2:9" x14ac:dyDescent="0.25">
      <c r="G161" s="67" t="s">
        <v>128</v>
      </c>
      <c r="H161" s="73" t="str">
        <f>IF(ISBLANK(+'Key Targets'!F20),"[MBCO]",+'Key Targets'!F20)</f>
        <v>[MBCO]</v>
      </c>
      <c r="I161" s="69"/>
    </row>
    <row r="162" spans="2:9" x14ac:dyDescent="0.25">
      <c r="H162" s="42"/>
      <c r="I162" s="50"/>
    </row>
    <row r="164" spans="2:9" ht="21" customHeight="1" x14ac:dyDescent="0.25">
      <c r="B164" s="70" t="s">
        <v>113</v>
      </c>
      <c r="C164" s="71" t="s">
        <v>129</v>
      </c>
      <c r="D164" s="71" t="str">
        <f>IF(ISBLANK(+'Key Business Activities'!C22),"[Business activity]",+'Key Business Activities'!C22)</f>
        <v>[Business activity]</v>
      </c>
      <c r="E164" s="70"/>
      <c r="F164" s="70"/>
      <c r="G164" s="70"/>
      <c r="H164" s="70"/>
      <c r="I164" s="70"/>
    </row>
    <row r="165" spans="2:9" ht="21" customHeight="1" x14ac:dyDescent="0.25">
      <c r="B165" s="44" t="s">
        <v>95</v>
      </c>
      <c r="C165" s="44" t="s">
        <v>93</v>
      </c>
      <c r="D165" s="44" t="s">
        <v>60</v>
      </c>
      <c r="E165" s="44" t="s">
        <v>61</v>
      </c>
      <c r="F165" s="44" t="s">
        <v>62</v>
      </c>
      <c r="G165" s="44" t="s">
        <v>63</v>
      </c>
      <c r="H165" s="44" t="s">
        <v>64</v>
      </c>
      <c r="I165" s="44" t="s">
        <v>65</v>
      </c>
    </row>
    <row r="166" spans="2:9" x14ac:dyDescent="0.25">
      <c r="B166" s="40" t="s">
        <v>1</v>
      </c>
      <c r="C166" s="49" t="str">
        <f>IF(ISBLANK(+'Key Business Activities'!D22),"[Normal Requirement]",+'Key Business Activities'!D22)</f>
        <v>[Normal Requirement]</v>
      </c>
      <c r="D166" s="33"/>
      <c r="E166" s="33"/>
      <c r="F166" s="33"/>
      <c r="G166" s="33"/>
      <c r="H166" s="33"/>
      <c r="I166" s="33"/>
    </row>
    <row r="167" spans="2:9" x14ac:dyDescent="0.25">
      <c r="B167" s="40" t="s">
        <v>92</v>
      </c>
      <c r="C167" s="49" t="str">
        <f>IF(ISBLANK(+'Key Business Activities'!E22),"[Normal Requirement]",+'Key Business Activities'!E22)</f>
        <v>[Normal Requirement]</v>
      </c>
      <c r="D167" s="33"/>
      <c r="E167" s="33"/>
      <c r="F167" s="33"/>
      <c r="G167" s="33"/>
      <c r="H167" s="33"/>
      <c r="I167" s="33"/>
    </row>
    <row r="168" spans="2:9" x14ac:dyDescent="0.25">
      <c r="B168" s="40" t="s">
        <v>49</v>
      </c>
      <c r="C168" s="49" t="str">
        <f>IF(ISBLANK(+'Key Business Activities'!F22),"[Normal Requirement]",+'Key Business Activities'!F22)</f>
        <v>[Normal Requirement]</v>
      </c>
      <c r="D168" s="33"/>
      <c r="E168" s="33"/>
      <c r="F168" s="33"/>
      <c r="G168" s="33"/>
      <c r="H168" s="33"/>
      <c r="I168" s="33"/>
    </row>
    <row r="169" spans="2:9" x14ac:dyDescent="0.25">
      <c r="B169" s="40" t="s">
        <v>50</v>
      </c>
      <c r="C169" s="49" t="str">
        <f>IF(ISBLANK(+'Key Business Activities'!G22),"[Normal Requirement]",+'Key Business Activities'!G22)</f>
        <v>[Normal Requirement]</v>
      </c>
      <c r="D169" s="33"/>
      <c r="E169" s="33"/>
      <c r="F169" s="33"/>
      <c r="G169" s="33"/>
      <c r="H169" s="33"/>
      <c r="I169" s="33"/>
    </row>
    <row r="170" spans="2:9" x14ac:dyDescent="0.25">
      <c r="B170" s="40" t="s">
        <v>51</v>
      </c>
      <c r="C170" s="49" t="str">
        <f>IF(ISBLANK(+'Key Business Activities'!H22),"[Normal Requirement]",+'Key Business Activities'!H22)</f>
        <v>[Normal Requirement]</v>
      </c>
      <c r="D170" s="33"/>
      <c r="E170" s="33"/>
      <c r="F170" s="33"/>
      <c r="G170" s="33"/>
      <c r="H170" s="33"/>
      <c r="I170" s="33"/>
    </row>
    <row r="171" spans="2:9" x14ac:dyDescent="0.25">
      <c r="B171" s="40" t="s">
        <v>52</v>
      </c>
      <c r="C171" s="49" t="str">
        <f>IF(ISBLANK(+'Key Business Activities'!I22),"[Normal Requirement]",+'Key Business Activities'!I22)</f>
        <v>[Normal Requirement]</v>
      </c>
      <c r="D171" s="33"/>
      <c r="E171" s="33"/>
      <c r="F171" s="33"/>
      <c r="G171" s="33"/>
      <c r="H171" s="33"/>
      <c r="I171" s="34"/>
    </row>
    <row r="172" spans="2:9" x14ac:dyDescent="0.25">
      <c r="B172" s="40" t="s">
        <v>53</v>
      </c>
      <c r="C172" s="49" t="str">
        <f>IF(ISBLANK(+'Key Business Activities'!J22),"[Normal Requirement]",+'Key Business Activities'!J22)</f>
        <v>[Normal Requirement]</v>
      </c>
      <c r="D172" s="33"/>
      <c r="E172" s="33"/>
      <c r="F172" s="33"/>
      <c r="G172" s="33"/>
      <c r="H172" s="33"/>
      <c r="I172" s="34"/>
    </row>
    <row r="173" spans="2:9" x14ac:dyDescent="0.25">
      <c r="B173" s="40" t="s">
        <v>54</v>
      </c>
      <c r="C173" s="49" t="str">
        <f>IF(ISBLANK(+'Key Business Activities'!K22),"[Normal Requirement]",+'Key Business Activities'!K22)</f>
        <v>[Normal Requirement]</v>
      </c>
      <c r="D173" s="33"/>
      <c r="E173" s="33"/>
      <c r="F173" s="33"/>
      <c r="G173" s="33"/>
      <c r="H173" s="33"/>
      <c r="I173" s="34"/>
    </row>
    <row r="174" spans="2:9" x14ac:dyDescent="0.25">
      <c r="G174" s="50"/>
      <c r="H174" s="50"/>
      <c r="I174" s="50"/>
    </row>
    <row r="175" spans="2:9" x14ac:dyDescent="0.25">
      <c r="G175" s="64" t="s">
        <v>127</v>
      </c>
      <c r="H175" s="72" t="str">
        <f>IF(ISBLANK(+'Key Targets'!E21),"[RTO]",+'Key Targets'!E21)</f>
        <v>[RTO]</v>
      </c>
      <c r="I175" s="66"/>
    </row>
    <row r="176" spans="2:9" x14ac:dyDescent="0.25">
      <c r="G176" s="67" t="s">
        <v>128</v>
      </c>
      <c r="H176" s="73" t="str">
        <f>IF(ISBLANK(+'Key Targets'!F21),"[MBCO]",+'Key Targets'!F21)</f>
        <v>[MBCO]</v>
      </c>
      <c r="I176" s="69"/>
    </row>
    <row r="177" spans="8:9" x14ac:dyDescent="0.25">
      <c r="H177" s="42"/>
      <c r="I177" s="50"/>
    </row>
  </sheetData>
  <pageMargins left="0.23622047244094491" right="0.23622047244094491" top="0.59055118110236227" bottom="0.59055118110236227" header="0.31496062992125984" footer="0.31496062992125984"/>
  <pageSetup paperSize="9" scale="76" fitToHeight="0" orientation="landscape" horizontalDpi="1200" verticalDpi="1200" r:id="rId1"/>
  <headerFooter>
    <oddFooter>&amp;L&amp;D&amp;CPage &amp;P of &amp;N</oddFooter>
  </headerFooter>
  <rowBreaks count="2" manualBreakCount="2">
    <brk id="42" max="16383" man="1"/>
    <brk id="132" max="16383" man="1"/>
  </rowBreaks>
  <ignoredErrors>
    <ignoredError sqref="C32:C38 C47:C53 C62:C68 C77:C83 C92:C98 C107:C113 C122:C128 C137:C143 C152:C158 C167:C173" calculatedColumn="1"/>
    <ignoredError sqref="H40:H41 H55:H56 H70:H71 H85:H86 H100:H101 H115:H116 H130:H131 H145:H146 H160:H161 H175:H176" unlockedFormula="1"/>
  </ignoredErrors>
  <drawing r:id="rId2"/>
  <tableParts count="11">
    <tablePart r:id="rId3"/>
    <tablePart r:id="rId4"/>
    <tablePart r:id="rId5"/>
    <tablePart r:id="rId6"/>
    <tablePart r:id="rId7"/>
    <tablePart r:id="rId8"/>
    <tablePart r:id="rId9"/>
    <tablePart r:id="rId10"/>
    <tablePart r:id="rId11"/>
    <tablePart r:id="rId12"/>
    <tablePart r:id="rId1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95142-1002-401A-9E74-42D938210619}">
  <sheetPr>
    <pageSetUpPr fitToPage="1"/>
  </sheetPr>
  <dimension ref="A2:Q35"/>
  <sheetViews>
    <sheetView showGridLines="0" zoomScaleNormal="100" workbookViewId="0"/>
  </sheetViews>
  <sheetFormatPr defaultColWidth="9.140625" defaultRowHeight="15" x14ac:dyDescent="0.25"/>
  <cols>
    <col min="1" max="1" width="2.85546875" style="7" customWidth="1"/>
    <col min="2" max="2" width="4.85546875" style="7" customWidth="1"/>
    <col min="3" max="4" width="42.85546875" style="7" customWidth="1"/>
    <col min="5" max="5" width="50.42578125" style="7" customWidth="1"/>
    <col min="6" max="6" width="24.140625" style="7" customWidth="1"/>
    <col min="7" max="7" width="20.85546875" style="7" customWidth="1"/>
    <col min="8" max="8" width="13.140625" style="7" customWidth="1"/>
    <col min="9" max="9" width="15" style="7" customWidth="1"/>
    <col min="10" max="10" width="10.28515625" style="7" customWidth="1"/>
    <col min="11" max="11" width="14.85546875" style="7" customWidth="1"/>
    <col min="12" max="12" width="19.5703125" style="7" customWidth="1"/>
    <col min="13" max="13" width="30.28515625" style="7" customWidth="1"/>
    <col min="14" max="16384" width="9.140625" style="7"/>
  </cols>
  <sheetData>
    <row r="2" spans="1:16" x14ac:dyDescent="0.25">
      <c r="B2" s="8"/>
    </row>
    <row r="3" spans="1:16" x14ac:dyDescent="0.25">
      <c r="B3" s="8"/>
    </row>
    <row r="4" spans="1:16" x14ac:dyDescent="0.25">
      <c r="B4" s="8"/>
    </row>
    <row r="5" spans="1:16" x14ac:dyDescent="0.25">
      <c r="B5" s="8"/>
    </row>
    <row r="6" spans="1:16" x14ac:dyDescent="0.25">
      <c r="B6" s="8"/>
    </row>
    <row r="8" spans="1:16" ht="21" x14ac:dyDescent="0.25">
      <c r="B8" s="21" t="s">
        <v>103</v>
      </c>
      <c r="C8" s="26"/>
      <c r="D8" s="26"/>
    </row>
    <row r="9" spans="1:16" x14ac:dyDescent="0.25">
      <c r="B9" s="61" t="s">
        <v>104</v>
      </c>
      <c r="C9" s="26"/>
      <c r="D9" s="26"/>
    </row>
    <row r="10" spans="1:16" x14ac:dyDescent="0.25">
      <c r="B10" s="11"/>
      <c r="C10" s="11"/>
      <c r="D10" s="11"/>
      <c r="E10" s="11"/>
      <c r="F10" s="11"/>
      <c r="G10" s="11"/>
      <c r="H10" s="12"/>
      <c r="I10" s="12"/>
      <c r="J10" s="12"/>
      <c r="K10" s="11"/>
      <c r="L10" s="11"/>
      <c r="M10" s="12"/>
      <c r="N10" s="12"/>
      <c r="O10" s="11"/>
      <c r="P10" s="11"/>
    </row>
    <row r="11" spans="1:16" ht="21" customHeight="1" x14ac:dyDescent="0.25">
      <c r="A11" s="1"/>
      <c r="B11" s="12" t="s">
        <v>90</v>
      </c>
      <c r="C11" s="12" t="s">
        <v>91</v>
      </c>
      <c r="D11" s="12" t="s">
        <v>87</v>
      </c>
      <c r="E11" s="12" t="s">
        <v>105</v>
      </c>
      <c r="F11" s="3"/>
    </row>
    <row r="12" spans="1:16" ht="30" x14ac:dyDescent="0.25">
      <c r="A12" s="1"/>
      <c r="B12" s="15" t="s">
        <v>34</v>
      </c>
      <c r="C12" s="5"/>
      <c r="D12" s="5"/>
      <c r="E12" s="5"/>
      <c r="F12" s="4"/>
    </row>
    <row r="13" spans="1:16" ht="30" x14ac:dyDescent="0.25">
      <c r="A13" s="1"/>
      <c r="B13" s="15" t="s">
        <v>35</v>
      </c>
      <c r="C13" s="5"/>
      <c r="D13" s="5"/>
      <c r="E13" s="5"/>
      <c r="F13" s="4"/>
    </row>
    <row r="14" spans="1:16" ht="30" x14ac:dyDescent="0.25">
      <c r="A14" s="1"/>
      <c r="B14" s="15" t="s">
        <v>36</v>
      </c>
      <c r="C14" s="5"/>
      <c r="D14" s="5"/>
      <c r="E14" s="5"/>
      <c r="F14" s="4"/>
    </row>
    <row r="15" spans="1:16" ht="30" x14ac:dyDescent="0.25">
      <c r="A15" s="1"/>
      <c r="B15" s="15" t="s">
        <v>37</v>
      </c>
      <c r="C15" s="5"/>
      <c r="D15" s="5"/>
      <c r="E15" s="5"/>
      <c r="F15" s="4"/>
    </row>
    <row r="16" spans="1:16" ht="30" x14ac:dyDescent="0.25">
      <c r="A16" s="1"/>
      <c r="B16" s="15" t="s">
        <v>38</v>
      </c>
      <c r="C16" s="5"/>
      <c r="D16" s="5"/>
      <c r="E16" s="5"/>
      <c r="F16" s="4"/>
    </row>
    <row r="17" spans="1:17" ht="30" x14ac:dyDescent="0.25">
      <c r="A17" s="1"/>
      <c r="B17" s="15" t="s">
        <v>39</v>
      </c>
      <c r="C17" s="5"/>
      <c r="D17" s="5"/>
      <c r="E17" s="5"/>
      <c r="F17" s="4"/>
    </row>
    <row r="18" spans="1:17" ht="30" x14ac:dyDescent="0.25">
      <c r="A18" s="1"/>
      <c r="B18" s="15" t="s">
        <v>40</v>
      </c>
      <c r="C18" s="5"/>
      <c r="D18" s="5"/>
      <c r="E18" s="5"/>
      <c r="F18" s="4"/>
    </row>
    <row r="19" spans="1:17" ht="30" x14ac:dyDescent="0.25">
      <c r="A19" s="1"/>
      <c r="B19" s="15" t="s">
        <v>41</v>
      </c>
      <c r="C19" s="5"/>
      <c r="D19" s="5"/>
      <c r="E19" s="5"/>
      <c r="F19" s="4"/>
    </row>
    <row r="20" spans="1:17" ht="30" x14ac:dyDescent="0.25">
      <c r="A20" s="1"/>
      <c r="B20" s="15" t="s">
        <v>42</v>
      </c>
      <c r="C20" s="5"/>
      <c r="D20" s="5"/>
      <c r="E20" s="5"/>
      <c r="F20" s="4"/>
    </row>
    <row r="21" spans="1:17" ht="30" x14ac:dyDescent="0.25">
      <c r="A21" s="1"/>
      <c r="B21" s="15" t="s">
        <v>43</v>
      </c>
      <c r="C21" s="5"/>
      <c r="D21" s="5"/>
      <c r="E21" s="5"/>
      <c r="F21" s="4"/>
    </row>
    <row r="22" spans="1:17" x14ac:dyDescent="0.25">
      <c r="A22" s="1"/>
      <c r="B22" s="1"/>
      <c r="C22" s="1"/>
      <c r="D22" s="1"/>
      <c r="E22" s="1"/>
      <c r="F22" s="1"/>
      <c r="G22" s="1"/>
      <c r="H22" s="1"/>
      <c r="I22" s="1"/>
      <c r="J22" s="1"/>
      <c r="K22" s="1"/>
      <c r="L22" s="1"/>
      <c r="M22" s="1"/>
      <c r="N22" s="4"/>
    </row>
    <row r="23" spans="1:17" x14ac:dyDescent="0.25">
      <c r="A23" s="1"/>
      <c r="B23" s="1"/>
      <c r="C23" s="1"/>
      <c r="D23" s="1"/>
      <c r="E23" s="1"/>
      <c r="F23" s="1"/>
      <c r="G23" s="4"/>
      <c r="H23" s="4"/>
      <c r="I23" s="4"/>
      <c r="J23" s="4"/>
      <c r="K23" s="4"/>
      <c r="L23" s="4"/>
      <c r="M23" s="4"/>
      <c r="N23" s="4"/>
    </row>
    <row r="24" spans="1:17" x14ac:dyDescent="0.25">
      <c r="A24" s="1"/>
      <c r="B24" s="1"/>
      <c r="C24" s="1"/>
      <c r="D24" s="1"/>
      <c r="E24" s="1"/>
      <c r="F24" s="4"/>
      <c r="G24" s="4"/>
      <c r="H24" s="4"/>
      <c r="I24" s="4"/>
      <c r="J24" s="4"/>
      <c r="K24" s="4"/>
      <c r="L24" s="4"/>
      <c r="M24" s="4"/>
      <c r="N24" s="4"/>
    </row>
    <row r="25" spans="1:17" x14ac:dyDescent="0.25">
      <c r="A25" s="1"/>
      <c r="B25" s="1"/>
      <c r="C25" s="1"/>
      <c r="D25" s="1"/>
      <c r="E25" s="1"/>
      <c r="F25" s="4"/>
      <c r="G25" s="4"/>
      <c r="H25" s="4"/>
      <c r="I25" s="4"/>
      <c r="J25" s="4"/>
      <c r="K25" s="4"/>
      <c r="L25" s="4"/>
      <c r="M25" s="4"/>
      <c r="N25" s="1"/>
    </row>
    <row r="26" spans="1:17" x14ac:dyDescent="0.25">
      <c r="A26" s="1"/>
      <c r="N26" s="1"/>
    </row>
    <row r="27" spans="1:17" x14ac:dyDescent="0.25">
      <c r="A27" s="1"/>
      <c r="N27" s="1"/>
    </row>
    <row r="28" spans="1:17" x14ac:dyDescent="0.25">
      <c r="A28" s="1"/>
      <c r="N28" s="1"/>
    </row>
    <row r="29" spans="1:17" x14ac:dyDescent="0.25">
      <c r="A29" s="1"/>
      <c r="N29" s="1"/>
    </row>
    <row r="30" spans="1:17" x14ac:dyDescent="0.25">
      <c r="A30" s="1"/>
      <c r="N30" s="1"/>
    </row>
    <row r="31" spans="1:17" x14ac:dyDescent="0.25">
      <c r="A31" s="1"/>
      <c r="N31" s="1"/>
    </row>
    <row r="32" spans="1:17" x14ac:dyDescent="0.25">
      <c r="A32" s="1"/>
      <c r="N32" s="1"/>
      <c r="O32" s="1"/>
      <c r="P32" s="1"/>
      <c r="Q32" s="1"/>
    </row>
    <row r="33" spans="1:17" x14ac:dyDescent="0.25">
      <c r="A33" s="1"/>
      <c r="N33" s="4"/>
      <c r="O33" s="4"/>
      <c r="P33" s="1"/>
      <c r="Q33" s="1"/>
    </row>
    <row r="34" spans="1:17" x14ac:dyDescent="0.25">
      <c r="A34" s="1"/>
      <c r="N34" s="4"/>
      <c r="O34" s="4"/>
      <c r="P34" s="1"/>
      <c r="Q34" s="1"/>
    </row>
    <row r="35" spans="1:17" x14ac:dyDescent="0.25">
      <c r="A35" s="1"/>
      <c r="N35" s="4"/>
      <c r="O35" s="4"/>
      <c r="P35" s="1"/>
      <c r="Q35" s="1"/>
    </row>
  </sheetData>
  <pageMargins left="0.23622047244094491" right="0.23622047244094491" top="0.59055118110236227" bottom="0.59055118110236227" header="0.31496062992125984" footer="0.31496062992125984"/>
  <pageSetup paperSize="9" scale="69" fitToHeight="0" orientation="portrait" horizontalDpi="1200" verticalDpi="1200" r:id="rId1"/>
  <headerFooter>
    <oddFooter>&amp;L&amp;D&amp;CPage &amp;P of &amp;N</oddFoot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2BCC5-11C1-4335-841F-1BAC61F5BB29}">
  <dimension ref="A1:Q29"/>
  <sheetViews>
    <sheetView zoomScaleNormal="100" workbookViewId="0">
      <selection activeCell="I26" sqref="I26"/>
    </sheetView>
  </sheetViews>
  <sheetFormatPr defaultRowHeight="15" x14ac:dyDescent="0.25"/>
  <cols>
    <col min="1" max="1" width="15.28515625" customWidth="1"/>
    <col min="3" max="3" width="15.42578125" customWidth="1"/>
    <col min="5" max="5" width="18.28515625" customWidth="1"/>
    <col min="7" max="7" width="17.42578125" customWidth="1"/>
    <col min="8" max="8" width="26.85546875" customWidth="1"/>
    <col min="9" max="9" width="9" customWidth="1"/>
  </cols>
  <sheetData>
    <row r="1" spans="1:17" x14ac:dyDescent="0.25">
      <c r="A1" s="16" t="s">
        <v>66</v>
      </c>
    </row>
    <row r="2" spans="1:17" x14ac:dyDescent="0.25">
      <c r="A2" s="16" t="s">
        <v>0</v>
      </c>
    </row>
    <row r="3" spans="1:17" x14ac:dyDescent="0.25">
      <c r="A3" s="16">
        <v>1</v>
      </c>
      <c r="E3" s="18"/>
      <c r="F3" s="18"/>
      <c r="G3" s="18"/>
      <c r="H3" s="18"/>
      <c r="I3" s="18"/>
      <c r="J3" s="18"/>
      <c r="K3" s="18"/>
      <c r="L3" s="18"/>
    </row>
    <row r="4" spans="1:17" x14ac:dyDescent="0.25">
      <c r="A4" s="16">
        <v>2</v>
      </c>
      <c r="E4" s="18"/>
      <c r="F4" s="18"/>
      <c r="G4" s="18"/>
      <c r="H4" s="18"/>
      <c r="I4" s="18"/>
      <c r="J4" s="18"/>
      <c r="K4" s="18"/>
      <c r="L4" s="18"/>
    </row>
    <row r="5" spans="1:17" x14ac:dyDescent="0.25">
      <c r="A5" s="16">
        <v>3</v>
      </c>
      <c r="E5" s="18"/>
      <c r="F5" s="18"/>
      <c r="G5" s="18"/>
      <c r="H5" s="18"/>
      <c r="I5" s="18"/>
      <c r="J5" s="18"/>
      <c r="K5" s="18"/>
      <c r="L5" s="18"/>
      <c r="M5" s="18"/>
      <c r="N5" s="18"/>
      <c r="O5" s="18"/>
      <c r="P5" s="18"/>
      <c r="Q5" s="18"/>
    </row>
    <row r="6" spans="1:17" x14ac:dyDescent="0.25">
      <c r="A6" s="16">
        <v>4</v>
      </c>
      <c r="E6" s="18"/>
      <c r="F6" s="18"/>
      <c r="G6" s="19"/>
      <c r="H6" s="18"/>
      <c r="I6" s="18"/>
      <c r="J6" s="18"/>
      <c r="K6" s="18"/>
      <c r="L6" s="18"/>
      <c r="M6" s="18"/>
      <c r="N6" s="18"/>
      <c r="O6" s="18"/>
      <c r="P6" s="18"/>
      <c r="Q6" s="18"/>
    </row>
    <row r="7" spans="1:17" x14ac:dyDescent="0.25">
      <c r="A7" s="16">
        <v>5</v>
      </c>
      <c r="E7" s="18"/>
      <c r="F7" s="18"/>
      <c r="G7" s="19"/>
      <c r="H7" s="18"/>
      <c r="I7" s="18"/>
      <c r="J7" s="18"/>
      <c r="K7" s="18"/>
      <c r="L7" s="18"/>
      <c r="M7" s="18"/>
      <c r="N7" s="18"/>
      <c r="O7" s="18"/>
      <c r="P7" s="18"/>
      <c r="Q7" s="18"/>
    </row>
    <row r="8" spans="1:17" x14ac:dyDescent="0.25">
      <c r="E8" s="18"/>
      <c r="F8" s="18"/>
      <c r="G8" s="19"/>
      <c r="H8" s="18"/>
      <c r="I8" s="18"/>
      <c r="J8" s="18"/>
      <c r="K8" s="18"/>
      <c r="L8" s="18"/>
      <c r="M8" s="18"/>
      <c r="N8" s="18"/>
      <c r="O8" s="18"/>
      <c r="P8" s="18"/>
      <c r="Q8" s="18"/>
    </row>
    <row r="9" spans="1:17" x14ac:dyDescent="0.25">
      <c r="E9" s="18"/>
      <c r="F9" s="18"/>
      <c r="G9" s="19"/>
      <c r="H9" s="19"/>
      <c r="I9" s="19"/>
      <c r="J9" s="19"/>
      <c r="K9" s="19"/>
      <c r="L9" s="19"/>
      <c r="M9" s="19"/>
      <c r="N9" s="19"/>
      <c r="O9" s="18"/>
      <c r="P9" s="18"/>
      <c r="Q9" s="18"/>
    </row>
    <row r="10" spans="1:17" x14ac:dyDescent="0.25">
      <c r="E10" s="18"/>
      <c r="F10" s="18"/>
      <c r="G10" s="19"/>
      <c r="H10" s="18"/>
      <c r="I10" s="18"/>
      <c r="J10" s="18"/>
      <c r="K10" s="19"/>
      <c r="L10" s="18"/>
      <c r="M10" s="18"/>
      <c r="N10" s="18"/>
      <c r="O10" s="18"/>
      <c r="P10" s="18"/>
      <c r="Q10" s="18"/>
    </row>
    <row r="11" spans="1:17" x14ac:dyDescent="0.25">
      <c r="E11" s="18"/>
      <c r="F11" s="18"/>
      <c r="G11" s="19"/>
      <c r="H11" s="18"/>
      <c r="I11" s="18"/>
      <c r="J11" s="18"/>
      <c r="K11" s="19"/>
      <c r="L11" s="18"/>
      <c r="M11" s="18"/>
      <c r="N11" s="18"/>
      <c r="O11" s="18"/>
      <c r="P11" s="18"/>
      <c r="Q11" s="18"/>
    </row>
    <row r="12" spans="1:17" x14ac:dyDescent="0.25">
      <c r="E12" s="18"/>
      <c r="F12" s="18"/>
      <c r="G12" s="19"/>
      <c r="H12" s="18"/>
      <c r="I12" s="18"/>
      <c r="J12" s="18"/>
      <c r="K12" s="19"/>
      <c r="L12" s="18"/>
      <c r="M12" s="18"/>
      <c r="N12" s="18"/>
      <c r="O12" s="18"/>
      <c r="P12" s="18"/>
      <c r="Q12" s="18"/>
    </row>
    <row r="13" spans="1:17" x14ac:dyDescent="0.25">
      <c r="E13" s="18"/>
      <c r="F13" s="18"/>
      <c r="G13" s="19"/>
      <c r="H13" s="19"/>
      <c r="I13" s="19"/>
      <c r="J13" s="19"/>
      <c r="K13" s="19"/>
      <c r="L13" s="19"/>
      <c r="M13" s="19"/>
      <c r="N13" s="19"/>
      <c r="O13" s="18"/>
      <c r="P13" s="18"/>
      <c r="Q13" s="18"/>
    </row>
    <row r="14" spans="1:17" x14ac:dyDescent="0.25">
      <c r="E14" s="18"/>
      <c r="F14" s="18"/>
      <c r="G14" s="19"/>
      <c r="H14" s="18"/>
      <c r="I14" s="18"/>
      <c r="J14" s="18"/>
      <c r="K14" s="19"/>
      <c r="L14" s="18"/>
      <c r="M14" s="18"/>
      <c r="N14" s="18"/>
      <c r="O14" s="18"/>
      <c r="P14" s="18"/>
      <c r="Q14" s="18"/>
    </row>
    <row r="15" spans="1:17" x14ac:dyDescent="0.25">
      <c r="D15" s="18"/>
      <c r="E15" s="18"/>
      <c r="F15" s="18"/>
      <c r="G15" s="19"/>
      <c r="H15" s="18"/>
      <c r="I15" s="18"/>
      <c r="J15" s="18"/>
      <c r="K15" s="19"/>
      <c r="L15" s="18"/>
      <c r="M15" s="18"/>
      <c r="N15" s="18"/>
      <c r="O15" s="18"/>
      <c r="P15" s="18"/>
      <c r="Q15" s="18"/>
    </row>
    <row r="16" spans="1:17" x14ac:dyDescent="0.25">
      <c r="D16" s="18"/>
      <c r="E16" s="18"/>
      <c r="F16" s="18"/>
      <c r="G16" s="19"/>
      <c r="H16" s="18"/>
      <c r="I16" s="18"/>
      <c r="J16" s="18"/>
      <c r="K16" s="19"/>
      <c r="L16" s="18"/>
      <c r="M16" s="18"/>
      <c r="N16" s="18"/>
      <c r="O16" s="18"/>
      <c r="P16" s="18"/>
      <c r="Q16" s="18"/>
    </row>
    <row r="17" spans="5:17" x14ac:dyDescent="0.25">
      <c r="E17" s="18"/>
      <c r="F17" s="18"/>
      <c r="G17" s="19"/>
      <c r="H17" s="18"/>
      <c r="I17" s="18"/>
      <c r="J17" s="18"/>
      <c r="K17" s="19"/>
      <c r="L17" s="18"/>
      <c r="M17" s="18"/>
      <c r="N17" s="18"/>
      <c r="O17" s="18"/>
      <c r="P17" s="18"/>
      <c r="Q17" s="18"/>
    </row>
    <row r="18" spans="5:17" x14ac:dyDescent="0.25">
      <c r="E18" s="18"/>
      <c r="F18" s="18"/>
      <c r="G18" s="19"/>
      <c r="H18" s="18"/>
      <c r="I18" s="18"/>
      <c r="J18" s="18"/>
      <c r="K18" s="18"/>
      <c r="L18" s="18"/>
      <c r="M18" s="18"/>
      <c r="N18" s="18"/>
      <c r="O18" s="18"/>
      <c r="P18" s="18"/>
      <c r="Q18" s="18"/>
    </row>
    <row r="19" spans="5:17" x14ac:dyDescent="0.25">
      <c r="E19" s="18"/>
      <c r="F19" s="18"/>
      <c r="G19" s="19"/>
      <c r="H19" s="18"/>
      <c r="I19" s="18"/>
      <c r="J19" s="18"/>
      <c r="K19" s="18"/>
      <c r="L19" s="18"/>
      <c r="M19" s="18"/>
      <c r="N19" s="18"/>
      <c r="O19" s="18"/>
      <c r="P19" s="18"/>
      <c r="Q19" s="18"/>
    </row>
    <row r="20" spans="5:17" x14ac:dyDescent="0.25">
      <c r="E20" s="18"/>
      <c r="F20" s="18"/>
      <c r="G20" s="19"/>
      <c r="H20" s="18"/>
      <c r="I20" s="18"/>
      <c r="J20" s="18"/>
      <c r="K20" s="18"/>
      <c r="L20" s="18"/>
      <c r="M20" s="18"/>
      <c r="N20" s="18"/>
      <c r="O20" s="18"/>
      <c r="P20" s="18"/>
      <c r="Q20" s="18"/>
    </row>
    <row r="21" spans="5:17" x14ac:dyDescent="0.25">
      <c r="E21" s="18"/>
      <c r="F21" s="18"/>
      <c r="G21" s="19"/>
      <c r="H21" s="18"/>
      <c r="I21" s="18"/>
      <c r="J21" s="18"/>
      <c r="K21" s="18"/>
      <c r="L21" s="18"/>
      <c r="M21" s="18"/>
      <c r="N21" s="18"/>
      <c r="O21" s="18"/>
      <c r="P21" s="18"/>
      <c r="Q21" s="18"/>
    </row>
    <row r="22" spans="5:17" x14ac:dyDescent="0.25">
      <c r="E22" s="18"/>
      <c r="F22" s="18"/>
      <c r="G22" s="18"/>
      <c r="H22" s="18"/>
      <c r="I22" s="18"/>
      <c r="J22" s="18"/>
      <c r="K22" s="18"/>
      <c r="L22" s="18"/>
      <c r="M22" s="18"/>
      <c r="N22" s="18"/>
      <c r="O22" s="18"/>
      <c r="P22" s="18"/>
      <c r="Q22" s="18"/>
    </row>
    <row r="23" spans="5:17" x14ac:dyDescent="0.25">
      <c r="E23" s="18"/>
      <c r="F23" s="18"/>
      <c r="G23" s="18"/>
      <c r="H23" s="18"/>
      <c r="I23" s="18"/>
      <c r="J23" s="18"/>
      <c r="K23" s="18"/>
      <c r="L23" s="18"/>
      <c r="M23" s="18"/>
      <c r="N23" s="18"/>
      <c r="O23" s="18"/>
      <c r="P23" s="18"/>
      <c r="Q23" s="18"/>
    </row>
    <row r="24" spans="5:17" x14ac:dyDescent="0.25">
      <c r="E24" s="18"/>
      <c r="F24" s="18"/>
      <c r="G24" s="18"/>
      <c r="H24" s="18"/>
      <c r="I24" s="18"/>
      <c r="J24" s="18"/>
      <c r="K24" s="18"/>
      <c r="L24" s="18"/>
      <c r="M24" s="18"/>
      <c r="N24" s="18"/>
      <c r="O24" s="18"/>
      <c r="P24" s="18"/>
      <c r="Q24" s="18"/>
    </row>
    <row r="25" spans="5:17" x14ac:dyDescent="0.25">
      <c r="E25" s="18"/>
      <c r="F25" s="18"/>
      <c r="G25" s="18"/>
      <c r="H25" s="18"/>
      <c r="I25" s="18"/>
      <c r="J25" s="18"/>
      <c r="K25" s="18"/>
      <c r="L25" s="18"/>
      <c r="M25" s="18"/>
      <c r="N25" s="18"/>
      <c r="O25" s="18"/>
      <c r="P25" s="18"/>
      <c r="Q25" s="18"/>
    </row>
    <row r="26" spans="5:17" x14ac:dyDescent="0.25">
      <c r="E26" s="18"/>
      <c r="F26" s="18"/>
      <c r="G26" s="18"/>
      <c r="H26" s="18"/>
      <c r="I26" s="18"/>
      <c r="J26" s="18"/>
      <c r="K26" s="18"/>
      <c r="L26" s="18"/>
      <c r="M26" s="18"/>
      <c r="N26" s="18"/>
      <c r="O26" s="18"/>
      <c r="P26" s="18"/>
      <c r="Q26" s="18"/>
    </row>
    <row r="27" spans="5:17" x14ac:dyDescent="0.25">
      <c r="E27" s="18"/>
      <c r="F27" s="18"/>
      <c r="G27" s="18"/>
      <c r="H27" s="18"/>
      <c r="I27" s="18"/>
      <c r="J27" s="18"/>
      <c r="K27" s="18"/>
      <c r="L27" s="18"/>
      <c r="M27" s="18"/>
      <c r="N27" s="18"/>
      <c r="O27" s="18"/>
      <c r="P27" s="18"/>
      <c r="Q27" s="18"/>
    </row>
    <row r="28" spans="5:17" x14ac:dyDescent="0.25">
      <c r="E28" s="18"/>
      <c r="F28" s="18"/>
      <c r="G28" s="18"/>
      <c r="H28" s="18"/>
      <c r="I28" s="18"/>
      <c r="J28" s="18"/>
      <c r="K28" s="18"/>
      <c r="L28" s="18"/>
      <c r="M28" s="18"/>
      <c r="N28" s="18"/>
      <c r="O28" s="18"/>
      <c r="P28" s="18"/>
      <c r="Q28" s="18"/>
    </row>
    <row r="29" spans="5:17" x14ac:dyDescent="0.25">
      <c r="E29" s="18"/>
      <c r="F29" s="18"/>
      <c r="G29" s="18"/>
      <c r="H29" s="18"/>
      <c r="I29" s="18"/>
      <c r="J29" s="18"/>
      <c r="K29" s="18"/>
      <c r="L29" s="18"/>
      <c r="M29" s="18"/>
      <c r="N29" s="18"/>
      <c r="O29" s="18"/>
      <c r="P29" s="18"/>
      <c r="Q29" s="18"/>
    </row>
  </sheetData>
  <pageMargins left="0.7" right="0.7" top="0.75" bottom="0.75" header="0.3" footer="0.3"/>
  <pageSetup paperSize="9" orientation="portrait" horizontalDpi="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34F48D8F043AB4E88B8448C9A41E4F2" ma:contentTypeVersion="13" ma:contentTypeDescription="Create a new document." ma:contentTypeScope="" ma:versionID="3865feef376cda2e852ae1c7fd8e37fa">
  <xsd:schema xmlns:xsd="http://www.w3.org/2001/XMLSchema" xmlns:xs="http://www.w3.org/2001/XMLSchema" xmlns:p="http://schemas.microsoft.com/office/2006/metadata/properties" xmlns:ns2="df15456a-aabd-451a-b26d-603cb9643e03" xmlns:ns3="17366138-4c19-4296-90e1-fdecf533ae0c" targetNamespace="http://schemas.microsoft.com/office/2006/metadata/properties" ma:root="true" ma:fieldsID="e87ae09b166ae28a29ff95ac7a778b10" ns2:_="" ns3:_="">
    <xsd:import namespace="df15456a-aabd-451a-b26d-603cb9643e03"/>
    <xsd:import namespace="17366138-4c19-4296-90e1-fdecf533ae0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15456a-aabd-451a-b26d-603cb9643e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7366138-4c19-4296-90e1-fdecf533ae0c"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23956E89-A259-4944-85C3-1766FCA27097}"/>
</file>

<file path=customXml/itemProps2.xml><?xml version="1.0" encoding="utf-8"?>
<ds:datastoreItem xmlns:ds="http://schemas.openxmlformats.org/officeDocument/2006/customXml" ds:itemID="{C08B4250-B95D-49BB-B3C5-3FC868E45619}">
  <ds:schemaRefs>
    <ds:schemaRef ds:uri="http://purl.org/dc/elements/1.1/"/>
    <ds:schemaRef ds:uri="http://schemas.microsoft.com/office/2006/metadata/properties"/>
    <ds:schemaRef ds:uri="http://purl.org/dc/terms/"/>
    <ds:schemaRef ds:uri="http://schemas.openxmlformats.org/package/2006/metadata/core-properties"/>
    <ds:schemaRef ds:uri="519c89c0-4739-45b7-90b4-c645f8135810"/>
    <ds:schemaRef ds:uri="http://schemas.microsoft.com/office/2006/documentManagement/types"/>
    <ds:schemaRef ds:uri="http://schemas.microsoft.com/office/infopath/2007/PartnerControls"/>
    <ds:schemaRef ds:uri="906258ce-5a0c-4f3f-a95b-99bb0331ce14"/>
    <ds:schemaRef ds:uri="http://www.w3.org/XML/1998/namespace"/>
    <ds:schemaRef ds:uri="http://purl.org/dc/dcmitype/"/>
  </ds:schemaRefs>
</ds:datastoreItem>
</file>

<file path=customXml/itemProps3.xml><?xml version="1.0" encoding="utf-8"?>
<ds:datastoreItem xmlns:ds="http://schemas.openxmlformats.org/officeDocument/2006/customXml" ds:itemID="{BE29E310-ECC5-4B3B-9676-09C492D3B983}">
  <ds:schemaRefs>
    <ds:schemaRef ds:uri="http://schemas.microsoft.com/sharepoint/v3/contenttype/forms"/>
  </ds:schemaRefs>
</ds:datastoreItem>
</file>

<file path=customXml/itemProps4.xml><?xml version="1.0" encoding="utf-8"?>
<ds:datastoreItem xmlns:ds="http://schemas.openxmlformats.org/officeDocument/2006/customXml" ds:itemID="{A578CA14-430D-4A5A-9C0A-B9DD4DB2966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Guidance</vt:lpstr>
      <vt:lpstr>Definitions</vt:lpstr>
      <vt:lpstr>Analysis Details</vt:lpstr>
      <vt:lpstr>Key Business Activities</vt:lpstr>
      <vt:lpstr>Impact of Disruption</vt:lpstr>
      <vt:lpstr>Key Targets</vt:lpstr>
      <vt:lpstr>Dependencies and Recovery Needs</vt:lpstr>
      <vt:lpstr>Priority List</vt:lpstr>
      <vt:lpstr>Tables</vt:lpstr>
      <vt:lpstr>Definitions!Print_Area</vt:lpstr>
      <vt:lpstr>Guidance!Print_Area</vt:lpstr>
      <vt:lpstr>'Key Business Activities'!Print_Area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CertiKit ISO22301 Toolkit</dc:title>
  <dc:creator>Copyright CertiKit</dc:creator>
  <cp:lastModifiedBy>Andie Darlington</cp:lastModifiedBy>
  <cp:lastPrinted>2021-10-01T12:28:51Z</cp:lastPrinted>
  <dcterms:created xsi:type="dcterms:W3CDTF">2015-06-05T18:17:20Z</dcterms:created>
  <dcterms:modified xsi:type="dcterms:W3CDTF">2021-10-07T14:40:01Z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0x010100D34F48D8F043AB4E88B8448C9A41E4F2</vt:lpwstr>
  </property>
</Properties>
</file>