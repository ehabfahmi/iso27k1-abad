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defaultThemeVersion="124226"/>
  <mc:AlternateContent xmlns:mc="http://schemas.openxmlformats.org/markup-compatibility/2006">
    <mc:Choice Requires="x15">
      <x15ac:absPath xmlns:x15ac="http://schemas.microsoft.com/office/spreadsheetml/2010/11/ac" url="C:\Users\KenHolmes\Desktop\"/>
    </mc:Choice>
  </mc:AlternateContent>
  <xr:revisionPtr revIDLastSave="0" documentId="13_ncr:1_{1784EABB-80F9-4D1A-BAF1-5F849CFDCA27}" xr6:coauthVersionLast="40" xr6:coauthVersionMax="40" xr10:uidLastSave="{00000000-0000-0000-0000-000000000000}"/>
  <bookViews>
    <workbookView xWindow="-120" yWindow="-120" windowWidth="29040" windowHeight="15840" activeTab="1" xr2:uid="{00000000-000D-0000-FFFF-FFFF00000000}"/>
  </bookViews>
  <sheets>
    <sheet name="Guidance" sheetId="7" r:id="rId1"/>
    <sheet name="Assessment Details" sheetId="8" r:id="rId2"/>
    <sheet name="Data Protection Impact Asst" sheetId="1" r:id="rId3"/>
    <sheet name="Likelihood" sheetId="4" r:id="rId4"/>
    <sheet name="Impact" sheetId="5" r:id="rId5"/>
    <sheet name="Classification" sheetId="6" r:id="rId6"/>
  </sheets>
  <definedNames>
    <definedName name="_xlnm.Print_Area" localSheetId="1">'Assessment Details'!$A$1:$B$13</definedName>
    <definedName name="_xlnm.Print_Area" localSheetId="5">Classification!$A$1:$L$28</definedName>
    <definedName name="_xlnm.Print_Area" localSheetId="2">'Data Protection Impact Asst'!$A$1:$T$28</definedName>
    <definedName name="_xlnm.Print_Area" localSheetId="0">Guidance!$B$1:$B$19</definedName>
    <definedName name="_xlnm.Print_Area" localSheetId="4">Impact!$A$1:$G$12</definedName>
    <definedName name="_xlnm.Print_Area" localSheetId="3">Likelihood!$A$1:$C$11</definedName>
    <definedName name="_xlnm.Print_Titles" localSheetId="2">'Data Protection Impact Asst'!$7:$8</definedName>
    <definedName name="Slicer_Personal_Data_Asset">#N/A</definedName>
    <definedName name="Slicer_Risk_Level">#N/A</definedName>
    <definedName name="Slicer_Risk_Owner">#N/A</definedName>
  </definedNames>
  <calcPr calcId="191029"/>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28" i="1" l="1"/>
  <c r="R24" i="1"/>
  <c r="R20" i="1"/>
  <c r="R16" i="1"/>
  <c r="R9" i="1" l="1"/>
  <c r="S9" i="1" s="1"/>
  <c r="R10" i="1"/>
  <c r="S10" i="1" s="1"/>
  <c r="R11" i="1"/>
  <c r="S11" i="1" s="1"/>
  <c r="R12" i="1"/>
  <c r="S12" i="1" s="1"/>
  <c r="R13" i="1"/>
  <c r="S13" i="1" s="1"/>
  <c r="R14" i="1"/>
  <c r="S14" i="1" s="1"/>
  <c r="R15" i="1"/>
  <c r="S15" i="1" s="1"/>
  <c r="S16" i="1"/>
  <c r="R17" i="1"/>
  <c r="S17" i="1" s="1"/>
  <c r="R18" i="1"/>
  <c r="S18" i="1" s="1"/>
  <c r="R19" i="1"/>
  <c r="S19" i="1" s="1"/>
  <c r="S20" i="1"/>
  <c r="R21" i="1"/>
  <c r="S21" i="1" s="1"/>
  <c r="R22" i="1"/>
  <c r="S22" i="1" s="1"/>
  <c r="R23" i="1"/>
  <c r="S23" i="1" s="1"/>
  <c r="S24" i="1"/>
  <c r="R25" i="1"/>
  <c r="S25" i="1" s="1"/>
  <c r="R26" i="1"/>
  <c r="S26" i="1" s="1"/>
  <c r="R27" i="1"/>
  <c r="S27" i="1" s="1"/>
  <c r="S28" i="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s>
  <commentList>
    <comment ref="A7" authorId="0" shapeId="0" xr:uid="{E305A09F-4D7B-4490-A1C8-2AFB02E4D528}">
      <text>
        <r>
          <rPr>
            <sz val="9"/>
            <color indexed="81"/>
            <rFont val="Tahoma"/>
            <family val="2"/>
          </rPr>
          <t>Describe the risk as fully as possible</t>
        </r>
      </text>
    </comment>
    <comment ref="E7" authorId="0" shapeId="0" xr:uid="{1496AFE7-7587-4F12-AAD6-E1596EC7E5C2}">
      <text>
        <r>
          <rPr>
            <sz val="9"/>
            <color indexed="81"/>
            <rFont val="Tahoma"/>
            <family val="2"/>
          </rPr>
          <t>This section describes the situation before any additional treatment actions have been applied to the risk</t>
        </r>
      </text>
    </comment>
    <comment ref="L7" authorId="0" shapeId="0" xr:uid="{FF879EF5-410E-408E-948F-7182EB76D12A}">
      <text>
        <r>
          <rPr>
            <sz val="9"/>
            <color indexed="81"/>
            <rFont val="Tahoma"/>
            <family val="2"/>
          </rPr>
          <t>This section describes what will be done about the risk i.e. its "treatment"</t>
        </r>
      </text>
    </comment>
    <comment ref="N7" authorId="0" shapeId="0" xr:uid="{1775BA59-6D06-4987-B9DF-54921E118483}">
      <text>
        <r>
          <rPr>
            <sz val="9"/>
            <color indexed="81"/>
            <rFont val="Tahoma"/>
            <family val="2"/>
          </rPr>
          <t xml:space="preserve">This section shows the expected effect of the risk treatment actions on the risk level  </t>
        </r>
      </text>
    </comment>
    <comment ref="A8" authorId="0" shapeId="0" xr:uid="{91403826-EA6A-4828-9760-BF24551DAA8F}">
      <text>
        <r>
          <rPr>
            <sz val="9"/>
            <color indexed="81"/>
            <rFont val="Tahoma"/>
            <family val="2"/>
          </rPr>
          <t>The sequential number allocated to the risk (do not re-use numbers)</t>
        </r>
      </text>
    </comment>
    <comment ref="B8" authorId="0" shapeId="0" xr:uid="{9E208AEA-8199-4FC9-9A7A-B4BA33D1A632}">
      <text>
        <r>
          <rPr>
            <sz val="9"/>
            <color indexed="81"/>
            <rFont val="Tahoma"/>
            <family val="2"/>
          </rPr>
          <t>The personal data that could be affected by the risk. Could be defined at individual data item level e.g. date of birth, or as a group of data items e.g. delivery information</t>
        </r>
      </text>
    </comment>
    <comment ref="C8" authorId="0" shapeId="0" xr:uid="{0615812A-7C51-454F-A015-61D2A672DAC0}">
      <text>
        <r>
          <rPr>
            <sz val="9"/>
            <color indexed="81"/>
            <rFont val="Tahoma"/>
            <family val="2"/>
          </rPr>
          <t>A description of what could happen to affect the personal data involved. This could typically affect the confidentiality, the integrity or the availability of the personal data. Brief examples could be "data is stolen by unauthorised person (hacker)" or "data is encrypted by ransomware". Include as full a description as possible</t>
        </r>
      </text>
    </comment>
    <comment ref="D8" authorId="0" shapeId="0" xr:uid="{87476637-B24B-41BA-B1EB-36DD2F348828}">
      <text>
        <r>
          <rPr>
            <sz val="9"/>
            <color indexed="81"/>
            <rFont val="Tahoma"/>
            <family val="2"/>
          </rPr>
          <t>The person to whom the risk is assigned</t>
        </r>
      </text>
    </comment>
    <comment ref="E8" authorId="0" shapeId="0" xr:uid="{77C6E981-BCC2-459D-8E81-B974BD73E47E}">
      <text>
        <r>
          <rPr>
            <sz val="9"/>
            <color indexed="81"/>
            <rFont val="Tahoma"/>
            <family val="2"/>
          </rPr>
          <t>What is currently being done to address the risk e.g. technical, administrative or procedural controls</t>
        </r>
      </text>
    </comment>
    <comment ref="F8" authorId="0" shapeId="0" xr:uid="{5146284A-0121-4900-B909-D96CB2A1C584}">
      <text>
        <r>
          <rPr>
            <sz val="9"/>
            <color indexed="81"/>
            <rFont val="Tahoma"/>
            <family val="2"/>
          </rPr>
          <t>How likely is it that the risk will happen?</t>
        </r>
      </text>
    </comment>
    <comment ref="G8" authorId="0" shapeId="0" xr:uid="{11414E8D-CC22-42D9-AD51-98819BE55EA1}">
      <text>
        <r>
          <rPr>
            <sz val="9"/>
            <color indexed="81"/>
            <rFont val="Tahoma"/>
            <family val="2"/>
          </rPr>
          <t>Explain why you have given the Likelihood score that you have. This will help others to understand your reasoning</t>
        </r>
      </text>
    </comment>
    <comment ref="H8" authorId="0" shapeId="0" xr:uid="{31061C53-E5F4-4810-A42B-BEF63653A888}">
      <text>
        <r>
          <rPr>
            <sz val="9"/>
            <color indexed="81"/>
            <rFont val="Tahoma"/>
            <family val="2"/>
          </rPr>
          <t>What level of impact or consequences will there be for the rights and freedoms of the data subject if the risk were to happen?</t>
        </r>
      </text>
    </comment>
    <comment ref="I8" authorId="0" shapeId="0" xr:uid="{3D5F7CC2-4991-4BA6-B8E5-EC4EB636E442}">
      <text>
        <r>
          <rPr>
            <sz val="9"/>
            <color indexed="81"/>
            <rFont val="Tahoma"/>
            <family val="2"/>
          </rPr>
          <t>Explain why you have given the Impact score that you have. This will help others to understand your reasoning</t>
        </r>
      </text>
    </comment>
    <comment ref="J8" authorId="0" shapeId="0" xr:uid="{479D9B93-28FA-454C-8488-84B3ACF33144}">
      <text>
        <r>
          <rPr>
            <sz val="9"/>
            <color indexed="81"/>
            <rFont val="Tahoma"/>
            <family val="2"/>
          </rPr>
          <t>The Risk Score is calculated automatically by multiplying the Likelihood rating by the  Impact rating</t>
        </r>
      </text>
    </comment>
    <comment ref="K8" authorId="0" shapeId="0" xr:uid="{D92F4D08-2585-4E79-98B5-A40A27A15739}">
      <text>
        <r>
          <rPr>
            <sz val="9"/>
            <color indexed="81"/>
            <rFont val="Tahoma"/>
            <family val="2"/>
          </rPr>
          <t>The Risk Level is assigned automatically based on the Risk Score and the Risk Classification table shown on the Classification tab</t>
        </r>
      </text>
    </comment>
    <comment ref="L8" authorId="0" shapeId="0" xr:uid="{2F715698-E2EA-4B50-8B54-0C3FCA1C07D4}">
      <text>
        <r>
          <rPr>
            <sz val="9"/>
            <color indexed="81"/>
            <rFont val="Tahoma"/>
            <family val="2"/>
          </rPr>
          <t xml:space="preserve">Select the approach to be taken to the treatment of the risk. In summary, Accept means that you will take no further action, Avoid means that you will take action so that the risk no longer applies, Modify means that you will take further action to reduce the Likelihood or Impact, Share means that another party will help to reduce the risk e.g. insurance  </t>
        </r>
      </text>
    </comment>
    <comment ref="M8" authorId="0" shapeId="0" xr:uid="{5B328976-F1DD-4790-990D-CE298B7B633B}">
      <text>
        <r>
          <rPr>
            <sz val="9"/>
            <color indexed="81"/>
            <rFont val="Tahoma"/>
            <family val="2"/>
          </rPr>
          <t>Describe the action(s) to be taken to Avoid, Modify or Share the risk (not required if the risk is Accepted)</t>
        </r>
      </text>
    </comment>
    <comment ref="N8" authorId="0" shapeId="0" xr:uid="{E004CC44-03F5-42E1-96AC-3507C4D2790A}">
      <text>
        <r>
          <rPr>
            <sz val="9"/>
            <color indexed="81"/>
            <rFont val="Tahoma"/>
            <family val="2"/>
          </rPr>
          <t>How likely is it that the risk will happen once the teatment actions have been applied?</t>
        </r>
      </text>
    </comment>
    <comment ref="O8" authorId="0" shapeId="0" xr:uid="{E4FBA008-F53F-4CF5-97C1-34512ED6FC49}">
      <text>
        <r>
          <rPr>
            <sz val="9"/>
            <color indexed="81"/>
            <rFont val="Tahoma"/>
            <family val="2"/>
          </rPr>
          <t>Explain why you have given the Likelihood score that you have. This will help others to understand your reasoning</t>
        </r>
      </text>
    </comment>
    <comment ref="P8" authorId="0" shapeId="0" xr:uid="{3725E2D5-1ED6-4963-8F8A-71B35DFCFE79}">
      <text>
        <r>
          <rPr>
            <sz val="9"/>
            <color indexed="81"/>
            <rFont val="Tahoma"/>
            <family val="2"/>
          </rPr>
          <t>Once the treatment actions have been applied, what level of impact or consequences will there be for the rights and freedoms of the data subject if the risk were to happen?</t>
        </r>
      </text>
    </comment>
    <comment ref="Q8" authorId="0" shapeId="0" xr:uid="{FFEE7C86-E42C-4C87-B768-71C49BC2165D}">
      <text>
        <r>
          <rPr>
            <sz val="9"/>
            <color indexed="81"/>
            <rFont val="Tahoma"/>
            <family val="2"/>
          </rPr>
          <t>Explain why you have given the Impact score that you have. This will help others to understand your reasoning</t>
        </r>
      </text>
    </comment>
    <comment ref="R8" authorId="0" shapeId="0" xr:uid="{712D5BA8-FDA9-4A5E-B379-E3241A4C073B}">
      <text>
        <r>
          <rPr>
            <sz val="9"/>
            <color indexed="81"/>
            <rFont val="Tahoma"/>
            <family val="2"/>
          </rPr>
          <t>The Post-treatment Risk Score is calculated automatically by multiplying the Post-treatment Likelihood rating by the Post-treatment Impact rating</t>
        </r>
      </text>
    </comment>
    <comment ref="S8" authorId="0" shapeId="0" xr:uid="{BC125DE5-938F-4203-B48F-ABF9F04190EC}">
      <text>
        <r>
          <rPr>
            <sz val="9"/>
            <color indexed="81"/>
            <rFont val="Tahoma"/>
            <family val="2"/>
          </rPr>
          <t>The Post-treatment Risk Level is assigned automatically based on the Risk Score and the Risk Classification table shown on the Classification tab</t>
        </r>
      </text>
    </comment>
    <comment ref="T8" authorId="0" shapeId="0" xr:uid="{9E3E1030-F203-4CDC-82E1-1AE720973185}">
      <text>
        <r>
          <rPr>
            <sz val="9"/>
            <color indexed="81"/>
            <rFont val="Tahoma"/>
            <family val="2"/>
          </rPr>
          <t>Any other relevant information about the risk</t>
        </r>
      </text>
    </comment>
  </commentList>
</comments>
</file>

<file path=xl/sharedStrings.xml><?xml version="1.0" encoding="utf-8"?>
<sst xmlns="http://schemas.openxmlformats.org/spreadsheetml/2006/main" count="315" uniqueCount="164">
  <si>
    <t>Ref.</t>
  </si>
  <si>
    <t>Existing Controls</t>
  </si>
  <si>
    <t>Likelihood</t>
  </si>
  <si>
    <t>Impact</t>
  </si>
  <si>
    <t>Description</t>
  </si>
  <si>
    <t>The chart below shows the rating scheme used to determine risk level based on a combination of likelihood and impact.</t>
  </si>
  <si>
    <t>Improbable</t>
  </si>
  <si>
    <t>Unlikely</t>
  </si>
  <si>
    <t>Likely</t>
  </si>
  <si>
    <t>Very Likely</t>
  </si>
  <si>
    <t>Almost certain</t>
  </si>
  <si>
    <t>Negligible</t>
  </si>
  <si>
    <t>Slight</t>
  </si>
  <si>
    <t>Moderate</t>
  </si>
  <si>
    <t>High</t>
  </si>
  <si>
    <t>Very High</t>
  </si>
  <si>
    <t>Risk Score</t>
  </si>
  <si>
    <t>Risk Level</t>
  </si>
  <si>
    <t>Classification of Risk Level</t>
  </si>
  <si>
    <t>The following table should be used to decide upon the most appropriate likelihood for a particular threat.</t>
  </si>
  <si>
    <t>Risk Owner</t>
  </si>
  <si>
    <t>Either already happens regularly or there is some reason to believe it is virtually imminent</t>
  </si>
  <si>
    <t>On balance, the risk is more likely to happen than not</t>
  </si>
  <si>
    <t>There is a possibility that it could happen, but it probably won't</t>
  </si>
  <si>
    <t>It would be a surprise if the risk did not occur either based on past frequency or current circumstances</t>
  </si>
  <si>
    <t>Summary</t>
  </si>
  <si>
    <t>General Description</t>
  </si>
  <si>
    <t>Impact Areas</t>
  </si>
  <si>
    <t>Impact Rating</t>
  </si>
  <si>
    <t>Has never happened before and there is no reason to think it is any more likely now</t>
  </si>
  <si>
    <t>Health and Safety</t>
  </si>
  <si>
    <t>Pre-Treatment</t>
  </si>
  <si>
    <t xml:space="preserve">Treatment  </t>
  </si>
  <si>
    <t>Post-Treatment</t>
  </si>
  <si>
    <t>Risk Description</t>
  </si>
  <si>
    <t>Comments</t>
  </si>
  <si>
    <t>Impact Level</t>
  </si>
  <si>
    <t>Select…</t>
  </si>
  <si>
    <t>Implementation Guidance</t>
  </si>
  <si>
    <t>(this section must be removed from final version of the document)</t>
  </si>
  <si>
    <t>Purpose of this document</t>
  </si>
  <si>
    <t>General Guidance</t>
  </si>
  <si>
    <t>Review Frequency</t>
  </si>
  <si>
    <t>It is a good idea to revisit this risk assessment on a regular basis and to ensure that new risks that occur are identified and assessed.</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</si>
  <si>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</si>
  <si>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</si>
  <si>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</si>
  <si>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</si>
  <si>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</si>
  <si>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</si>
  <si>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Likelihood Rationale</t>
  </si>
  <si>
    <t>Impact Rationale</t>
  </si>
  <si>
    <t>Post-treatment Likelihood</t>
  </si>
  <si>
    <t>Post-treatment Likelihood Rationale</t>
  </si>
  <si>
    <t>Post-treatment Impact</t>
  </si>
  <si>
    <t>Post-treatment Impact Rationale</t>
  </si>
  <si>
    <t>Post-treatment Risk Score</t>
  </si>
  <si>
    <t>Post-treatment Risk Level</t>
  </si>
  <si>
    <t>Treatment option chosen</t>
  </si>
  <si>
    <t>This document should be used to perform a data protection impact assessment, including assessing the expected effects of treatments.</t>
  </si>
  <si>
    <t>Areas of the GDPR addressed</t>
  </si>
  <si>
    <t xml:space="preserve">The following articles of the GDPR are addressed by this document:
Article 35 – Data protection impact assessment
</t>
  </si>
  <si>
    <t>Personal Data Asset</t>
  </si>
  <si>
    <t>Risk Scenario</t>
  </si>
  <si>
    <t>The following table should be used as guidance to help to decide upon the correct impact rating for a particular threat.</t>
  </si>
  <si>
    <t>Data Protection Impact Assessment Workbook</t>
  </si>
  <si>
    <t>[Note: to choose a different table layout,  click in the table, select the Design menu ribbon and choose a  table style]</t>
  </si>
  <si>
    <t>The key objective of the data protection impact assessment is to ensure that all of the serious risks to personal data that need treatment are identified so that something can be done about them. Be careful not to make your assessment too large or complicated as much of the impact will be lost. This workbook is intended to be used to assess the effects of the proposed treatments also, so that the level of residual risk can be shown.</t>
  </si>
  <si>
    <t>Financial</t>
  </si>
  <si>
    <t>Impact on Reputation</t>
  </si>
  <si>
    <t>Legal impact</t>
  </si>
  <si>
    <t>Other potential impacts</t>
  </si>
  <si>
    <t>Treatment action(s)</t>
  </si>
  <si>
    <t>Completion Guidance</t>
  </si>
  <si>
    <t>Short, descriptive title</t>
  </si>
  <si>
    <t>Describe the general environment in which the assessment is carried out and internal and external factors affecting it</t>
  </si>
  <si>
    <t xml:space="preserve">Risk Acceptance Criteria:
</t>
  </si>
  <si>
    <t>Set out the factors which will make a risk acceptable and therefore not require treatment</t>
  </si>
  <si>
    <t xml:space="preserve">Version:
</t>
  </si>
  <si>
    <t>Start at Version 1</t>
  </si>
  <si>
    <t xml:space="preserve">Dated: 
</t>
  </si>
  <si>
    <t xml:space="preserve">Date the assessment was carried out
</t>
  </si>
  <si>
    <t xml:space="preserve">Approval:
</t>
  </si>
  <si>
    <t>Name and title of approver</t>
  </si>
  <si>
    <t xml:space="preserve">Date Approved:
</t>
  </si>
  <si>
    <t>Date the assessment was approved</t>
  </si>
  <si>
    <t>Data Protection Impact Assessment Details</t>
  </si>
  <si>
    <t xml:space="preserve">Assessment Title:
</t>
  </si>
  <si>
    <t xml:space="preserve">Assessment Scope:
</t>
  </si>
  <si>
    <t xml:space="preserve">Context of Assessment:
</t>
  </si>
  <si>
    <t xml:space="preserve">Assessor(s):
</t>
  </si>
  <si>
    <t xml:space="preserve">Assessment Participants:
</t>
  </si>
  <si>
    <t>Describe the scope of the data protection impact assessment e.g. business area, project</t>
  </si>
  <si>
    <t>Name and title of person(s) carrying out the assessment</t>
  </si>
  <si>
    <t>Names and titles of people contributing to the assessment</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</si>
  <si>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</si>
  <si>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</si>
  <si>
    <t>New HR System Data Protection Impact Assessment</t>
  </si>
  <si>
    <t>The impact to the employees of the system that is to replace the current human resources system, due to be live in April 20xx.</t>
  </si>
  <si>
    <t>27 Nov 20xx</t>
  </si>
  <si>
    <t>A. Assessor</t>
  </si>
  <si>
    <t>HR Manager</t>
  </si>
  <si>
    <t>HR Manager
Employee focus group
Legal Officer
IT Manager</t>
  </si>
  <si>
    <t>A. Director</t>
  </si>
  <si>
    <t>12 Dec 20xx</t>
  </si>
  <si>
    <t>Employee name and address</t>
  </si>
  <si>
    <t>Employee bank details</t>
  </si>
  <si>
    <t>Employee tax number</t>
  </si>
  <si>
    <t>Employee fingerprints</t>
  </si>
  <si>
    <t>Employee health and sickness information</t>
  </si>
  <si>
    <t>The current HR system is being replaced and the new system will record additional items of information about employees, including biometric data such as fingerprints. It will also cover areas such as sickness, which the previous system did not cover, and so will hold health-related data.</t>
  </si>
  <si>
    <t>Data is stolen by an unauthorised person</t>
  </si>
  <si>
    <t>Data is lost during the system conversion</t>
  </si>
  <si>
    <t>Data is corrupted during the system conversion</t>
  </si>
  <si>
    <t>Data becomes viewable by other employees</t>
  </si>
  <si>
    <t>Firewall and access control</t>
  </si>
  <si>
    <t>Access control</t>
  </si>
  <si>
    <t>Testing of conversion programs</t>
  </si>
  <si>
    <t>Pre-conversion backups</t>
  </si>
  <si>
    <t>Conversion Manager</t>
  </si>
  <si>
    <t>IT Manager</t>
  </si>
  <si>
    <t>No breaches have happened to date.</t>
  </si>
  <si>
    <t>There is in-house experience with similar data conversions.</t>
  </si>
  <si>
    <t>Relies upon correct configuration which can be complicated.</t>
  </si>
  <si>
    <t>This is generally publicly-available data.</t>
  </si>
  <si>
    <t>May affect tax situation of employee.</t>
  </si>
  <si>
    <t>Employee will need to provide details again.</t>
  </si>
  <si>
    <t>Invasion of employee's privacy.</t>
  </si>
  <si>
    <t>May expose the employee to fraud.</t>
  </si>
  <si>
    <t>May result in salary being paid to wrong account.</t>
  </si>
  <si>
    <t>Cannot be changed; may expose employee to future fraud.</t>
  </si>
  <si>
    <t>May affect the employee's use of the system.</t>
  </si>
  <si>
    <t>Invasion of privacy, embarrassment, potential fraud.</t>
  </si>
  <si>
    <t>May be the only record of some information; difficult for employee to recreate.</t>
  </si>
  <si>
    <t>Could affect treatment or employment adversely.</t>
  </si>
  <si>
    <t>Accept</t>
  </si>
  <si>
    <t>Modify</t>
  </si>
  <si>
    <t>Risks with a score of 8 or lower will be accepted.</t>
  </si>
  <si>
    <t>Involve external specialist with configuration and thorough testing.</t>
  </si>
  <si>
    <t>Likelihood of incorrect configuration reduced.</t>
  </si>
  <si>
    <t>No change.</t>
  </si>
  <si>
    <t>Encrypt all fingerprint data.</t>
  </si>
  <si>
    <t>Data will not be readable.</t>
  </si>
  <si>
    <t>Encrypt health data; use multi-factor logon to access areas of system where health data stored.</t>
  </si>
  <si>
    <t>Better access control.</t>
  </si>
  <si>
    <t>No loss</t>
  </si>
  <si>
    <t>Less than £10</t>
  </si>
  <si>
    <t>Up to £100</t>
  </si>
  <si>
    <t>Up to £10,000</t>
  </si>
  <si>
    <t>More than £10,000</t>
  </si>
  <si>
    <t>No harm</t>
  </si>
  <si>
    <t>Minor harm</t>
  </si>
  <si>
    <t>Potential for death</t>
  </si>
  <si>
    <t>Serious injury</t>
  </si>
  <si>
    <t>Significant, but non life-threatening injuries</t>
  </si>
  <si>
    <t>No impact</t>
  </si>
  <si>
    <t>Slight embarrassment</t>
  </si>
  <si>
    <t>Reputation is ruined permanently</t>
  </si>
  <si>
    <t>Severe, but temporary damage to reputation</t>
  </si>
  <si>
    <t>Local embarrassment</t>
  </si>
  <si>
    <t>Minor breach of law</t>
  </si>
  <si>
    <t>Significant illegality without prison or major fines</t>
  </si>
  <si>
    <t>May lead to lengthy prison term or very large fines</t>
  </si>
  <si>
    <t>Potential major prosecution with threat to liberty and high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</si>
</sst>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1"/>
      <color theme="1"/>
      <name val="Arial"/>
      <family val="2"/>
    </font>
    <font>
      <b/>
      <sz val="16"/>
      <color theme="1"/>
      <name val="Calibri"/>
      <family val="2"/>
      <scheme val="minor"/>
    </font>
    <font>
      <b/>
      <sz val="14"/>
      <name val="Arial"/>
      <family val="2"/>
    </font>
    <font>
      <b/>
      <sz val="10"/>
      <name val="Arial"/>
      <family val="2"/>
    </font>
    <font>
      <b/>
      <sz val="12"/>
      <color theme="1"/>
      <name val="Arial"/>
      <family val="2"/>
    </font>
    <font>
      <sz val="12"/>
      <name val="Arial"/>
      <family val="2"/>
    </font>
    <font>
      <b/>
      <sz val="12"/>
      <name val="Arial"/>
      <family val="2"/>
    </font>
    <font>
      <i/>
      <sz val="12"/>
      <name val="Arial"/>
      <family val="2"/>
    </font>
    <font>
      <sz val="12"/>
      <color theme="1"/>
      <name val="Arial"/>
      <family val="2"/>
    </font>
    <font>
      <sz val="10"/>
      <name val="Arial"/>
      <family val="2"/>
    </font>
    <font>
      <b/>
      <sz val="11"/>
      <name val="Calibri"/>
      <family val="2"/>
      <scheme val="minor"/>
    </font>
    <font>
      <sz val="9"/>
      <color indexed="81"/>
      <name val="Tahoma"/>
      <family val="2"/>
    </font>
    <font>
      <b/>
      <sz val="14"/>
      <color theme="1"/>
      <name val="Calibri"/>
      <family val="2"/>
      <scheme val="minor"/>
    </font>
    <font>
      <i/>
      <sz val="12"/>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xf>
    <xf numFmtId="0" fontId="5" fillId="0" borderId="0" xfId="0" applyFont="1"/>
    <xf numFmtId="0" fontId="6"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3" xfId="0" applyFont="1" applyBorder="1" applyAlignment="1">
      <alignment horizontal="justify" vertical="center" wrapText="1"/>
    </xf>
    <xf numFmtId="0" fontId="9"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0" fillId="0" borderId="1" xfId="0" applyFont="1" applyBorder="1" applyAlignment="1">
      <alignment horizontal="justify" vertical="center"/>
    </xf>
    <xf numFmtId="0" fontId="9" fillId="0" borderId="2" xfId="0" applyFont="1" applyBorder="1"/>
    <xf numFmtId="0" fontId="10" fillId="0" borderId="3" xfId="0" applyFont="1" applyBorder="1" applyAlignment="1">
      <alignment horizontal="justify" vertical="center"/>
    </xf>
    <xf numFmtId="0" fontId="9" fillId="0" borderId="2" xfId="0" applyFont="1" applyBorder="1" applyAlignment="1">
      <alignment horizontal="justify" vertical="center"/>
    </xf>
    <xf numFmtId="0" fontId="2" fillId="0" borderId="0" xfId="0" applyFont="1" applyAlignment="1" applyProtection="1">
      <alignment horizontal="center" vertical="center" wrapText="1"/>
      <protection locked="0"/>
    </xf>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pplyProtection="1">
      <alignment vertical="center" wrapText="1"/>
      <protection locked="0"/>
    </xf>
    <xf numFmtId="0" fontId="2" fillId="0" borderId="0" xfId="0" applyFont="1" applyAlignment="1" applyProtection="1">
      <alignment vertical="center"/>
      <protection locked="0"/>
    </xf>
    <xf numFmtId="0" fontId="2" fillId="0" borderId="0" xfId="0" applyFont="1" applyAlignment="1" applyProtection="1">
      <alignment horizontal="left" vertical="center" wrapText="1"/>
      <protection locked="0"/>
    </xf>
    <xf numFmtId="0" fontId="0" fillId="0" borderId="0" xfId="0" applyAlignment="1">
      <alignment horizontal="left" vertical="center" wrapText="1"/>
    </xf>
    <xf numFmtId="0" fontId="1" fillId="2" borderId="0" xfId="0" applyFont="1" applyFill="1" applyAlignment="1">
      <alignment horizontal="left" wrapText="1"/>
    </xf>
    <xf numFmtId="0" fontId="9" fillId="0" borderId="0" xfId="0" applyFont="1" applyAlignment="1" applyProtection="1">
      <alignment horizontal="left"/>
      <protection locked="0"/>
    </xf>
    <xf numFmtId="0" fontId="12" fillId="0" borderId="0" xfId="0" applyFont="1" applyAlignment="1" applyProtection="1">
      <alignment horizontal="left"/>
      <protection locked="0"/>
    </xf>
    <xf numFmtId="0" fontId="7" fillId="2" borderId="0" xfId="0" applyFont="1" applyFill="1" applyAlignment="1">
      <alignment vertical="center" wrapText="1"/>
    </xf>
    <xf numFmtId="0" fontId="7" fillId="2" borderId="0" xfId="0" applyFont="1" applyFill="1" applyAlignment="1">
      <alignment horizontal="center" vertical="center" wrapText="1"/>
    </xf>
    <xf numFmtId="0" fontId="7" fillId="2" borderId="0" xfId="0" applyFont="1" applyFill="1" applyAlignment="1">
      <alignment horizontal="left" vertical="center" wrapText="1"/>
    </xf>
    <xf numFmtId="0" fontId="16" fillId="0" borderId="0" xfId="0" applyFont="1"/>
    <xf numFmtId="0" fontId="8" fillId="2" borderId="4" xfId="0" applyFont="1" applyFill="1" applyBorder="1" applyAlignment="1">
      <alignment vertical="top" wrapText="1"/>
    </xf>
    <xf numFmtId="0" fontId="12" fillId="0" borderId="4" xfId="0" applyFont="1" applyBorder="1" applyAlignment="1" applyProtection="1">
      <alignment horizontal="left" vertical="top" wrapText="1"/>
      <protection locked="0"/>
    </xf>
    <xf numFmtId="0" fontId="12" fillId="0" borderId="0" xfId="0" applyFont="1" applyAlignment="1">
      <alignment horizontal="left" vertical="top"/>
    </xf>
    <xf numFmtId="0" fontId="17" fillId="0" borderId="0" xfId="0" applyFont="1" applyAlignment="1">
      <alignment horizontal="left" vertical="top"/>
    </xf>
    <xf numFmtId="0" fontId="12" fillId="0" borderId="0" xfId="0" applyFont="1" applyAlignment="1">
      <alignment horizontal="left" vertical="top" wrapText="1"/>
    </xf>
    <xf numFmtId="0" fontId="17" fillId="0" borderId="0" xfId="0" applyFont="1" applyAlignment="1">
      <alignment horizontal="left" vertical="top" wrapText="1"/>
    </xf>
    <xf numFmtId="0" fontId="10" fillId="2" borderId="4" xfId="0" applyFont="1" applyFill="1" applyBorder="1" applyAlignment="1">
      <alignment vertical="top" wrapText="1"/>
    </xf>
    <xf numFmtId="0" fontId="9" fillId="0" borderId="4" xfId="0" applyFont="1" applyBorder="1" applyAlignment="1" applyProtection="1">
      <alignment horizontal="left" vertical="top" wrapText="1"/>
      <protection locked="0"/>
    </xf>
    <xf numFmtId="0" fontId="9"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lignment horizontal="center" vertical="center" wrapText="1"/>
    </xf>
    <xf numFmtId="0" fontId="1" fillId="2" borderId="4"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4" xfId="0" applyFont="1" applyFill="1" applyBorder="1" applyAlignment="1">
      <alignment vertical="center"/>
    </xf>
    <xf numFmtId="0" fontId="0" fillId="0" borderId="4" xfId="0" applyBorder="1"/>
    <xf numFmtId="0" fontId="3" fillId="0" borderId="0" xfId="0" applyFont="1" applyAlignment="1">
      <alignment horizontal="right"/>
    </xf>
    <xf numFmtId="0" fontId="7" fillId="0" borderId="0" xfId="0" applyFont="1" applyAlignment="1">
      <alignment horizontal="right"/>
    </xf>
    <xf numFmtId="0" fontId="2" fillId="0" borderId="0" xfId="0" applyFont="1" applyAlignment="1" applyProtection="1">
      <alignment horizontal="left"/>
      <protection locked="0"/>
    </xf>
    <xf numFmtId="0" fontId="13" fillId="0" borderId="0" xfId="0" applyFont="1" applyAlignment="1" applyProtection="1">
      <alignment horizontal="left"/>
      <protection locked="0"/>
    </xf>
    <xf numFmtId="0" fontId="4" fillId="3" borderId="0" xfId="0" applyFont="1" applyFill="1" applyAlignment="1">
      <alignment horizontal="center" wrapText="1"/>
    </xf>
    <xf numFmtId="0" fontId="1" fillId="2" borderId="0" xfId="0" applyFont="1" applyFill="1" applyAlignment="1">
      <alignment horizontal="left" vertical="center"/>
    </xf>
    <xf numFmtId="0" fontId="0" fillId="0" borderId="0" xfId="0" applyAlignment="1">
      <alignment horizontal="left"/>
    </xf>
    <xf numFmtId="0" fontId="2" fillId="0" borderId="0" xfId="0" applyFont="1" applyAlignment="1">
      <alignment horizontal="center" vertical="center"/>
    </xf>
    <xf numFmtId="0" fontId="2" fillId="0" borderId="0" xfId="0" applyFont="1" applyAlignment="1" applyProtection="1">
      <alignment wrapText="1"/>
      <protection locked="0"/>
    </xf>
    <xf numFmtId="0" fontId="2" fillId="0" borderId="0" xfId="0" applyFont="1" applyAlignment="1" applyProtection="1">
      <alignment vertical="top" wrapText="1"/>
      <protection locked="0"/>
    </xf>
    <xf numFmtId="0" fontId="0" fillId="0" borderId="0" xfId="0" applyAlignment="1">
      <alignment vertical="center" wrapText="1"/>
    </xf>
  </cellXfs>
  <cellStyles count="1">
    <cellStyle name="Normal" xfId="0" builtinId="0"/>
  </cellStyles>
  <dxfs count="35">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protection locked="0" hidden="0"/>
    </dxf>
    <dxf>
      <font>
        <b/>
        <i val="0"/>
      </font>
      <fill>
        <patternFill>
          <bgColor rgb="FFFF0000"/>
        </patternFill>
      </fill>
    </dxf>
    <dxf>
      <font>
        <b/>
        <i val="0"/>
      </font>
      <fill>
        <patternFill>
          <bgColor rgb="FFFFC000"/>
        </patternFill>
      </fill>
    </dxf>
    <dxf>
      <font>
        <b/>
        <i val="0"/>
      </font>
      <fill>
        <patternFill>
          <bgColor rgb="FF00CC00"/>
        </patternFill>
      </fill>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center" vertical="bottom" textRotation="0" wrapText="1" indent="0" justifyLastLine="0" shrinkToFit="0" readingOrder="0"/>
    </dxf>
    <dxf>
      <alignment horizontal="center" vertical="bottom" textRotation="0" wrapText="0" indent="0" justifyLastLine="0" shrinkToFit="0" readingOrder="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ill>
        <patternFill patternType="none">
          <fgColor indexed="64"/>
          <bgColor auto="1"/>
        </patternFill>
      </fill>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1609725</xdr:colOff>
      <xdr:row>0</xdr:row>
      <xdr:rowOff>19049</xdr:rowOff>
    </xdr:from>
    <xdr:to>
      <xdr:col>1</xdr:col>
      <xdr:colOff>4121785</xdr:colOff>
      <xdr:row>0</xdr:row>
      <xdr:rowOff>695325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9325" y="19049"/>
          <a:ext cx="2512060" cy="6762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2219324</xdr:colOff>
      <xdr:row>0</xdr:row>
      <xdr:rowOff>676275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19324"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330835</xdr:colOff>
      <xdr:row>0</xdr:row>
      <xdr:rowOff>653415</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0"/>
          <a:ext cx="2512060" cy="653415"/>
        </a:xfrm>
        <a:prstGeom prst="rect">
          <a:avLst/>
        </a:prstGeom>
      </xdr:spPr>
    </xdr:pic>
    <xdr:clientData/>
  </xdr:twoCellAnchor>
  <xdr:twoCellAnchor>
    <xdr:from>
      <xdr:col>7</xdr:col>
      <xdr:colOff>276225</xdr:colOff>
      <xdr:row>0</xdr:row>
      <xdr:rowOff>197175</xdr:rowOff>
    </xdr:from>
    <xdr:to>
      <xdr:col>12</xdr:col>
      <xdr:colOff>1133475</xdr:colOff>
      <xdr:row>5</xdr:row>
      <xdr:rowOff>180975</xdr:rowOff>
    </xdr:to>
    <xdr:grpSp>
      <xdr:nvGrpSpPr>
        <xdr:cNvPr id="7" name="Group 6">
          <a:extLst>
            <a:ext uri="{FF2B5EF4-FFF2-40B4-BE49-F238E27FC236}">
              <a16:creationId xmlns:a16="http://schemas.microsoft.com/office/drawing/2014/main" id="{00000000-0008-0000-0200-000007000000}"/>
            </a:ext>
          </a:extLst>
        </xdr:cNvPr>
        <xdr:cNvGrpSpPr/>
      </xdr:nvGrpSpPr>
      <xdr:grpSpPr>
        <a:xfrm>
          <a:off x="9896475" y="197175"/>
          <a:ext cx="5657850" cy="1622100"/>
          <a:chOff x="9896475" y="197175"/>
          <a:chExt cx="4760025" cy="1584000"/>
        </a:xfrm>
      </xdr:grpSpPr>
      <mc:AlternateContent xmlns:mc="http://schemas.openxmlformats.org/markup-compatibility/2006" xmlns:sle15="http://schemas.microsoft.com/office/drawing/2012/slicer">
        <mc:Choice Requires="sle15">
          <xdr:graphicFrame macro="">
            <xdr:nvGraphicFramePr>
              <xdr:cNvPr id="2" name="Personal Data Asset">
                <a:extLst>
                  <a:ext uri="{FF2B5EF4-FFF2-40B4-BE49-F238E27FC236}">
                    <a16:creationId xmlns:a16="http://schemas.microsoft.com/office/drawing/2014/main" id="{00000000-0008-0000-0200-000002000000}"/>
                  </a:ext>
                </a:extLst>
              </xdr:cNvPr>
              <xdr:cNvGraphicFramePr/>
            </xdr:nvGraphicFramePr>
            <xdr:xfrm>
              <a:off x="9896475" y="197175"/>
              <a:ext cx="1512000" cy="1584000"/>
            </xdr:xfrm>
            <a:graphic>
              <a:graphicData uri="http://schemas.microsoft.com/office/drawing/2010/slicer">
                <sle:slicer xmlns:sle="http://schemas.microsoft.com/office/drawing/2010/slicer" name="Personal Data Asset"/>
              </a:graphicData>
            </a:graphic>
          </xdr:graphicFrame>
        </mc:Choice>
        <mc:Fallback xmlns="">
          <xdr:sp macro="" textlink="">
            <xdr:nvSpPr>
              <xdr:cNvPr id="0" name=""/>
              <xdr:cNvSpPr>
                <a:spLocks noTextEdit="1"/>
              </xdr:cNvSpPr>
            </xdr:nvSpPr>
            <xdr:spPr>
              <a:xfrm>
                <a:off x="9896475"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Owner">
                <a:extLst>
                  <a:ext uri="{FF2B5EF4-FFF2-40B4-BE49-F238E27FC236}">
                    <a16:creationId xmlns:a16="http://schemas.microsoft.com/office/drawing/2014/main" id="{00000000-0008-0000-0200-000004000000}"/>
                  </a:ext>
                </a:extLst>
              </xdr:cNvPr>
              <xdr:cNvGraphicFramePr/>
            </xdr:nvGraphicFramePr>
            <xdr:xfrm>
              <a:off x="11515725" y="197175"/>
              <a:ext cx="1512000" cy="15840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11821144"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Risk Level">
                <a:extLst>
                  <a:ext uri="{FF2B5EF4-FFF2-40B4-BE49-F238E27FC236}">
                    <a16:creationId xmlns:a16="http://schemas.microsoft.com/office/drawing/2014/main" id="{00000000-0008-0000-0200-000005000000}"/>
                  </a:ext>
                </a:extLst>
              </xdr:cNvPr>
              <xdr:cNvGraphicFramePr/>
            </xdr:nvGraphicFramePr>
            <xdr:xfrm>
              <a:off x="13144500" y="197175"/>
              <a:ext cx="1512000" cy="15840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3757135"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445135</xdr:colOff>
      <xdr:row>0</xdr:row>
      <xdr:rowOff>653415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511810</xdr:colOff>
      <xdr:row>0</xdr:row>
      <xdr:rowOff>653415</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73660</xdr:colOff>
      <xdr:row>0</xdr:row>
      <xdr:rowOff>653415</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11</xdr:col>
          <xdr:colOff>542925</xdr:colOff>
          <xdr:row>26</xdr:row>
          <xdr:rowOff>123825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Data_Asset" xr10:uid="{00000000-0013-0000-FFFF-FFFF01000000}" sourceName="Personal Data Asset">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00000000-0013-0000-FFFF-FFFF02000000}" sourceName="Risk Owner">
  <extLst>
    <x:ext xmlns:x15="http://schemas.microsoft.com/office/spreadsheetml/2010/11/main" uri="{2F2917AC-EB37-4324-AD4E-5DD8C200BD13}">
      <x15:tableSlicerCache tableId="3"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0000000-0013-0000-FFFF-FFFF03000000}" sourceName="Risk Level">
  <extLst>
    <x:ext xmlns:x15="http://schemas.microsoft.com/office/spreadsheetml/2010/11/main" uri="{2F2917AC-EB37-4324-AD4E-5DD8C200BD13}">
      <x15:tableSlicerCache tableId="3"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al Data Asset" xr10:uid="{00000000-0014-0000-FFFF-FFFF01000000}" cache="Slicer_Personal_Data_Asset" caption="Personal Data Asset" rowHeight="241300"/>
  <slicer name="Risk Owner" xr10:uid="{00000000-0014-0000-FFFF-FFFF02000000}" cache="Slicer_Risk_Owner" caption="Risk Owner" rowHeight="241300"/>
  <slicer name="Risk Level" xr10:uid="{00000000-0014-0000-FFFF-FFFF03000000}" cache="Slicer_Risk_Level" caption="Risk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PImpactAssessment" displayName="DPImpactAssessment" ref="A8:T28" totalsRowShown="0" headerRowDxfId="34" dataDxfId="33">
  <autoFilter ref="A8:T2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0000000-0010-0000-0000-000001000000}" name="Ref." dataDxfId="6"/>
    <tableColumn id="2" xr3:uid="{00000000-0010-0000-0000-000002000000}" name="Personal Data Asset" dataDxfId="7"/>
    <tableColumn id="3" xr3:uid="{00000000-0010-0000-0000-000003000000}" name="Risk Scenario" dataDxfId="32"/>
    <tableColumn id="5" xr3:uid="{00000000-0010-0000-0000-000005000000}" name="Risk Owner" dataDxfId="31"/>
    <tableColumn id="6" xr3:uid="{00000000-0010-0000-0000-000006000000}" name="Existing Controls" dataDxfId="30"/>
    <tableColumn id="7" xr3:uid="{00000000-0010-0000-0000-000007000000}" name="Likelihood" dataDxfId="29"/>
    <tableColumn id="8" xr3:uid="{00000000-0010-0000-0000-000008000000}" name="Likelihood Rationale" dataDxfId="28"/>
    <tableColumn id="9" xr3:uid="{00000000-0010-0000-0000-000009000000}" name="Impact" dataDxfId="27"/>
    <tableColumn id="10" xr3:uid="{00000000-0010-0000-0000-00000A000000}" name="Impact Rationale" dataDxfId="26"/>
    <tableColumn id="11" xr3:uid="{00000000-0010-0000-0000-00000B000000}" name="Risk Score" dataDxfId="25">
      <calculatedColumnFormula>IFERROR(DPImpactAssessment[[#This Row],[Likelihood]]*DPImpactAssessment[[#This Row],[Impact]],"Calculated")</calculatedColumnFormula>
    </tableColumn>
    <tableColumn id="12" xr3:uid="{00000000-0010-0000-0000-00000C000000}" name="Risk Level" dataDxfId="24">
      <calculatedColumnFormula>IF(J9="Calculated", "Calculated", IF(J9&gt;11,"HIGH",IF(J9&gt;4,"MEDIUM","LOW")))</calculatedColumnFormula>
    </tableColumn>
    <tableColumn id="13" xr3:uid="{00000000-0010-0000-0000-00000D000000}" name="Treatment option chosen" dataDxfId="23"/>
    <tableColumn id="14" xr3:uid="{00000000-0010-0000-0000-00000E000000}" name="Treatment action(s)" dataDxfId="22"/>
    <tableColumn id="18" xr3:uid="{00000000-0010-0000-0000-000012000000}" name="Post-treatment Likelihood" dataDxfId="21"/>
    <tableColumn id="19" xr3:uid="{00000000-0010-0000-0000-000013000000}" name="Post-treatment Likelihood Rationale" dataDxfId="20"/>
    <tableColumn id="20" xr3:uid="{00000000-0010-0000-0000-000014000000}" name="Post-treatment Impact" dataDxfId="19"/>
    <tableColumn id="21" xr3:uid="{00000000-0010-0000-0000-000015000000}" name="Post-treatment Impact Rationale" dataDxfId="18"/>
    <tableColumn id="22" xr3:uid="{00000000-0010-0000-0000-000016000000}" name="Post-treatment Risk Score" dataDxfId="17">
      <calculatedColumnFormula>IFERROR(DPImpactAssessment[[#This Row],[Post-treatment Likelihood]]*DPImpactAssessment[[#This Row],[Post-treatment Impact]],"Calculated")</calculatedColumnFormula>
    </tableColumn>
    <tableColumn id="23" xr3:uid="{00000000-0010-0000-0000-000017000000}" name="Post-treatment Risk Level" dataDxfId="16">
      <calculatedColumnFormula>IF(R9="Calculated", "Calculated", IF(R9&gt;11,"HIGH",IF(R9&gt;4,"MEDIUM","LOW")))</calculatedColumnFormula>
    </tableColumn>
    <tableColumn id="24" xr3:uid="{00000000-0010-0000-0000-000018000000}" name="Comments" dataDxfId="15"/>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kelihood" displayName="Likelihood" ref="A6:C11" totalsRowShown="0">
  <autoFilter ref="A6:C11" xr:uid="{00000000-0009-0000-0100-000002000000}">
    <filterColumn colId="0" hiddenButton="1"/>
    <filterColumn colId="1" hiddenButton="1"/>
    <filterColumn colId="2" hiddenButton="1"/>
  </autoFilter>
  <tableColumns count="3">
    <tableColumn id="1" xr3:uid="{00000000-0010-0000-0100-000001000000}" name="Likelihood" dataDxfId="14"/>
    <tableColumn id="2" xr3:uid="{00000000-0010-0000-0100-000002000000}" name="Description"/>
    <tableColumn id="3" xr3:uid="{00000000-0010-0000-0100-000003000000}" name="Summary"/>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Impact" displayName="Impact" ref="A7:G12" totalsRowShown="0" headerRowDxfId="13" dataDxfId="12">
  <autoFilter ref="A7:G12"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Impact Rating" dataDxfId="11"/>
    <tableColumn id="2" xr3:uid="{00000000-0010-0000-0200-000002000000}" name="General Description" dataDxfId="5"/>
    <tableColumn id="3" xr3:uid="{00000000-0010-0000-0200-000003000000}" name="Financial" dataDxfId="4"/>
    <tableColumn id="4" xr3:uid="{00000000-0010-0000-0200-000004000000}" name="Health and Safety" dataDxfId="3"/>
    <tableColumn id="5" xr3:uid="{00000000-0010-0000-0200-000005000000}" name="Impact on Reputation" dataDxfId="2"/>
    <tableColumn id="6" xr3:uid="{00000000-0010-0000-0200-000006000000}" name="Legal impact" dataDxfId="1"/>
    <tableColumn id="7" xr3:uid="{00000000-0010-0000-0200-000007000000}" name="Other potential impac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19"/>
  <sheetViews>
    <sheetView showGridLines="0" workbookViewId="0">
      <selection activeCell="B16" sqref="B16"/>
    </sheetView>
  </sheetViews>
  <sheetFormatPr defaultRowHeight="15" x14ac:dyDescent="0.25"/>
  <cols>
    <col min="2" max="2" width="84" customWidth="1"/>
  </cols>
  <sheetData>
    <row r="1" spans="2:2" ht="59.25" customHeight="1" thickBot="1" x14ac:dyDescent="0.3"/>
    <row r="2" spans="2:2" ht="18" x14ac:dyDescent="0.25">
      <c r="B2" s="3" t="s">
        <v>38</v>
      </c>
    </row>
    <row r="3" spans="2:2" ht="15.75" thickBot="1" x14ac:dyDescent="0.3">
      <c r="B3" s="4" t="s">
        <v>39</v>
      </c>
    </row>
    <row r="4" spans="2:2" ht="20.25" customHeight="1" x14ac:dyDescent="0.25">
      <c r="B4" s="5" t="s">
        <v>40</v>
      </c>
    </row>
    <row r="5" spans="2:2" ht="35.25" customHeight="1" thickBot="1" x14ac:dyDescent="0.3">
      <c r="B5" s="6" t="s">
        <v>59</v>
      </c>
    </row>
    <row r="6" spans="2:2" ht="23.25" customHeight="1" x14ac:dyDescent="0.25">
      <c r="B6" s="7" t="s">
        <v>60</v>
      </c>
    </row>
    <row r="7" spans="2:2" ht="66.75" customHeight="1" thickBot="1" x14ac:dyDescent="0.3">
      <c r="B7" s="6" t="s">
        <v>61</v>
      </c>
    </row>
    <row r="8" spans="2:2" ht="21" customHeight="1" x14ac:dyDescent="0.25">
      <c r="B8" s="7" t="s">
        <v>41</v>
      </c>
    </row>
    <row r="9" spans="2:2" ht="114" customHeight="1" thickBot="1" x14ac:dyDescent="0.3">
      <c r="B9" s="6" t="s">
        <v>67</v>
      </c>
    </row>
    <row r="10" spans="2:2" ht="18" customHeight="1" x14ac:dyDescent="0.25">
      <c r="B10" s="7" t="s">
        <v>42</v>
      </c>
    </row>
    <row r="11" spans="2:2" ht="37.5" customHeight="1" thickBot="1" x14ac:dyDescent="0.3">
      <c r="B11" s="6" t="s">
        <v>43</v>
      </c>
    </row>
    <row r="12" spans="2:2" ht="18" customHeight="1" x14ac:dyDescent="0.25">
      <c r="B12" s="8" t="s">
        <v>44</v>
      </c>
    </row>
    <row r="13" spans="2:2" ht="21" customHeight="1" thickBot="1" x14ac:dyDescent="0.3">
      <c r="B13" s="9" t="s">
        <v>95</v>
      </c>
    </row>
    <row r="14" spans="2:2" ht="21" customHeight="1" x14ac:dyDescent="0.25">
      <c r="B14" s="10" t="s">
        <v>45</v>
      </c>
    </row>
    <row r="15" spans="2:2" ht="105.75" thickBot="1" x14ac:dyDescent="0.3">
      <c r="B15" s="6" t="s">
        <v>96</v>
      </c>
    </row>
    <row r="16" spans="2:2" ht="22.5" customHeight="1" x14ac:dyDescent="0.25">
      <c r="B16" s="10" t="s">
        <v>46</v>
      </c>
    </row>
    <row r="17" spans="2:2" ht="105.75" thickBot="1" x14ac:dyDescent="0.3">
      <c r="B17" s="11" t="s">
        <v>47</v>
      </c>
    </row>
    <row r="18" spans="2:2" ht="30.75" customHeight="1" x14ac:dyDescent="0.25">
      <c r="B18" s="10" t="s">
        <v>48</v>
      </c>
    </row>
    <row r="19" spans="2:2" ht="226.5" thickBot="1" x14ac:dyDescent="0.3">
      <c r="B19" s="11" t="s">
        <v>49</v>
      </c>
    </row>
  </sheetData>
  <sheetProtection sheet="1" selectLockedCells="1" selectUnlockedCells="1"/>
  <pageMargins left="0.70866141732283472" right="0.70866141732283472" top="0.74803149606299213" bottom="0.74803149606299213" header="0.31496062992125984" footer="0.31496062992125984"/>
  <pageSetup paperSize="9" fitToHeight="0" orientation="portrait" verticalDpi="0" r:id="rId1"/>
  <headerFooter>
    <oddFooter>&amp;L&amp;D&amp;CPage &amp;P of &amp;N&amp;RConfidential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5BC2-916B-4F12-80FB-7C5214B18D29}">
  <sheetPr>
    <pageSetUpPr fitToPage="1"/>
  </sheetPr>
  <dimension ref="A1:D13"/>
  <sheetViews>
    <sheetView showGridLines="0" tabSelected="1" workbookViewId="0">
      <selection activeCell="B5" sqref="B5"/>
    </sheetView>
  </sheetViews>
  <sheetFormatPr defaultRowHeight="15" x14ac:dyDescent="0.25"/>
  <cols>
    <col min="1" max="1" width="36.42578125" customWidth="1"/>
    <col min="2" max="2" width="49.42578125" customWidth="1"/>
    <col min="3" max="3" width="10.140625" customWidth="1"/>
    <col min="4" max="4" width="51.28515625" customWidth="1"/>
  </cols>
  <sheetData>
    <row r="1" spans="1:4" ht="58.5" customHeight="1" x14ac:dyDescent="0.25"/>
    <row r="2" spans="1:4" ht="21" x14ac:dyDescent="0.35">
      <c r="A2" s="2" t="s">
        <v>86</v>
      </c>
    </row>
    <row r="3" spans="1:4" ht="18.75" x14ac:dyDescent="0.3">
      <c r="D3" s="28" t="s">
        <v>73</v>
      </c>
    </row>
    <row r="4" spans="1:4" ht="31.5" x14ac:dyDescent="0.25">
      <c r="A4" s="29" t="s">
        <v>87</v>
      </c>
      <c r="B4" s="30" t="s">
        <v>97</v>
      </c>
      <c r="C4" s="31"/>
      <c r="D4" s="32" t="s">
        <v>74</v>
      </c>
    </row>
    <row r="5" spans="1:4" ht="45" x14ac:dyDescent="0.25">
      <c r="A5" s="29" t="s">
        <v>88</v>
      </c>
      <c r="B5" s="30" t="s">
        <v>98</v>
      </c>
      <c r="C5" s="33"/>
      <c r="D5" s="34" t="s">
        <v>92</v>
      </c>
    </row>
    <row r="6" spans="1:4" ht="105" x14ac:dyDescent="0.25">
      <c r="A6" s="29" t="s">
        <v>89</v>
      </c>
      <c r="B6" s="30" t="s">
        <v>110</v>
      </c>
      <c r="C6" s="33"/>
      <c r="D6" s="34" t="s">
        <v>75</v>
      </c>
    </row>
    <row r="7" spans="1:4" ht="31.5" x14ac:dyDescent="0.25">
      <c r="A7" s="29" t="s">
        <v>76</v>
      </c>
      <c r="B7" s="30" t="s">
        <v>137</v>
      </c>
      <c r="C7" s="33"/>
      <c r="D7" s="34" t="s">
        <v>77</v>
      </c>
    </row>
    <row r="8" spans="1:4" ht="31.5" x14ac:dyDescent="0.25">
      <c r="A8" s="35" t="s">
        <v>78</v>
      </c>
      <c r="B8" s="36">
        <v>1</v>
      </c>
      <c r="C8" s="37"/>
      <c r="D8" s="38" t="s">
        <v>79</v>
      </c>
    </row>
    <row r="9" spans="1:4" ht="31.5" x14ac:dyDescent="0.25">
      <c r="A9" s="35" t="s">
        <v>80</v>
      </c>
      <c r="B9" s="36" t="s">
        <v>99</v>
      </c>
      <c r="C9" s="37"/>
      <c r="D9" s="39" t="s">
        <v>81</v>
      </c>
    </row>
    <row r="10" spans="1:4" ht="31.5" x14ac:dyDescent="0.25">
      <c r="A10" s="35" t="s">
        <v>90</v>
      </c>
      <c r="B10" s="36" t="s">
        <v>100</v>
      </c>
      <c r="C10" s="40"/>
      <c r="D10" s="39" t="s">
        <v>93</v>
      </c>
    </row>
    <row r="11" spans="1:4" ht="60" x14ac:dyDescent="0.25">
      <c r="A11" s="35" t="s">
        <v>91</v>
      </c>
      <c r="B11" s="36" t="s">
        <v>102</v>
      </c>
      <c r="C11" s="40"/>
      <c r="D11" s="39" t="s">
        <v>94</v>
      </c>
    </row>
    <row r="12" spans="1:4" ht="31.5" x14ac:dyDescent="0.25">
      <c r="A12" s="35" t="s">
        <v>82</v>
      </c>
      <c r="B12" s="36" t="s">
        <v>103</v>
      </c>
      <c r="C12" s="37"/>
      <c r="D12" s="38" t="s">
        <v>83</v>
      </c>
    </row>
    <row r="13" spans="1:4" ht="31.5" x14ac:dyDescent="0.25">
      <c r="A13" s="35" t="s">
        <v>84</v>
      </c>
      <c r="B13" s="36" t="s">
        <v>104</v>
      </c>
      <c r="C13" s="37"/>
      <c r="D13" s="38" t="s">
        <v>85</v>
      </c>
    </row>
  </sheetData>
  <sheetProtection sheet="1" objects="1" scenarios="1" selectLockedCells="1" selectUnlockedCells="1"/>
  <pageMargins left="0.70866141732283472" right="0.70866141732283472" top="0.74803149606299213" bottom="0.74803149606299213" header="0.31496062992125984" footer="0.31496062992125984"/>
  <pageSetup paperSize="9" fitToHeight="0" orientation="portrait" verticalDpi="0" r:id="rId1"/>
  <headerFooter>
    <oddFooter>&amp;L&amp;D&amp;CPage &amp;P of &amp;N&amp;RConfidential</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8"/>
  <sheetViews>
    <sheetView showGridLines="0" zoomScaleNormal="100" workbookViewId="0">
      <selection activeCell="B9" sqref="B9"/>
    </sheetView>
  </sheetViews>
  <sheetFormatPr defaultRowHeight="15" x14ac:dyDescent="0.25"/>
  <cols>
    <col min="1" max="1" width="9.140625" style="1"/>
    <col min="2" max="2" width="23.5703125" customWidth="1"/>
    <col min="3" max="3" width="34" customWidth="1"/>
    <col min="4" max="4" width="18.85546875" customWidth="1"/>
    <col min="5" max="5" width="22.42578125" customWidth="1"/>
    <col min="6" max="6" width="12.7109375" customWidth="1"/>
    <col min="7" max="7" width="23.5703125" customWidth="1"/>
    <col min="8" max="8" width="9.28515625" customWidth="1"/>
    <col min="9" max="9" width="18.5703125" customWidth="1"/>
    <col min="10" max="10" width="12.7109375" customWidth="1"/>
    <col min="11" max="11" width="12.42578125" customWidth="1"/>
    <col min="12" max="12" width="19" customWidth="1"/>
    <col min="13" max="13" width="27.140625" customWidth="1"/>
    <col min="14" max="14" width="15" customWidth="1"/>
    <col min="15" max="15" width="24.7109375" customWidth="1"/>
    <col min="16" max="16" width="14.42578125" customWidth="1"/>
    <col min="17" max="17" width="21.5703125" customWidth="1"/>
    <col min="18" max="18" width="16.140625" customWidth="1"/>
    <col min="19" max="19" width="15.85546875" customWidth="1"/>
    <col min="20" max="20" width="44.28515625" customWidth="1"/>
  </cols>
  <sheetData>
    <row r="1" spans="1:20" ht="55.5" customHeight="1" x14ac:dyDescent="0.25">
      <c r="D1" s="41" t="s">
        <v>66</v>
      </c>
      <c r="E1" s="41"/>
      <c r="F1" s="41"/>
      <c r="G1" s="41"/>
    </row>
    <row r="2" spans="1:20" ht="21" customHeight="1" x14ac:dyDescent="0.25">
      <c r="D2" s="16"/>
      <c r="E2" s="16"/>
      <c r="F2" s="16"/>
      <c r="G2" s="16"/>
    </row>
    <row r="3" spans="1:20" ht="21" customHeight="1" x14ac:dyDescent="0.35">
      <c r="A3" s="2" t="s">
        <v>65</v>
      </c>
      <c r="D3" s="16"/>
      <c r="E3" s="16"/>
      <c r="F3" s="16"/>
      <c r="G3" s="16"/>
    </row>
    <row r="4" spans="1:20" ht="15.75" customHeight="1" x14ac:dyDescent="0.35">
      <c r="A4" s="2"/>
      <c r="D4" s="46"/>
      <c r="E4" s="46"/>
      <c r="F4" s="48"/>
      <c r="G4" s="48"/>
      <c r="H4" s="24"/>
    </row>
    <row r="5" spans="1:20" ht="15.75" x14ac:dyDescent="0.25">
      <c r="A5" s="50"/>
      <c r="B5" s="50"/>
      <c r="C5" s="50"/>
      <c r="D5" s="47"/>
      <c r="E5" s="47"/>
      <c r="F5" s="49"/>
      <c r="G5" s="49"/>
      <c r="H5" s="23"/>
    </row>
    <row r="6" spans="1:20" ht="20.25" customHeight="1" x14ac:dyDescent="0.25">
      <c r="A6"/>
    </row>
    <row r="7" spans="1:20" ht="31.5" customHeight="1" x14ac:dyDescent="0.25">
      <c r="A7" s="43" t="s">
        <v>34</v>
      </c>
      <c r="B7" s="44"/>
      <c r="C7" s="44"/>
      <c r="D7" s="44"/>
      <c r="E7" s="42" t="s">
        <v>31</v>
      </c>
      <c r="F7" s="42"/>
      <c r="G7" s="42"/>
      <c r="H7" s="42"/>
      <c r="I7" s="42"/>
      <c r="J7" s="42"/>
      <c r="K7" s="42"/>
      <c r="L7" s="42" t="s">
        <v>32</v>
      </c>
      <c r="M7" s="42"/>
      <c r="N7" s="42" t="s">
        <v>33</v>
      </c>
      <c r="O7" s="42"/>
      <c r="P7" s="42"/>
      <c r="Q7" s="42"/>
      <c r="R7" s="42"/>
      <c r="S7" s="42"/>
      <c r="T7" s="45"/>
    </row>
    <row r="8" spans="1:20" ht="36.75" customHeight="1" x14ac:dyDescent="0.25">
      <c r="A8" s="26" t="s">
        <v>0</v>
      </c>
      <c r="B8" s="25" t="s">
        <v>62</v>
      </c>
      <c r="C8" s="25" t="s">
        <v>63</v>
      </c>
      <c r="D8" s="25" t="s">
        <v>20</v>
      </c>
      <c r="E8" s="25" t="s">
        <v>1</v>
      </c>
      <c r="F8" s="25" t="s">
        <v>2</v>
      </c>
      <c r="G8" s="25" t="s">
        <v>50</v>
      </c>
      <c r="H8" s="25" t="s">
        <v>3</v>
      </c>
      <c r="I8" s="25" t="s">
        <v>51</v>
      </c>
      <c r="J8" s="25" t="s">
        <v>16</v>
      </c>
      <c r="K8" s="25" t="s">
        <v>17</v>
      </c>
      <c r="L8" s="26" t="s">
        <v>58</v>
      </c>
      <c r="M8" s="25" t="s">
        <v>72</v>
      </c>
      <c r="N8" s="25" t="s">
        <v>52</v>
      </c>
      <c r="O8" s="25" t="s">
        <v>53</v>
      </c>
      <c r="P8" s="25" t="s">
        <v>54</v>
      </c>
      <c r="Q8" s="25" t="s">
        <v>55</v>
      </c>
      <c r="R8" s="27" t="s">
        <v>56</v>
      </c>
      <c r="S8" s="27" t="s">
        <v>57</v>
      </c>
      <c r="T8" s="25" t="s">
        <v>35</v>
      </c>
    </row>
    <row r="9" spans="1:20" ht="35.25" customHeight="1" x14ac:dyDescent="0.25">
      <c r="A9" s="17">
        <v>1</v>
      </c>
      <c r="B9" s="18" t="s">
        <v>105</v>
      </c>
      <c r="C9" s="18" t="s">
        <v>111</v>
      </c>
      <c r="D9" s="20" t="s">
        <v>120</v>
      </c>
      <c r="E9" s="18" t="s">
        <v>115</v>
      </c>
      <c r="F9" s="12">
        <v>2</v>
      </c>
      <c r="G9" s="18" t="s">
        <v>121</v>
      </c>
      <c r="H9" s="12">
        <v>2</v>
      </c>
      <c r="I9" s="18" t="s">
        <v>124</v>
      </c>
      <c r="J9" s="17">
        <f>IFERROR(DPImpactAssessment[[#This Row],[Likelihood]]*DPImpactAssessment[[#This Row],[Impact]],"Calculated")</f>
        <v>4</v>
      </c>
      <c r="K9" s="17" t="str">
        <f t="shared" ref="K9:K28" si="0">IF(J9="Calculated", "Calculated", IF(J9&gt;11,"HIGH",IF(J9&gt;4,"MEDIUM","LOW")))</f>
        <v>LOW</v>
      </c>
      <c r="L9" s="12" t="s">
        <v>135</v>
      </c>
      <c r="M9" s="19"/>
      <c r="N9" s="12" t="s">
        <v>37</v>
      </c>
      <c r="O9" s="19"/>
      <c r="P9" s="12" t="s">
        <v>37</v>
      </c>
      <c r="Q9" s="19"/>
      <c r="R9" s="17" t="str">
        <f>IFERROR(DPImpactAssessment[[#This Row],[Post-treatment Likelihood]]*DPImpactAssessment[[#This Row],[Post-treatment Impact]],"Calculated")</f>
        <v>Calculated</v>
      </c>
      <c r="S9" s="17" t="str">
        <f t="shared" ref="S9:S28" si="1">IF(R9="Calculated", "Calculated", IF(R9&gt;11,"HIGH",IF(R9&gt;4,"MEDIUM","LOW")))</f>
        <v>Calculated</v>
      </c>
      <c r="T9" s="19"/>
    </row>
    <row r="10" spans="1:20" ht="38.25" x14ac:dyDescent="0.25">
      <c r="A10" s="17">
        <v>2</v>
      </c>
      <c r="B10" s="18" t="s">
        <v>105</v>
      </c>
      <c r="C10" s="18" t="s">
        <v>112</v>
      </c>
      <c r="D10" s="20" t="s">
        <v>119</v>
      </c>
      <c r="E10" s="18" t="s">
        <v>118</v>
      </c>
      <c r="F10" s="12">
        <v>2</v>
      </c>
      <c r="G10" s="18" t="s">
        <v>122</v>
      </c>
      <c r="H10" s="12">
        <v>2</v>
      </c>
      <c r="I10" s="18" t="s">
        <v>126</v>
      </c>
      <c r="J10" s="17">
        <f>IFERROR(DPImpactAssessment[[#This Row],[Likelihood]]*DPImpactAssessment[[#This Row],[Impact]],"Calculated")</f>
        <v>4</v>
      </c>
      <c r="K10" s="17" t="str">
        <f t="shared" si="0"/>
        <v>LOW</v>
      </c>
      <c r="L10" s="12" t="s">
        <v>135</v>
      </c>
      <c r="M10" s="19"/>
      <c r="N10" s="12" t="s">
        <v>37</v>
      </c>
      <c r="O10" s="19"/>
      <c r="P10" s="12" t="s">
        <v>37</v>
      </c>
      <c r="Q10" s="19"/>
      <c r="R10" s="17" t="str">
        <f>IFERROR(DPImpactAssessment[[#This Row],[Post-treatment Likelihood]]*DPImpactAssessment[[#This Row],[Post-treatment Impact]],"Calculated")</f>
        <v>Calculated</v>
      </c>
      <c r="S10" s="17" t="str">
        <f t="shared" si="1"/>
        <v>Calculated</v>
      </c>
      <c r="T10" s="19"/>
    </row>
    <row r="11" spans="1:20" ht="38.25" x14ac:dyDescent="0.25">
      <c r="A11" s="17">
        <v>3</v>
      </c>
      <c r="B11" s="18" t="s">
        <v>105</v>
      </c>
      <c r="C11" s="18" t="s">
        <v>113</v>
      </c>
      <c r="D11" s="20" t="s">
        <v>119</v>
      </c>
      <c r="E11" s="18" t="s">
        <v>117</v>
      </c>
      <c r="F11" s="12">
        <v>2</v>
      </c>
      <c r="G11" s="18" t="s">
        <v>122</v>
      </c>
      <c r="H11" s="12">
        <v>3</v>
      </c>
      <c r="I11" s="18" t="s">
        <v>125</v>
      </c>
      <c r="J11" s="17">
        <f>IFERROR(DPImpactAssessment[[#This Row],[Likelihood]]*DPImpactAssessment[[#This Row],[Impact]],"Calculated")</f>
        <v>6</v>
      </c>
      <c r="K11" s="17" t="str">
        <f t="shared" si="0"/>
        <v>MEDIUM</v>
      </c>
      <c r="L11" s="12" t="s">
        <v>135</v>
      </c>
      <c r="M11" s="19"/>
      <c r="N11" s="12" t="s">
        <v>37</v>
      </c>
      <c r="O11" s="19"/>
      <c r="P11" s="12" t="s">
        <v>37</v>
      </c>
      <c r="Q11" s="19"/>
      <c r="R11" s="17" t="str">
        <f>IFERROR(DPImpactAssessment[[#This Row],[Post-treatment Likelihood]]*DPImpactAssessment[[#This Row],[Post-treatment Impact]],"Calculated")</f>
        <v>Calculated</v>
      </c>
      <c r="S11" s="17" t="str">
        <f t="shared" si="1"/>
        <v>Calculated</v>
      </c>
      <c r="T11" s="19"/>
    </row>
    <row r="12" spans="1:20" ht="38.25" x14ac:dyDescent="0.25">
      <c r="A12" s="17">
        <v>4</v>
      </c>
      <c r="B12" s="18" t="s">
        <v>105</v>
      </c>
      <c r="C12" s="18" t="s">
        <v>114</v>
      </c>
      <c r="D12" s="20" t="s">
        <v>101</v>
      </c>
      <c r="E12" s="18" t="s">
        <v>116</v>
      </c>
      <c r="F12" s="12">
        <v>3</v>
      </c>
      <c r="G12" s="18" t="s">
        <v>123</v>
      </c>
      <c r="H12" s="12">
        <v>4</v>
      </c>
      <c r="I12" s="18" t="s">
        <v>127</v>
      </c>
      <c r="J12" s="17">
        <f>IFERROR(DPImpactAssessment[[#This Row],[Likelihood]]*DPImpactAssessment[[#This Row],[Impact]],"Calculated")</f>
        <v>12</v>
      </c>
      <c r="K12" s="17" t="str">
        <f t="shared" si="0"/>
        <v>HIGH</v>
      </c>
      <c r="L12" s="12" t="s">
        <v>136</v>
      </c>
      <c r="M12" s="18" t="s">
        <v>138</v>
      </c>
      <c r="N12" s="12">
        <v>2</v>
      </c>
      <c r="O12" s="18" t="s">
        <v>139</v>
      </c>
      <c r="P12" s="12">
        <v>4</v>
      </c>
      <c r="Q12" s="19" t="s">
        <v>140</v>
      </c>
      <c r="R12" s="17">
        <f>IFERROR(DPImpactAssessment[[#This Row],[Post-treatment Likelihood]]*DPImpactAssessment[[#This Row],[Post-treatment Impact]],"Calculated")</f>
        <v>8</v>
      </c>
      <c r="S12" s="17" t="str">
        <f t="shared" si="1"/>
        <v>MEDIUM</v>
      </c>
      <c r="T12" s="19"/>
    </row>
    <row r="13" spans="1:20" ht="25.5" x14ac:dyDescent="0.25">
      <c r="A13" s="17">
        <v>5</v>
      </c>
      <c r="B13" s="18" t="s">
        <v>106</v>
      </c>
      <c r="C13" s="18" t="s">
        <v>111</v>
      </c>
      <c r="D13" s="20" t="s">
        <v>120</v>
      </c>
      <c r="E13" s="18" t="s">
        <v>115</v>
      </c>
      <c r="F13" s="12">
        <v>2</v>
      </c>
      <c r="G13" s="18" t="s">
        <v>121</v>
      </c>
      <c r="H13" s="12">
        <v>4</v>
      </c>
      <c r="I13" s="18" t="s">
        <v>128</v>
      </c>
      <c r="J13" s="17">
        <f>IFERROR(DPImpactAssessment[[#This Row],[Likelihood]]*DPImpactAssessment[[#This Row],[Impact]],"Calculated")</f>
        <v>8</v>
      </c>
      <c r="K13" s="17" t="str">
        <f t="shared" si="0"/>
        <v>MEDIUM</v>
      </c>
      <c r="L13" s="12" t="s">
        <v>135</v>
      </c>
      <c r="M13" s="19"/>
      <c r="N13" s="12" t="s">
        <v>37</v>
      </c>
      <c r="O13" s="19"/>
      <c r="P13" s="12" t="s">
        <v>37</v>
      </c>
      <c r="Q13" s="19"/>
      <c r="R13" s="17" t="str">
        <f>IFERROR(DPImpactAssessment[[#This Row],[Post-treatment Likelihood]]*DPImpactAssessment[[#This Row],[Post-treatment Impact]],"Calculated")</f>
        <v>Calculated</v>
      </c>
      <c r="S13" s="17" t="str">
        <f t="shared" si="1"/>
        <v>Calculated</v>
      </c>
      <c r="T13" s="19"/>
    </row>
    <row r="14" spans="1:20" ht="38.25" x14ac:dyDescent="0.25">
      <c r="A14" s="17">
        <v>6</v>
      </c>
      <c r="B14" s="18" t="s">
        <v>106</v>
      </c>
      <c r="C14" s="18" t="s">
        <v>112</v>
      </c>
      <c r="D14" s="20" t="s">
        <v>119</v>
      </c>
      <c r="E14" s="18" t="s">
        <v>118</v>
      </c>
      <c r="F14" s="12">
        <v>2</v>
      </c>
      <c r="G14" s="18" t="s">
        <v>122</v>
      </c>
      <c r="H14" s="12">
        <v>2</v>
      </c>
      <c r="I14" s="18" t="s">
        <v>126</v>
      </c>
      <c r="J14" s="17">
        <f>IFERROR(DPImpactAssessment[[#This Row],[Likelihood]]*DPImpactAssessment[[#This Row],[Impact]],"Calculated")</f>
        <v>4</v>
      </c>
      <c r="K14" s="17" t="str">
        <f t="shared" si="0"/>
        <v>LOW</v>
      </c>
      <c r="L14" s="12" t="s">
        <v>135</v>
      </c>
      <c r="M14" s="19"/>
      <c r="N14" s="12" t="s">
        <v>37</v>
      </c>
      <c r="O14" s="19"/>
      <c r="P14" s="12" t="s">
        <v>37</v>
      </c>
      <c r="Q14" s="19"/>
      <c r="R14" s="17" t="str">
        <f>IFERROR(DPImpactAssessment[[#This Row],[Post-treatment Likelihood]]*DPImpactAssessment[[#This Row],[Post-treatment Impact]],"Calculated")</f>
        <v>Calculated</v>
      </c>
      <c r="S14" s="17" t="str">
        <f t="shared" si="1"/>
        <v>Calculated</v>
      </c>
      <c r="T14" s="19"/>
    </row>
    <row r="15" spans="1:20" ht="36" customHeight="1" x14ac:dyDescent="0.25">
      <c r="A15" s="17">
        <v>7</v>
      </c>
      <c r="B15" s="18" t="s">
        <v>106</v>
      </c>
      <c r="C15" s="18" t="s">
        <v>113</v>
      </c>
      <c r="D15" s="20" t="s">
        <v>119</v>
      </c>
      <c r="E15" s="18" t="s">
        <v>117</v>
      </c>
      <c r="F15" s="12">
        <v>2</v>
      </c>
      <c r="G15" s="18" t="s">
        <v>122</v>
      </c>
      <c r="H15" s="12">
        <v>2</v>
      </c>
      <c r="I15" s="18" t="s">
        <v>129</v>
      </c>
      <c r="J15" s="17">
        <f>IFERROR(DPImpactAssessment[[#This Row],[Likelihood]]*DPImpactAssessment[[#This Row],[Impact]],"Calculated")</f>
        <v>4</v>
      </c>
      <c r="K15" s="17" t="str">
        <f t="shared" si="0"/>
        <v>LOW</v>
      </c>
      <c r="L15" s="12" t="s">
        <v>135</v>
      </c>
      <c r="M15" s="19"/>
      <c r="N15" s="12" t="s">
        <v>37</v>
      </c>
      <c r="O15" s="19"/>
      <c r="P15" s="12" t="s">
        <v>37</v>
      </c>
      <c r="Q15" s="19"/>
      <c r="R15" s="17" t="str">
        <f>IFERROR(DPImpactAssessment[[#This Row],[Post-treatment Likelihood]]*DPImpactAssessment[[#This Row],[Post-treatment Impact]],"Calculated")</f>
        <v>Calculated</v>
      </c>
      <c r="S15" s="17" t="str">
        <f t="shared" si="1"/>
        <v>Calculated</v>
      </c>
      <c r="T15" s="19"/>
    </row>
    <row r="16" spans="1:20" ht="38.25" x14ac:dyDescent="0.25">
      <c r="A16" s="17">
        <v>8</v>
      </c>
      <c r="B16" s="18" t="s">
        <v>106</v>
      </c>
      <c r="C16" s="18" t="s">
        <v>114</v>
      </c>
      <c r="D16" s="20" t="s">
        <v>101</v>
      </c>
      <c r="E16" s="18" t="s">
        <v>116</v>
      </c>
      <c r="F16" s="12">
        <v>3</v>
      </c>
      <c r="G16" s="18" t="s">
        <v>123</v>
      </c>
      <c r="H16" s="12">
        <v>4</v>
      </c>
      <c r="I16" s="18" t="s">
        <v>128</v>
      </c>
      <c r="J16" s="17">
        <f>IFERROR(DPImpactAssessment[[#This Row],[Likelihood]]*DPImpactAssessment[[#This Row],[Impact]],"Calculated")</f>
        <v>12</v>
      </c>
      <c r="K16" s="17" t="str">
        <f t="shared" si="0"/>
        <v>HIGH</v>
      </c>
      <c r="L16" s="12" t="s">
        <v>136</v>
      </c>
      <c r="M16" s="18" t="s">
        <v>138</v>
      </c>
      <c r="N16" s="12">
        <v>2</v>
      </c>
      <c r="O16" s="18" t="s">
        <v>139</v>
      </c>
      <c r="P16" s="12">
        <v>4</v>
      </c>
      <c r="Q16" s="19" t="s">
        <v>140</v>
      </c>
      <c r="R16" s="17">
        <f>IFERROR(DPImpactAssessment[[#This Row],[Post-treatment Likelihood]]*DPImpactAssessment[[#This Row],[Post-treatment Impact]],"Calculated")</f>
        <v>8</v>
      </c>
      <c r="S16" s="17" t="str">
        <f t="shared" si="1"/>
        <v>MEDIUM</v>
      </c>
      <c r="T16" s="19"/>
    </row>
    <row r="17" spans="1:20" ht="25.5" x14ac:dyDescent="0.25">
      <c r="A17" s="17">
        <v>9</v>
      </c>
      <c r="B17" s="18" t="s">
        <v>107</v>
      </c>
      <c r="C17" s="18" t="s">
        <v>111</v>
      </c>
      <c r="D17" s="20" t="s">
        <v>120</v>
      </c>
      <c r="E17" s="18" t="s">
        <v>115</v>
      </c>
      <c r="F17" s="12">
        <v>2</v>
      </c>
      <c r="G17" s="18" t="s">
        <v>121</v>
      </c>
      <c r="H17" s="12">
        <v>4</v>
      </c>
      <c r="I17" s="18" t="s">
        <v>128</v>
      </c>
      <c r="J17" s="17">
        <f>IFERROR(DPImpactAssessment[[#This Row],[Likelihood]]*DPImpactAssessment[[#This Row],[Impact]],"Calculated")</f>
        <v>8</v>
      </c>
      <c r="K17" s="17" t="str">
        <f t="shared" si="0"/>
        <v>MEDIUM</v>
      </c>
      <c r="L17" s="12" t="s">
        <v>135</v>
      </c>
      <c r="M17" s="19"/>
      <c r="N17" s="12" t="s">
        <v>37</v>
      </c>
      <c r="O17" s="19"/>
      <c r="P17" s="12" t="s">
        <v>37</v>
      </c>
      <c r="Q17" s="19"/>
      <c r="R17" s="17" t="str">
        <f>IFERROR(DPImpactAssessment[[#This Row],[Post-treatment Likelihood]]*DPImpactAssessment[[#This Row],[Post-treatment Impact]],"Calculated")</f>
        <v>Calculated</v>
      </c>
      <c r="S17" s="17" t="str">
        <f t="shared" si="1"/>
        <v>Calculated</v>
      </c>
      <c r="T17" s="19"/>
    </row>
    <row r="18" spans="1:20" ht="38.25" x14ac:dyDescent="0.25">
      <c r="A18" s="17">
        <v>10</v>
      </c>
      <c r="B18" s="18" t="s">
        <v>107</v>
      </c>
      <c r="C18" s="18" t="s">
        <v>112</v>
      </c>
      <c r="D18" s="20" t="s">
        <v>119</v>
      </c>
      <c r="E18" s="18" t="s">
        <v>118</v>
      </c>
      <c r="F18" s="12">
        <v>2</v>
      </c>
      <c r="G18" s="18" t="s">
        <v>122</v>
      </c>
      <c r="H18" s="12">
        <v>2</v>
      </c>
      <c r="I18" s="18" t="s">
        <v>126</v>
      </c>
      <c r="J18" s="17">
        <f>IFERROR(DPImpactAssessment[[#This Row],[Likelihood]]*DPImpactAssessment[[#This Row],[Impact]],"Calculated")</f>
        <v>4</v>
      </c>
      <c r="K18" s="17" t="str">
        <f t="shared" si="0"/>
        <v>LOW</v>
      </c>
      <c r="L18" s="12" t="s">
        <v>135</v>
      </c>
      <c r="M18" s="19"/>
      <c r="N18" s="12" t="s">
        <v>37</v>
      </c>
      <c r="O18" s="19"/>
      <c r="P18" s="12" t="s">
        <v>37</v>
      </c>
      <c r="Q18" s="19"/>
      <c r="R18" s="17" t="str">
        <f>IFERROR(DPImpactAssessment[[#This Row],[Post-treatment Likelihood]]*DPImpactAssessment[[#This Row],[Post-treatment Impact]],"Calculated")</f>
        <v>Calculated</v>
      </c>
      <c r="S18" s="17" t="str">
        <f t="shared" si="1"/>
        <v>Calculated</v>
      </c>
      <c r="T18" s="19"/>
    </row>
    <row r="19" spans="1:20" ht="36" customHeight="1" x14ac:dyDescent="0.25">
      <c r="A19" s="17">
        <v>11</v>
      </c>
      <c r="B19" s="18" t="s">
        <v>107</v>
      </c>
      <c r="C19" s="18" t="s">
        <v>113</v>
      </c>
      <c r="D19" s="20" t="s">
        <v>119</v>
      </c>
      <c r="E19" s="18" t="s">
        <v>117</v>
      </c>
      <c r="F19" s="12">
        <v>2</v>
      </c>
      <c r="G19" s="18" t="s">
        <v>122</v>
      </c>
      <c r="H19" s="12">
        <v>3</v>
      </c>
      <c r="I19" s="18" t="s">
        <v>125</v>
      </c>
      <c r="J19" s="17">
        <f>IFERROR(DPImpactAssessment[[#This Row],[Likelihood]]*DPImpactAssessment[[#This Row],[Impact]],"Calculated")</f>
        <v>6</v>
      </c>
      <c r="K19" s="17" t="str">
        <f t="shared" si="0"/>
        <v>MEDIUM</v>
      </c>
      <c r="L19" s="12" t="s">
        <v>135</v>
      </c>
      <c r="M19" s="19"/>
      <c r="N19" s="12" t="s">
        <v>37</v>
      </c>
      <c r="O19" s="19"/>
      <c r="P19" s="12" t="s">
        <v>37</v>
      </c>
      <c r="Q19" s="19"/>
      <c r="R19" s="17" t="str">
        <f>IFERROR(DPImpactAssessment[[#This Row],[Post-treatment Likelihood]]*DPImpactAssessment[[#This Row],[Post-treatment Impact]],"Calculated")</f>
        <v>Calculated</v>
      </c>
      <c r="S19" s="17" t="str">
        <f t="shared" si="1"/>
        <v>Calculated</v>
      </c>
      <c r="T19" s="19"/>
    </row>
    <row r="20" spans="1:20" ht="38.25" customHeight="1" x14ac:dyDescent="0.25">
      <c r="A20" s="17">
        <v>12</v>
      </c>
      <c r="B20" s="18" t="s">
        <v>107</v>
      </c>
      <c r="C20" s="18" t="s">
        <v>114</v>
      </c>
      <c r="D20" s="20" t="s">
        <v>101</v>
      </c>
      <c r="E20" s="18" t="s">
        <v>116</v>
      </c>
      <c r="F20" s="12">
        <v>3</v>
      </c>
      <c r="G20" s="18" t="s">
        <v>123</v>
      </c>
      <c r="H20" s="12">
        <v>4</v>
      </c>
      <c r="I20" s="18" t="s">
        <v>128</v>
      </c>
      <c r="J20" s="17">
        <f>IFERROR(DPImpactAssessment[[#This Row],[Likelihood]]*DPImpactAssessment[[#This Row],[Impact]],"Calculated")</f>
        <v>12</v>
      </c>
      <c r="K20" s="17" t="str">
        <f t="shared" si="0"/>
        <v>HIGH</v>
      </c>
      <c r="L20" s="12" t="s">
        <v>136</v>
      </c>
      <c r="M20" s="18" t="s">
        <v>138</v>
      </c>
      <c r="N20" s="12">
        <v>2</v>
      </c>
      <c r="O20" s="18" t="s">
        <v>139</v>
      </c>
      <c r="P20" s="12">
        <v>4</v>
      </c>
      <c r="Q20" s="19" t="s">
        <v>140</v>
      </c>
      <c r="R20" s="17">
        <f>IFERROR(DPImpactAssessment[[#This Row],[Post-treatment Likelihood]]*DPImpactAssessment[[#This Row],[Post-treatment Impact]],"Calculated")</f>
        <v>8</v>
      </c>
      <c r="S20" s="17" t="str">
        <f t="shared" si="1"/>
        <v>MEDIUM</v>
      </c>
      <c r="T20" s="19"/>
    </row>
    <row r="21" spans="1:20" ht="58.5" customHeight="1" x14ac:dyDescent="0.25">
      <c r="A21" s="53">
        <v>13</v>
      </c>
      <c r="B21" s="18" t="s">
        <v>108</v>
      </c>
      <c r="C21" s="18" t="s">
        <v>111</v>
      </c>
      <c r="D21" s="20" t="s">
        <v>120</v>
      </c>
      <c r="E21" s="18" t="s">
        <v>115</v>
      </c>
      <c r="F21" s="12">
        <v>2</v>
      </c>
      <c r="G21" s="18" t="s">
        <v>121</v>
      </c>
      <c r="H21" s="12">
        <v>5</v>
      </c>
      <c r="I21" s="55" t="s">
        <v>130</v>
      </c>
      <c r="J21" s="17">
        <f>IFERROR(DPImpactAssessment[[#This Row],[Likelihood]]*DPImpactAssessment[[#This Row],[Impact]],"Calculated")</f>
        <v>10</v>
      </c>
      <c r="K21" s="17" t="str">
        <f t="shared" si="0"/>
        <v>MEDIUM</v>
      </c>
      <c r="L21" s="12" t="s">
        <v>136</v>
      </c>
      <c r="M21" s="19" t="s">
        <v>141</v>
      </c>
      <c r="N21" s="12">
        <v>2</v>
      </c>
      <c r="O21" s="19" t="s">
        <v>140</v>
      </c>
      <c r="P21" s="12">
        <v>2</v>
      </c>
      <c r="Q21" s="19" t="s">
        <v>142</v>
      </c>
      <c r="R21" s="17">
        <f>IFERROR(DPImpactAssessment[[#This Row],[Post-treatment Likelihood]]*DPImpactAssessment[[#This Row],[Post-treatment Impact]],"Calculated")</f>
        <v>4</v>
      </c>
      <c r="S21" s="17" t="str">
        <f t="shared" si="1"/>
        <v>LOW</v>
      </c>
      <c r="T21" s="19"/>
    </row>
    <row r="22" spans="1:20" ht="38.25" x14ac:dyDescent="0.25">
      <c r="A22" s="53">
        <v>14</v>
      </c>
      <c r="B22" s="18" t="s">
        <v>108</v>
      </c>
      <c r="C22" s="18" t="s">
        <v>112</v>
      </c>
      <c r="D22" s="20" t="s">
        <v>119</v>
      </c>
      <c r="E22" s="18" t="s">
        <v>118</v>
      </c>
      <c r="F22" s="12">
        <v>2</v>
      </c>
      <c r="G22" s="18" t="s">
        <v>122</v>
      </c>
      <c r="H22" s="12">
        <v>2</v>
      </c>
      <c r="I22" s="18" t="s">
        <v>126</v>
      </c>
      <c r="J22" s="17">
        <f>IFERROR(DPImpactAssessment[[#This Row],[Likelihood]]*DPImpactAssessment[[#This Row],[Impact]],"Calculated")</f>
        <v>4</v>
      </c>
      <c r="K22" s="17" t="str">
        <f t="shared" si="0"/>
        <v>LOW</v>
      </c>
      <c r="L22" s="12" t="s">
        <v>135</v>
      </c>
      <c r="M22" s="19"/>
      <c r="N22" s="12" t="s">
        <v>37</v>
      </c>
      <c r="O22" s="19"/>
      <c r="P22" s="12" t="s">
        <v>37</v>
      </c>
      <c r="Q22" s="19"/>
      <c r="R22" s="17" t="str">
        <f>IFERROR(DPImpactAssessment[[#This Row],[Post-treatment Likelihood]]*DPImpactAssessment[[#This Row],[Post-treatment Impact]],"Calculated")</f>
        <v>Calculated</v>
      </c>
      <c r="S22" s="17" t="str">
        <f t="shared" si="1"/>
        <v>Calculated</v>
      </c>
      <c r="T22" s="19"/>
    </row>
    <row r="23" spans="1:20" ht="39" x14ac:dyDescent="0.25">
      <c r="A23" s="53">
        <v>15</v>
      </c>
      <c r="B23" s="18" t="s">
        <v>108</v>
      </c>
      <c r="C23" s="18" t="s">
        <v>113</v>
      </c>
      <c r="D23" s="20" t="s">
        <v>119</v>
      </c>
      <c r="E23" s="18" t="s">
        <v>117</v>
      </c>
      <c r="F23" s="12">
        <v>2</v>
      </c>
      <c r="G23" s="18" t="s">
        <v>122</v>
      </c>
      <c r="H23" s="12">
        <v>2</v>
      </c>
      <c r="I23" s="54" t="s">
        <v>131</v>
      </c>
      <c r="J23" s="17">
        <f>IFERROR(DPImpactAssessment[[#This Row],[Likelihood]]*DPImpactAssessment[[#This Row],[Impact]],"Calculated")</f>
        <v>4</v>
      </c>
      <c r="K23" s="17" t="str">
        <f t="shared" si="0"/>
        <v>LOW</v>
      </c>
      <c r="L23" s="12" t="s">
        <v>135</v>
      </c>
      <c r="M23" s="19"/>
      <c r="N23" s="12" t="s">
        <v>37</v>
      </c>
      <c r="O23" s="19"/>
      <c r="P23" s="12" t="s">
        <v>37</v>
      </c>
      <c r="Q23" s="19"/>
      <c r="R23" s="17" t="str">
        <f>IFERROR(DPImpactAssessment[[#This Row],[Post-treatment Likelihood]]*DPImpactAssessment[[#This Row],[Post-treatment Impact]],"Calculated")</f>
        <v>Calculated</v>
      </c>
      <c r="S23" s="17" t="str">
        <f t="shared" si="1"/>
        <v>Calculated</v>
      </c>
      <c r="T23" s="19"/>
    </row>
    <row r="24" spans="1:20" ht="38.25" x14ac:dyDescent="0.25">
      <c r="A24" s="53">
        <v>16</v>
      </c>
      <c r="B24" s="18" t="s">
        <v>108</v>
      </c>
      <c r="C24" s="18" t="s">
        <v>114</v>
      </c>
      <c r="D24" s="20" t="s">
        <v>101</v>
      </c>
      <c r="E24" s="18" t="s">
        <v>116</v>
      </c>
      <c r="F24" s="12">
        <v>3</v>
      </c>
      <c r="G24" s="18" t="s">
        <v>123</v>
      </c>
      <c r="H24" s="12">
        <v>4</v>
      </c>
      <c r="I24" s="18" t="s">
        <v>128</v>
      </c>
      <c r="J24" s="17">
        <f>IFERROR(DPImpactAssessment[[#This Row],[Likelihood]]*DPImpactAssessment[[#This Row],[Impact]],"Calculated")</f>
        <v>12</v>
      </c>
      <c r="K24" s="17" t="str">
        <f t="shared" si="0"/>
        <v>HIGH</v>
      </c>
      <c r="L24" s="12" t="s">
        <v>136</v>
      </c>
      <c r="M24" s="18" t="s">
        <v>138</v>
      </c>
      <c r="N24" s="12">
        <v>2</v>
      </c>
      <c r="O24" s="18" t="s">
        <v>139</v>
      </c>
      <c r="P24" s="12">
        <v>4</v>
      </c>
      <c r="Q24" s="19" t="s">
        <v>140</v>
      </c>
      <c r="R24" s="17">
        <f>IFERROR(DPImpactAssessment[[#This Row],[Post-treatment Likelihood]]*DPImpactAssessment[[#This Row],[Post-treatment Impact]],"Calculated")</f>
        <v>8</v>
      </c>
      <c r="S24" s="17" t="str">
        <f t="shared" si="1"/>
        <v>MEDIUM</v>
      </c>
      <c r="T24" s="19"/>
    </row>
    <row r="25" spans="1:20" ht="51" x14ac:dyDescent="0.25">
      <c r="A25" s="53">
        <v>17</v>
      </c>
      <c r="B25" s="18" t="s">
        <v>109</v>
      </c>
      <c r="C25" s="18" t="s">
        <v>111</v>
      </c>
      <c r="D25" s="20" t="s">
        <v>120</v>
      </c>
      <c r="E25" s="18" t="s">
        <v>115</v>
      </c>
      <c r="F25" s="12">
        <v>2</v>
      </c>
      <c r="G25" s="18" t="s">
        <v>121</v>
      </c>
      <c r="H25" s="12">
        <v>5</v>
      </c>
      <c r="I25" s="54" t="s">
        <v>132</v>
      </c>
      <c r="J25" s="17">
        <f>IFERROR(DPImpactAssessment[[#This Row],[Likelihood]]*DPImpactAssessment[[#This Row],[Impact]],"Calculated")</f>
        <v>10</v>
      </c>
      <c r="K25" s="17" t="str">
        <f t="shared" si="0"/>
        <v>MEDIUM</v>
      </c>
      <c r="L25" s="12" t="s">
        <v>136</v>
      </c>
      <c r="M25" s="18" t="s">
        <v>143</v>
      </c>
      <c r="N25" s="12">
        <v>1</v>
      </c>
      <c r="O25" s="19" t="s">
        <v>144</v>
      </c>
      <c r="P25" s="12">
        <v>3</v>
      </c>
      <c r="Q25" s="19" t="s">
        <v>142</v>
      </c>
      <c r="R25" s="17">
        <f>IFERROR(DPImpactAssessment[[#This Row],[Post-treatment Likelihood]]*DPImpactAssessment[[#This Row],[Post-treatment Impact]],"Calculated")</f>
        <v>3</v>
      </c>
      <c r="S25" s="17" t="str">
        <f t="shared" si="1"/>
        <v>LOW</v>
      </c>
      <c r="T25" s="19"/>
    </row>
    <row r="26" spans="1:20" ht="64.5" x14ac:dyDescent="0.25">
      <c r="A26" s="53">
        <v>18</v>
      </c>
      <c r="B26" s="18" t="s">
        <v>109</v>
      </c>
      <c r="C26" s="18" t="s">
        <v>112</v>
      </c>
      <c r="D26" s="20" t="s">
        <v>119</v>
      </c>
      <c r="E26" s="18" t="s">
        <v>118</v>
      </c>
      <c r="F26" s="12">
        <v>2</v>
      </c>
      <c r="G26" s="18" t="s">
        <v>122</v>
      </c>
      <c r="H26" s="12">
        <v>4</v>
      </c>
      <c r="I26" s="54" t="s">
        <v>133</v>
      </c>
      <c r="J26" s="17">
        <f>IFERROR(DPImpactAssessment[[#This Row],[Likelihood]]*DPImpactAssessment[[#This Row],[Impact]],"Calculated")</f>
        <v>8</v>
      </c>
      <c r="K26" s="17" t="str">
        <f t="shared" si="0"/>
        <v>MEDIUM</v>
      </c>
      <c r="L26" s="12" t="s">
        <v>135</v>
      </c>
      <c r="M26" s="19"/>
      <c r="N26" s="12" t="s">
        <v>37</v>
      </c>
      <c r="O26" s="19"/>
      <c r="P26" s="12" t="s">
        <v>37</v>
      </c>
      <c r="Q26" s="19"/>
      <c r="R26" s="17" t="str">
        <f>IFERROR(DPImpactAssessment[[#This Row],[Post-treatment Likelihood]]*DPImpactAssessment[[#This Row],[Post-treatment Impact]],"Calculated")</f>
        <v>Calculated</v>
      </c>
      <c r="S26" s="17" t="str">
        <f t="shared" si="1"/>
        <v>Calculated</v>
      </c>
      <c r="T26" s="19"/>
    </row>
    <row r="27" spans="1:20" ht="51.75" x14ac:dyDescent="0.25">
      <c r="A27" s="53">
        <v>19</v>
      </c>
      <c r="B27" s="18" t="s">
        <v>109</v>
      </c>
      <c r="C27" s="18" t="s">
        <v>113</v>
      </c>
      <c r="D27" s="20" t="s">
        <v>119</v>
      </c>
      <c r="E27" s="18" t="s">
        <v>117</v>
      </c>
      <c r="F27" s="12">
        <v>2</v>
      </c>
      <c r="G27" s="18" t="s">
        <v>122</v>
      </c>
      <c r="H27" s="12">
        <v>4</v>
      </c>
      <c r="I27" s="54" t="s">
        <v>134</v>
      </c>
      <c r="J27" s="17">
        <f>IFERROR(DPImpactAssessment[[#This Row],[Likelihood]]*DPImpactAssessment[[#This Row],[Impact]],"Calculated")</f>
        <v>8</v>
      </c>
      <c r="K27" s="17" t="str">
        <f t="shared" si="0"/>
        <v>MEDIUM</v>
      </c>
      <c r="L27" s="12" t="s">
        <v>135</v>
      </c>
      <c r="M27" s="19"/>
      <c r="N27" s="12" t="s">
        <v>37</v>
      </c>
      <c r="O27" s="19"/>
      <c r="P27" s="12" t="s">
        <v>37</v>
      </c>
      <c r="Q27" s="19"/>
      <c r="R27" s="17" t="str">
        <f>IFERROR(DPImpactAssessment[[#This Row],[Post-treatment Likelihood]]*DPImpactAssessment[[#This Row],[Post-treatment Impact]],"Calculated")</f>
        <v>Calculated</v>
      </c>
      <c r="S27" s="17" t="str">
        <f t="shared" si="1"/>
        <v>Calculated</v>
      </c>
      <c r="T27" s="19"/>
    </row>
    <row r="28" spans="1:20" ht="39" x14ac:dyDescent="0.25">
      <c r="A28" s="53">
        <v>20</v>
      </c>
      <c r="B28" s="18" t="s">
        <v>109</v>
      </c>
      <c r="C28" s="18" t="s">
        <v>114</v>
      </c>
      <c r="D28" s="20" t="s">
        <v>101</v>
      </c>
      <c r="E28" s="18" t="s">
        <v>116</v>
      </c>
      <c r="F28" s="12">
        <v>3</v>
      </c>
      <c r="G28" s="18" t="s">
        <v>123</v>
      </c>
      <c r="H28" s="12">
        <v>5</v>
      </c>
      <c r="I28" s="54" t="s">
        <v>132</v>
      </c>
      <c r="J28" s="17">
        <f>IFERROR(DPImpactAssessment[[#This Row],[Likelihood]]*DPImpactAssessment[[#This Row],[Impact]],"Calculated")</f>
        <v>15</v>
      </c>
      <c r="K28" s="17" t="str">
        <f t="shared" si="0"/>
        <v>HIGH</v>
      </c>
      <c r="L28" s="12" t="s">
        <v>136</v>
      </c>
      <c r="M28" s="18" t="s">
        <v>138</v>
      </c>
      <c r="N28" s="12">
        <v>2</v>
      </c>
      <c r="O28" s="18" t="s">
        <v>139</v>
      </c>
      <c r="P28" s="12">
        <v>4</v>
      </c>
      <c r="Q28" s="19" t="s">
        <v>140</v>
      </c>
      <c r="R28" s="17">
        <f>IFERROR(DPImpactAssessment[[#This Row],[Post-treatment Likelihood]]*DPImpactAssessment[[#This Row],[Post-treatment Impact]],"Calculated")</f>
        <v>8</v>
      </c>
      <c r="S28" s="17" t="str">
        <f t="shared" si="1"/>
        <v>MEDIUM</v>
      </c>
      <c r="T28" s="19"/>
    </row>
  </sheetData>
  <sheetProtection sheet="1" selectLockedCells="1" sort="0" autoFilter="0" selectUnlockedCells="1"/>
  <mergeCells count="10">
    <mergeCell ref="D1:G1"/>
    <mergeCell ref="E7:K7"/>
    <mergeCell ref="L7:M7"/>
    <mergeCell ref="A7:D7"/>
    <mergeCell ref="N7:T7"/>
    <mergeCell ref="D4:E4"/>
    <mergeCell ref="D5:E5"/>
    <mergeCell ref="F4:G4"/>
    <mergeCell ref="F5:G5"/>
    <mergeCell ref="A5:C5"/>
  </mergeCells>
  <conditionalFormatting sqref="K9:K28 S9:S28">
    <cfRule type="containsText" dxfId="10" priority="3" operator="containsText" text="LOW">
      <formula>NOT(ISERROR(SEARCH("LOW",K9)))</formula>
    </cfRule>
    <cfRule type="containsText" dxfId="9" priority="4" operator="containsText" text="MEDIUM">
      <formula>NOT(ISERROR(SEARCH("MEDIUM",K9)))</formula>
    </cfRule>
    <cfRule type="containsText" dxfId="8" priority="5" operator="containsText" text="HIGH">
      <formula>NOT(ISERROR(SEARCH("HIGH",K9)))</formula>
    </cfRule>
  </conditionalFormatting>
  <conditionalFormatting sqref="S9:S28 K9:K28">
    <cfRule type="containsText" priority="2" operator="containsText" text="Calculated">
      <formula>NOT(ISERROR(SEARCH("Calculated",K9)))</formula>
    </cfRule>
  </conditionalFormatting>
  <dataValidations count="3">
    <dataValidation type="list" allowBlank="1" showInputMessage="1" showErrorMessage="1" sqref="H9:H28 F10:F28 P9:P28 N9:N28" xr:uid="{00000000-0002-0000-0100-000000000000}">
      <formula1>"Select…,1,2,3,4,5"</formula1>
    </dataValidation>
    <dataValidation type="list" allowBlank="1" showErrorMessage="1" sqref="L9:L28" xr:uid="{00000000-0002-0000-0100-000001000000}">
      <formula1>"Select…,Accept,Avoid,Modify,Share"</formula1>
    </dataValidation>
    <dataValidation type="list" allowBlank="1" showInputMessage="1" showErrorMessage="1" promptTitle="Select Likelihood" prompt="Assess the likelihood that the risk will happen on a scale from 1 (low) to 5 (high)." sqref="F9" xr:uid="{3D423048-AA02-4BBB-B154-58DC231C032A}">
      <formula1>"Select…,1,2,3,4,5"</formula1>
    </dataValidation>
  </dataValidations>
  <pageMargins left="0.70866141732283472" right="0.70866141732283472" top="0.74803149606299213" bottom="0.74803149606299213" header="0.31496062992125984" footer="0.31496062992125984"/>
  <pageSetup paperSize="8" scale="48" fitToHeight="0" orientation="landscape" verticalDpi="0" r:id="rId1"/>
  <headerFooter>
    <oddFooter>&amp;L&amp;D&amp;CPage &amp;P of &amp;N&amp;RConfidential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1"/>
  <sheetViews>
    <sheetView showGridLines="0" workbookViewId="0">
      <selection activeCell="A7" sqref="A7"/>
    </sheetView>
  </sheetViews>
  <sheetFormatPr defaultRowHeight="15" x14ac:dyDescent="0.25"/>
  <cols>
    <col min="1" max="1" width="14.28515625" customWidth="1"/>
    <col min="2" max="2" width="16.7109375" customWidth="1"/>
    <col min="3" max="3" width="91.28515625" customWidth="1"/>
  </cols>
  <sheetData>
    <row r="1" spans="1:3" ht="54" customHeight="1" x14ac:dyDescent="0.25"/>
    <row r="2" spans="1:3" ht="21" x14ac:dyDescent="0.35">
      <c r="A2" s="2" t="s">
        <v>2</v>
      </c>
    </row>
    <row r="4" spans="1:3" x14ac:dyDescent="0.25">
      <c r="A4" t="s">
        <v>19</v>
      </c>
    </row>
    <row r="6" spans="1:3" x14ac:dyDescent="0.25">
      <c r="A6" s="14" t="s">
        <v>2</v>
      </c>
      <c r="B6" s="13" t="s">
        <v>4</v>
      </c>
      <c r="C6" s="13" t="s">
        <v>25</v>
      </c>
    </row>
    <row r="7" spans="1:3" x14ac:dyDescent="0.25">
      <c r="A7" s="1">
        <v>1</v>
      </c>
      <c r="B7" t="s">
        <v>6</v>
      </c>
      <c r="C7" t="s">
        <v>29</v>
      </c>
    </row>
    <row r="8" spans="1:3" x14ac:dyDescent="0.25">
      <c r="A8" s="1">
        <v>2</v>
      </c>
      <c r="B8" t="s">
        <v>7</v>
      </c>
      <c r="C8" t="s">
        <v>23</v>
      </c>
    </row>
    <row r="9" spans="1:3" x14ac:dyDescent="0.25">
      <c r="A9" s="1">
        <v>3</v>
      </c>
      <c r="B9" t="s">
        <v>8</v>
      </c>
      <c r="C9" t="s">
        <v>22</v>
      </c>
    </row>
    <row r="10" spans="1:3" x14ac:dyDescent="0.25">
      <c r="A10" s="1">
        <v>4</v>
      </c>
      <c r="B10" t="s">
        <v>9</v>
      </c>
      <c r="C10" t="s">
        <v>24</v>
      </c>
    </row>
    <row r="11" spans="1:3" x14ac:dyDescent="0.25">
      <c r="A11" s="1">
        <v>5</v>
      </c>
      <c r="B11" t="s">
        <v>10</v>
      </c>
      <c r="C11" t="s">
        <v>21</v>
      </c>
    </row>
  </sheetData>
  <sheetProtection sheet="1" objects="1" scenarios="1" selectLockedCells="1" selectUnlockedCells="1"/>
  <pageMargins left="0.70866141732283472" right="0.70866141732283472" top="0.74803149606299213" bottom="0.74803149606299213" header="0.31496062992125984" footer="0.31496062992125984"/>
  <pageSetup paperSize="9" scale="71" fitToHeight="0" orientation="portrait" verticalDpi="0" r:id="rId1"/>
  <headerFooter>
    <oddFooter>&amp;L&amp;D&amp;CPage &amp;P of &amp;N&amp;RConfidential</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
  <sheetViews>
    <sheetView showGridLines="0" workbookViewId="0">
      <selection activeCell="B12" sqref="B12"/>
    </sheetView>
  </sheetViews>
  <sheetFormatPr defaultRowHeight="15" x14ac:dyDescent="0.25"/>
  <cols>
    <col min="1" max="1" width="15.140625" customWidth="1"/>
    <col min="2" max="2" width="14.85546875" customWidth="1"/>
    <col min="3" max="3" width="22" customWidth="1"/>
    <col min="4" max="5" width="24.28515625" customWidth="1"/>
    <col min="6" max="6" width="19.5703125" customWidth="1"/>
    <col min="7" max="7" width="24.5703125" customWidth="1"/>
  </cols>
  <sheetData>
    <row r="1" spans="1:7" ht="54" customHeight="1" x14ac:dyDescent="0.25"/>
    <row r="2" spans="1:7" ht="21" x14ac:dyDescent="0.35">
      <c r="A2" s="2" t="s">
        <v>3</v>
      </c>
    </row>
    <row r="4" spans="1:7" x14ac:dyDescent="0.25">
      <c r="A4" t="s">
        <v>64</v>
      </c>
    </row>
    <row r="5" spans="1:7" ht="19.5" customHeight="1" x14ac:dyDescent="0.25"/>
    <row r="6" spans="1:7" ht="33.75" customHeight="1" x14ac:dyDescent="0.25">
      <c r="A6" s="51" t="s">
        <v>36</v>
      </c>
      <c r="B6" s="51"/>
      <c r="C6" s="51" t="s">
        <v>27</v>
      </c>
      <c r="D6" s="52"/>
      <c r="E6" s="52"/>
      <c r="F6" s="52"/>
      <c r="G6" s="52"/>
    </row>
    <row r="7" spans="1:7" ht="37.5" customHeight="1" x14ac:dyDescent="0.25">
      <c r="A7" s="15" t="s">
        <v>28</v>
      </c>
      <c r="B7" s="22" t="s">
        <v>26</v>
      </c>
      <c r="C7" s="22" t="s">
        <v>68</v>
      </c>
      <c r="D7" s="22" t="s">
        <v>30</v>
      </c>
      <c r="E7" s="22" t="s">
        <v>69</v>
      </c>
      <c r="F7" s="22" t="s">
        <v>70</v>
      </c>
      <c r="G7" s="22" t="s">
        <v>71</v>
      </c>
    </row>
    <row r="8" spans="1:7" ht="26.25" customHeight="1" x14ac:dyDescent="0.25">
      <c r="A8" s="16">
        <v>1</v>
      </c>
      <c r="B8" s="21" t="s">
        <v>11</v>
      </c>
      <c r="C8" s="56" t="s">
        <v>145</v>
      </c>
      <c r="D8" s="56" t="s">
        <v>150</v>
      </c>
      <c r="E8" s="56" t="s">
        <v>155</v>
      </c>
      <c r="F8" s="56" t="s">
        <v>155</v>
      </c>
      <c r="G8" s="56"/>
    </row>
    <row r="9" spans="1:7" x14ac:dyDescent="0.25">
      <c r="A9" s="16">
        <v>2</v>
      </c>
      <c r="B9" s="21" t="s">
        <v>12</v>
      </c>
      <c r="C9" s="56" t="s">
        <v>146</v>
      </c>
      <c r="D9" s="56" t="s">
        <v>151</v>
      </c>
      <c r="E9" s="56" t="s">
        <v>156</v>
      </c>
      <c r="F9" s="56" t="s">
        <v>160</v>
      </c>
      <c r="G9" s="56"/>
    </row>
    <row r="10" spans="1:7" ht="45" x14ac:dyDescent="0.25">
      <c r="A10" s="16">
        <v>3</v>
      </c>
      <c r="B10" s="21" t="s">
        <v>13</v>
      </c>
      <c r="C10" s="56" t="s">
        <v>147</v>
      </c>
      <c r="D10" s="56" t="s">
        <v>154</v>
      </c>
      <c r="E10" s="56" t="s">
        <v>159</v>
      </c>
      <c r="F10" s="56" t="s">
        <v>161</v>
      </c>
      <c r="G10" s="56"/>
    </row>
    <row r="11" spans="1:7" ht="60" x14ac:dyDescent="0.25">
      <c r="A11" s="16">
        <v>4</v>
      </c>
      <c r="B11" s="21" t="s">
        <v>14</v>
      </c>
      <c r="C11" s="56" t="s">
        <v>148</v>
      </c>
      <c r="D11" s="56" t="s">
        <v>153</v>
      </c>
      <c r="E11" s="56" t="s">
        <v>158</v>
      </c>
      <c r="F11" s="56" t="s">
        <v>163</v>
      </c>
      <c r="G11" s="56"/>
    </row>
    <row r="12" spans="1:7" ht="43.5" customHeight="1" x14ac:dyDescent="0.25">
      <c r="A12" s="16">
        <v>5</v>
      </c>
      <c r="B12" s="21" t="s">
        <v>15</v>
      </c>
      <c r="C12" s="56" t="s">
        <v>149</v>
      </c>
      <c r="D12" s="56" t="s">
        <v>152</v>
      </c>
      <c r="E12" s="56" t="s">
        <v>157</v>
      </c>
      <c r="F12" s="56" t="s">
        <v>162</v>
      </c>
      <c r="G12" s="56"/>
    </row>
  </sheetData>
  <sheetProtection sheet="1" selectLockedCells="1" selectUnlockedCells="1"/>
  <mergeCells count="2">
    <mergeCell ref="C6:G6"/>
    <mergeCell ref="A6:B6"/>
  </mergeCells>
  <pageMargins left="0.70866141732283472" right="0.70866141732283472" top="0.74803149606299213" bottom="0.74803149606299213" header="0.31496062992125984" footer="0.31496062992125984"/>
  <pageSetup paperSize="9" scale="60" fitToHeight="0" orientation="portrait" verticalDpi="0" r:id="rId1"/>
  <headerFooter>
    <oddFooter>&amp;L&amp;D&amp;CPage &amp;P of &amp;N&amp;RConfidential</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4"/>
  <sheetViews>
    <sheetView showGridLines="0" workbookViewId="0">
      <selection activeCell="I31" sqref="I31"/>
    </sheetView>
  </sheetViews>
  <sheetFormatPr defaultRowHeight="15" x14ac:dyDescent="0.25"/>
  <sheetData>
    <row r="1" spans="1:1" ht="55.5" customHeight="1" x14ac:dyDescent="0.25"/>
    <row r="2" spans="1:1" ht="21" x14ac:dyDescent="0.35">
      <c r="A2" s="2" t="s">
        <v>18</v>
      </c>
    </row>
    <row r="4" spans="1:1" x14ac:dyDescent="0.25">
      <c r="A4" t="s">
        <v>5</v>
      </c>
    </row>
  </sheetData>
  <sheetProtection sheet="1" objects="1" scenarios="1" selectLockedCells="1" selectUnlockedCells="1"/>
  <pageMargins left="0.70866141732283472" right="0.70866141732283472" top="0.74803149606299213" bottom="0.74803149606299213" header="0.31496062992125984" footer="0.31496062992125984"/>
  <pageSetup paperSize="9" scale="79" fitToHeight="0" orientation="portrait" verticalDpi="0" r:id="rId1"/>
  <headerFooter>
    <oddFooter>&amp;L&amp;D&amp;CPage &amp;P of &amp;N&amp;RConfidential</oddFooter>
  </headerFooter>
  <drawing r:id="rId2"/>
  <legacyDrawing r:id="rId3"/>
  <oleObjects>
    <mc:AlternateContent xmlns:mc="http://schemas.openxmlformats.org/markup-compatibility/2006">
      <mc:Choice Requires="x14">
        <oleObject progId="Visio.Drawing.11" shapeId="6146" r:id="rId4">
          <objectPr defaultSize="0" autoPict="0" r:id="rId5">
            <anchor moveWithCells="1">
              <from>
                <xdr:col>0</xdr:col>
                <xdr:colOff>0</xdr:colOff>
                <xdr:row>5</xdr:row>
                <xdr:rowOff>0</xdr:rowOff>
              </from>
              <to>
                <xdr:col>11</xdr:col>
                <xdr:colOff>542925</xdr:colOff>
                <xdr:row>26</xdr:row>
                <xdr:rowOff>123825</xdr:rowOff>
              </to>
            </anchor>
          </objectPr>
        </oleObject>
      </mc:Choice>
      <mc:Fallback>
        <oleObject progId="Visio.Drawing.11" shapeId="6146"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4069E3-5445-457C-9AF4-9DE6C2460B20}">
  <ds:schemaRefs>
    <ds:schemaRef ds:uri="http://purl.org/dc/elements/1.1/"/>
    <ds:schemaRef ds:uri="http://schemas.microsoft.com/office/2006/metadata/propertie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906258ce-5a0c-4f3f-a95b-99bb0331ce14"/>
    <ds:schemaRef ds:uri="http://www.w3.org/XML/1998/namespace"/>
    <ds:schemaRef ds:uri="http://purl.org/dc/dcmitype/"/>
  </ds:schemaRefs>
</ds:datastoreItem>
</file>

<file path=customXml/itemProps2.xml><?xml version="1.0" encoding="utf-8"?>
<ds:datastoreItem xmlns:ds="http://schemas.openxmlformats.org/officeDocument/2006/customXml" ds:itemID="{92731EAD-4491-48B7-8B1E-692BAF5517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FC593C-9E6E-41CC-996A-1F2D42FAB3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Guidance</vt:lpstr>
      <vt:lpstr>Assessment Details</vt:lpstr>
      <vt:lpstr>Data Protection Impact Asst</vt:lpstr>
      <vt:lpstr>Likelihood</vt:lpstr>
      <vt:lpstr>Impact</vt:lpstr>
      <vt:lpstr>Classification</vt:lpstr>
      <vt:lpstr>'Assessment Details'!Print_Area</vt:lpstr>
      <vt:lpstr>Classification!Print_Area</vt:lpstr>
      <vt:lpstr>'Data Protection Impact Asst'!Print_Area</vt:lpstr>
      <vt:lpstr>Guidance!Print_Area</vt:lpstr>
      <vt:lpstr>Impact!Print_Area</vt:lpstr>
      <vt:lpstr>Likelihood!Print_Area</vt:lpstr>
      <vt:lpstr>'Data Protection Impact Asst'!Print_Titles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2018-02-07T12:17:33Z</cp:lastPrinted>
  <dcterms:created xsi:type="dcterms:W3CDTF">2013-09-16T16:27:54Z</dcterms:created>
  <dcterms:modified xsi:type="dcterms:W3CDTF">2019-03-11T14:51:07Z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