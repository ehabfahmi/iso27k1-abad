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publicit3.sharepoint.com/sites/ToolkitDevelopment/Shared Documents/ISO22301 v6/CERTIKIT ISO-22301-2019 Toolkit V6/00. Implementation Resources/"/>
    </mc:Choice>
  </mc:AlternateContent>
  <xr:revisionPtr revIDLastSave="5" documentId="13_ncr:1_{0FA75EAC-AD5B-4E84-A993-7AD09E9D619F}" xr6:coauthVersionLast="47" xr6:coauthVersionMax="47" xr10:uidLastSave="{08E7B1BB-E2A1-4615-8755-55D1558758DB}"/>
  <bookViews>
    <workbookView xWindow="28680" yWindow="-120" windowWidth="29040" windowHeight="15840" tabRatio="704" xr2:uid="{00000000-000D-0000-FFFF-FFFF00000000}"/>
  </bookViews>
  <sheets>
    <sheet name="Project Plan" sheetId="8" r:id="rId1"/>
    <sheet name="Project Budget" sheetId="13" r:id="rId2"/>
    <sheet name="Project Gantt Chart" sheetId="12" r:id="rId3"/>
    <sheet name="Project Dashboard" sheetId="17" r:id="rId4"/>
    <sheet name="Tasks &amp; Progress Pivots" sheetId="15" state="hidden" r:id="rId5"/>
    <sheet name="Budget Pivots" sheetId="20" state="hidden" r:id="rId6"/>
    <sheet name="Scroll Bar" sheetId="21" state="hidden" r:id="rId7"/>
  </sheets>
  <definedNames>
    <definedName name="_xlnm.Print_Area" localSheetId="1">'Project Budget'!$A$1:$E$22</definedName>
    <definedName name="_xlnm.Print_Area" localSheetId="0">'Project Plan'!$A$1:$L$34</definedName>
    <definedName name="_xlnm.Print_Area" localSheetId="4">'Tasks &amp; Progress Pivots'!$D$4:$M$19</definedName>
    <definedName name="_xlnm.Print_Titles" localSheetId="0">'Project Plan'!$10:$10</definedName>
    <definedName name="_xlnm.Print_Titles" localSheetId="4">'Tasks &amp; Progress Pivots'!#REF!</definedName>
  </definedNames>
  <calcPr calcId="191029"/>
  <pivotCaches>
    <pivotCache cacheId="7" r:id="rId8"/>
    <pivotCache cacheId="8" r:id="rId9"/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2" i="8" l="1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H11" i="8" l="1"/>
  <c r="J11" i="8"/>
  <c r="F8" i="15" l="1"/>
  <c r="F7" i="15"/>
  <c r="D11" i="17" l="1"/>
  <c r="E19" i="13" l="1"/>
  <c r="E18" i="13"/>
  <c r="E15" i="13"/>
  <c r="E13" i="13"/>
  <c r="E16" i="13"/>
  <c r="E12" i="13"/>
  <c r="D22" i="13"/>
  <c r="C22" i="13"/>
  <c r="E11" i="13"/>
  <c r="E14" i="13"/>
  <c r="E17" i="13"/>
  <c r="E20" i="13"/>
  <c r="E21" i="13"/>
  <c r="M7" i="15"/>
  <c r="E22" i="13" l="1"/>
  <c r="J14" i="12"/>
  <c r="B9" i="12"/>
  <c r="K14" i="12" l="1"/>
  <c r="L14" i="12" s="1"/>
  <c r="M14" i="12" s="1"/>
  <c r="N14" i="12" s="1"/>
  <c r="O14" i="12" s="1"/>
  <c r="P14" i="12" s="1"/>
  <c r="Q14" i="12" s="1"/>
  <c r="R14" i="12" s="1"/>
  <c r="S14" i="12" s="1"/>
  <c r="T14" i="12" s="1"/>
  <c r="U14" i="12" s="1"/>
  <c r="V14" i="12" s="1"/>
  <c r="W14" i="12" s="1"/>
  <c r="X14" i="12" s="1"/>
  <c r="Y14" i="12" s="1"/>
  <c r="Z14" i="12" s="1"/>
  <c r="AA14" i="12" s="1"/>
  <c r="AB14" i="12" s="1"/>
  <c r="AC14" i="12" s="1"/>
  <c r="AD14" i="12" s="1"/>
  <c r="AE14" i="12" s="1"/>
  <c r="AF14" i="12" s="1"/>
  <c r="AG14" i="12" s="1"/>
  <c r="AH14" i="12" s="1"/>
  <c r="AI14" i="12" s="1"/>
  <c r="H12" i="8" l="1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F9" i="15" l="1"/>
  <c r="M8" i="15"/>
  <c r="F10" i="15"/>
  <c r="F11" i="15" l="1"/>
</calcChain>
</file>

<file path=xl/sharedStrings.xml><?xml version="1.0" encoding="utf-8"?>
<sst xmlns="http://schemas.openxmlformats.org/spreadsheetml/2006/main" count="214" uniqueCount="114">
  <si>
    <t>TASK</t>
  </si>
  <si>
    <t>WORK DAYS</t>
  </si>
  <si>
    <t>RESOURCE</t>
  </si>
  <si>
    <t>PROGRESS</t>
  </si>
  <si>
    <t>START DATE</t>
  </si>
  <si>
    <t>END DATE</t>
  </si>
  <si>
    <t xml:space="preserve"> REF</t>
  </si>
  <si>
    <t>Perform gap assessment</t>
  </si>
  <si>
    <t>Awareness training</t>
  </si>
  <si>
    <t>Not Started</t>
  </si>
  <si>
    <t>COMPLETED DAYS</t>
  </si>
  <si>
    <t>Software tools</t>
  </si>
  <si>
    <t>Internal auditing</t>
  </si>
  <si>
    <t>Certification auditing</t>
  </si>
  <si>
    <t>In Progress</t>
  </si>
  <si>
    <t>Completed</t>
  </si>
  <si>
    <t>Remaining</t>
  </si>
  <si>
    <t>Total Tasks</t>
  </si>
  <si>
    <t>Grand Total</t>
  </si>
  <si>
    <t>Values</t>
  </si>
  <si>
    <t>%</t>
  </si>
  <si>
    <t xml:space="preserve">Days Completed </t>
  </si>
  <si>
    <t>Days Remaining</t>
  </si>
  <si>
    <t xml:space="preserve">Budget </t>
  </si>
  <si>
    <t>Scroll Bar</t>
  </si>
  <si>
    <t>WORK 
DAYS</t>
  </si>
  <si>
    <t>Project Timeline</t>
  </si>
  <si>
    <t>Not started</t>
  </si>
  <si>
    <t>In progress</t>
  </si>
  <si>
    <t>Total</t>
  </si>
  <si>
    <t>External Consultancy</t>
  </si>
  <si>
    <t>Internal resources</t>
  </si>
  <si>
    <t>Training</t>
  </si>
  <si>
    <t>Professional memberships</t>
  </si>
  <si>
    <t>Travel and subsistence</t>
  </si>
  <si>
    <t>Communication</t>
  </si>
  <si>
    <t>Hardware</t>
  </si>
  <si>
    <t>Offices and furniture</t>
  </si>
  <si>
    <t>Weekends (Sat - Sun)</t>
  </si>
  <si>
    <t>Task Progress</t>
  </si>
  <si>
    <t>Project Days</t>
  </si>
  <si>
    <t>Sum of Task Progress</t>
  </si>
  <si>
    <t>Task Status</t>
  </si>
  <si>
    <t>Total Work Days</t>
  </si>
  <si>
    <t>Completed Work Days</t>
  </si>
  <si>
    <t xml:space="preserve">Spent to date </t>
  </si>
  <si>
    <t xml:space="preserve">Budget remaining </t>
  </si>
  <si>
    <t>Date display slider</t>
  </si>
  <si>
    <t>To refresh chart data, click on “Refresh All” on the Data ribbon.</t>
  </si>
  <si>
    <t>ITEM</t>
  </si>
  <si>
    <t>BUDGET</t>
  </si>
  <si>
    <t>SPENT TO DATE</t>
  </si>
  <si>
    <t>BUDGET REMAINING</t>
  </si>
  <si>
    <t>Project timeline:</t>
  </si>
  <si>
    <t>Project tasks and progress</t>
  </si>
  <si>
    <t>Project budget overview</t>
  </si>
  <si>
    <t>NOTE: Budget items will depend on the specifics of your project.</t>
  </si>
  <si>
    <t>Project Dashboard</t>
  </si>
  <si>
    <t>Count of  REF</t>
  </si>
  <si>
    <t>Project initiation</t>
  </si>
  <si>
    <t>Document context of the organization</t>
  </si>
  <si>
    <t>Define roles, responsibilities and authorities</t>
  </si>
  <si>
    <t>Competence and training needs assessment</t>
  </si>
  <si>
    <t>Define approach to monitoring, measurement, analysis and evaluation</t>
  </si>
  <si>
    <t>Establish continual improvement process</t>
  </si>
  <si>
    <t>Perform management review</t>
  </si>
  <si>
    <t>Certification stage one</t>
  </si>
  <si>
    <t>Certification stage two</t>
  </si>
  <si>
    <t>Post Project Review</t>
  </si>
  <si>
    <t>MAIN ISO22301 REF</t>
  </si>
  <si>
    <t>All</t>
  </si>
  <si>
    <t>Project Mgr</t>
  </si>
  <si>
    <t>Define proposed scope of BCMS</t>
  </si>
  <si>
    <t>4.3 Determining the scope of the business continuity management system</t>
  </si>
  <si>
    <t>Top Mgt,BC Manager</t>
  </si>
  <si>
    <t>BC Manager,Business Reps</t>
  </si>
  <si>
    <t>Obtain Top Management commitment</t>
  </si>
  <si>
    <t>5.1 Leadership and commitment</t>
  </si>
  <si>
    <t>BC Manager,Project Mgr,Top Mgt</t>
  </si>
  <si>
    <t>Establish BCMS document control</t>
  </si>
  <si>
    <t>7.5 Documented information</t>
  </si>
  <si>
    <t>BC Manager,Project Mgr</t>
  </si>
  <si>
    <t>Define business continuity policy</t>
  </si>
  <si>
    <t>5.2 Policy</t>
  </si>
  <si>
    <t>BC Manager,Top Mgt</t>
  </si>
  <si>
    <t>4. Context of the organization</t>
  </si>
  <si>
    <t>Agree business continuity objectives</t>
  </si>
  <si>
    <t>6.2 Business continuity objectives and planning to achieve them</t>
  </si>
  <si>
    <t>5.3 Roles, responsibilities and authorities</t>
  </si>
  <si>
    <t>7.2 Competence</t>
  </si>
  <si>
    <t>Conduct business impact analysis</t>
  </si>
  <si>
    <t>8.2 Business impact analysis and risk assessment</t>
  </si>
  <si>
    <t>BC Manager,Business Reps,CIO</t>
  </si>
  <si>
    <t>Perform risk assessment</t>
  </si>
  <si>
    <t>BC Manager,Top Mgt,CIO</t>
  </si>
  <si>
    <t>Determine business continuity strategies and solutions</t>
  </si>
  <si>
    <t>8.3 Business continuity strategies and solutions</t>
  </si>
  <si>
    <t>Establish business continuity plans</t>
  </si>
  <si>
    <t>8.4 Business continuity plans and procedures</t>
  </si>
  <si>
    <t>Plan business continuity exercising and testing</t>
  </si>
  <si>
    <t>8.5 Exercise programme</t>
  </si>
  <si>
    <t>BC Manager,CIO,Top Mgt</t>
  </si>
  <si>
    <t>Document communications procedures</t>
  </si>
  <si>
    <t>9.1 Monitoring, measurement, analysis and evaluation</t>
  </si>
  <si>
    <t>7.3 Awareness</t>
  </si>
  <si>
    <t>10. Improvement</t>
  </si>
  <si>
    <t>Internal audit</t>
  </si>
  <si>
    <t>9.2 Internal audit</t>
  </si>
  <si>
    <t>BC Manager,Business Reps,CIO,Internal Audit Team</t>
  </si>
  <si>
    <t>9.3 Management review</t>
  </si>
  <si>
    <t>BC Manager,Top Mgt,External Auditor</t>
  </si>
  <si>
    <t>BC Manager,Business Reps,External Auditor,Top Mgt</t>
  </si>
  <si>
    <t>Project Mgr,BC Manager,Top Mgt</t>
  </si>
  <si>
    <t xml:space="preserve">NOTE: All tasks and resources are approximations and will depend on the specifics of your project.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</si>
</sst>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&quot;£&quot;#,##0.00"/>
    <numFmt numFmtId="165" formatCode="_-* #,##0_-;\-* #,##0_-;_-* &quot;-&quot;??_-;_-@_-"/>
    <numFmt numFmtId="166" formatCode="&quot;£&quot;#,##0"/>
  </numFmts>
  <fonts count="1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44444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lightUp">
        <bgColor theme="2" tint="-9.9948118533890809E-2"/>
      </patternFill>
    </fill>
    <fill>
      <patternFill patternType="solid">
        <fgColor rgb="FF009BA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99">
    <xf numFmtId="0" fontId="0" fillId="0" borderId="0" xfId="0"/>
    <xf numFmtId="0" fontId="4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top"/>
    </xf>
    <xf numFmtId="164" fontId="0" fillId="0" borderId="0" xfId="0" applyNumberFormat="1" applyFont="1" applyAlignment="1">
      <alignment horizontal="left" vertical="top"/>
    </xf>
    <xf numFmtId="0" fontId="9" fillId="2" borderId="0" xfId="0" applyFont="1" applyFill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14" fontId="0" fillId="0" borderId="0" xfId="0" applyNumberFormat="1" applyAlignment="1" applyProtection="1">
      <alignment horizontal="left" vertical="top" wrapText="1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0" fillId="0" borderId="0" xfId="0" applyFont="1" applyFill="1" applyAlignment="1" applyProtection="1">
      <alignment horizontal="left" vertical="top"/>
      <protection locked="0"/>
    </xf>
    <xf numFmtId="14" fontId="0" fillId="0" borderId="0" xfId="0" applyNumberFormat="1" applyAlignment="1" applyProtection="1">
      <alignment horizontal="left" vertical="top" wrapText="1"/>
    </xf>
    <xf numFmtId="14" fontId="0" fillId="0" borderId="0" xfId="0" applyNumberFormat="1" applyFont="1" applyFill="1" applyAlignment="1" applyProtection="1">
      <alignment horizontal="left" vertical="top" wrapText="1"/>
    </xf>
    <xf numFmtId="1" fontId="0" fillId="0" borderId="0" xfId="0" applyNumberFormat="1" applyAlignment="1" applyProtection="1">
      <alignment horizontal="left" vertical="top" wrapText="1"/>
      <protection locked="0"/>
    </xf>
    <xf numFmtId="1" fontId="0" fillId="0" borderId="0" xfId="0" applyNumberFormat="1" applyFont="1" applyFill="1" applyAlignment="1" applyProtection="1">
      <alignment horizontal="left" vertical="top" wrapText="1"/>
      <protection locked="0"/>
    </xf>
    <xf numFmtId="9" fontId="0" fillId="0" borderId="0" xfId="3" applyFont="1" applyFill="1" applyAlignment="1">
      <alignment horizontal="left" vertical="top"/>
    </xf>
    <xf numFmtId="0" fontId="3" fillId="2" borderId="0" xfId="0" applyFont="1" applyFill="1"/>
    <xf numFmtId="9" fontId="3" fillId="2" borderId="0" xfId="0" applyNumberFormat="1" applyFont="1" applyFill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0" fontId="0" fillId="0" borderId="0" xfId="0" applyFill="1"/>
    <xf numFmtId="0" fontId="5" fillId="0" borderId="0" xfId="0" applyFont="1" applyFill="1" applyAlignment="1">
      <alignment vertical="top"/>
    </xf>
    <xf numFmtId="0" fontId="9" fillId="0" borderId="0" xfId="0" applyFont="1" applyFill="1" applyAlignment="1">
      <alignment vertical="top"/>
    </xf>
    <xf numFmtId="0" fontId="9" fillId="0" borderId="0" xfId="0" applyFont="1" applyFill="1" applyAlignment="1">
      <alignment vertical="top" wrapText="1"/>
    </xf>
    <xf numFmtId="0" fontId="9" fillId="0" borderId="0" xfId="0" applyFont="1" applyFill="1"/>
    <xf numFmtId="0" fontId="10" fillId="0" borderId="0" xfId="0" applyFont="1" applyFill="1" applyAlignment="1">
      <alignment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vertical="top" wrapText="1"/>
    </xf>
    <xf numFmtId="0" fontId="12" fillId="0" borderId="0" xfId="0" applyFont="1" applyFill="1" applyAlignment="1">
      <alignment vertical="top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>
      <alignment vertical="top" wrapText="1"/>
    </xf>
    <xf numFmtId="0" fontId="0" fillId="5" borderId="0" xfId="0" applyFont="1" applyFill="1" applyAlignment="1">
      <alignment vertical="top"/>
    </xf>
    <xf numFmtId="0" fontId="9" fillId="7" borderId="0" xfId="0" applyFont="1" applyFill="1"/>
    <xf numFmtId="0" fontId="3" fillId="7" borderId="0" xfId="0" applyFont="1" applyFill="1"/>
    <xf numFmtId="0" fontId="0" fillId="0" borderId="0" xfId="0" applyNumberFormat="1" applyFill="1"/>
    <xf numFmtId="0" fontId="0" fillId="2" borderId="0" xfId="0" applyFill="1"/>
    <xf numFmtId="0" fontId="3" fillId="0" borderId="0" xfId="0" applyFont="1" applyFill="1"/>
    <xf numFmtId="0" fontId="0" fillId="0" borderId="0" xfId="0" applyFont="1" applyAlignment="1">
      <alignment horizontal="right" vertical="top"/>
    </xf>
    <xf numFmtId="9" fontId="0" fillId="0" borderId="0" xfId="3" applyFont="1" applyFill="1"/>
    <xf numFmtId="3" fontId="0" fillId="0" borderId="0" xfId="0" applyNumberFormat="1"/>
    <xf numFmtId="165" fontId="0" fillId="0" borderId="0" xfId="4" applyNumberFormat="1" applyFont="1" applyAlignment="1">
      <alignment horizontal="left" vertical="top"/>
    </xf>
    <xf numFmtId="3" fontId="9" fillId="2" borderId="0" xfId="0" applyNumberFormat="1" applyFont="1" applyFill="1"/>
    <xf numFmtId="0" fontId="0" fillId="2" borderId="0" xfId="0" applyFont="1" applyFill="1" applyAlignment="1" applyProtection="1">
      <alignment horizontal="left" vertical="top"/>
      <protection locked="0"/>
    </xf>
    <xf numFmtId="0" fontId="14" fillId="0" borderId="0" xfId="0" applyFont="1" applyFill="1" applyAlignment="1">
      <alignment vertical="top"/>
    </xf>
    <xf numFmtId="0" fontId="9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vertical="top"/>
      <protection locked="0"/>
    </xf>
    <xf numFmtId="0" fontId="5" fillId="2" borderId="0" xfId="0" applyFont="1" applyFill="1" applyAlignment="1">
      <alignment vertical="top"/>
    </xf>
    <xf numFmtId="0" fontId="14" fillId="2" borderId="0" xfId="0" applyFont="1" applyFill="1" applyAlignment="1"/>
    <xf numFmtId="0" fontId="0" fillId="2" borderId="0" xfId="0" applyFill="1" applyAlignment="1" applyProtection="1">
      <alignment vertical="top"/>
      <protection locked="0"/>
    </xf>
    <xf numFmtId="165" fontId="3" fillId="2" borderId="0" xfId="4" applyNumberFormat="1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0" fontId="14" fillId="2" borderId="0" xfId="0" applyFont="1" applyFill="1" applyAlignment="1" applyProtection="1">
      <alignment vertical="top"/>
    </xf>
    <xf numFmtId="0" fontId="0" fillId="0" borderId="0" xfId="0" applyFont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right" vertical="center"/>
    </xf>
    <xf numFmtId="0" fontId="17" fillId="0" borderId="0" xfId="0" applyFont="1" applyAlignment="1" applyProtection="1">
      <alignment horizontal="left" vertical="top"/>
      <protection locked="0"/>
    </xf>
    <xf numFmtId="0" fontId="0" fillId="0" borderId="0" xfId="0" applyFont="1" applyFill="1" applyAlignment="1">
      <alignment horizontal="right" vertical="top"/>
    </xf>
    <xf numFmtId="0" fontId="1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Fill="1" applyAlignment="1">
      <alignment vertical="top" wrapText="1"/>
    </xf>
    <xf numFmtId="9" fontId="0" fillId="0" borderId="0" xfId="0" applyNumberFormat="1" applyFill="1" applyAlignment="1">
      <alignment vertical="top"/>
    </xf>
    <xf numFmtId="0" fontId="13" fillId="2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0" fillId="4" borderId="0" xfId="0" applyFont="1" applyFill="1" applyAlignment="1">
      <alignment vertical="top"/>
    </xf>
    <xf numFmtId="0" fontId="0" fillId="3" borderId="0" xfId="0" applyFont="1" applyFill="1" applyAlignment="1">
      <alignment vertical="top"/>
    </xf>
    <xf numFmtId="0" fontId="0" fillId="6" borderId="0" xfId="0" applyFont="1" applyFill="1" applyAlignment="1">
      <alignment vertical="top"/>
    </xf>
    <xf numFmtId="16" fontId="0" fillId="0" borderId="0" xfId="0" applyNumberFormat="1" applyFill="1" applyAlignment="1">
      <alignment vertical="top"/>
    </xf>
    <xf numFmtId="0" fontId="11" fillId="0" borderId="0" xfId="0" applyFont="1"/>
    <xf numFmtId="0" fontId="11" fillId="0" borderId="0" xfId="0" applyFont="1" applyAlignment="1">
      <alignment horizontal="left" vertical="top"/>
    </xf>
    <xf numFmtId="14" fontId="0" fillId="0" borderId="0" xfId="0" applyNumberFormat="1" applyFill="1" applyAlignment="1">
      <alignment vertical="top"/>
    </xf>
    <xf numFmtId="49" fontId="0" fillId="0" borderId="0" xfId="0" applyNumberFormat="1" applyAlignment="1" applyProtection="1">
      <alignment vertical="top"/>
      <protection locked="0"/>
    </xf>
    <xf numFmtId="49" fontId="0" fillId="0" borderId="0" xfId="0" applyNumberFormat="1" applyAlignment="1" applyProtection="1">
      <alignment horizontal="left" vertical="top" wrapText="1"/>
      <protection locked="0"/>
    </xf>
    <xf numFmtId="49" fontId="5" fillId="0" borderId="0" xfId="0" applyNumberFormat="1" applyFont="1" applyAlignment="1" applyProtection="1">
      <alignment vertical="top" wrapText="1"/>
      <protection locked="0"/>
    </xf>
    <xf numFmtId="49" fontId="5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vertical="top" wrapText="1"/>
      <protection locked="0"/>
    </xf>
    <xf numFmtId="9" fontId="0" fillId="0" borderId="0" xfId="0" applyNumberFormat="1" applyAlignment="1" applyProtection="1">
      <alignment horizontal="center" vertical="top" wrapText="1"/>
    </xf>
    <xf numFmtId="0" fontId="18" fillId="0" borderId="0" xfId="0" applyFont="1" applyAlignment="1">
      <alignment horizontal="left" vertical="top"/>
    </xf>
    <xf numFmtId="0" fontId="17" fillId="0" borderId="0" xfId="0" applyFont="1" applyFill="1" applyAlignment="1">
      <alignment vertical="top" wrapText="1"/>
    </xf>
    <xf numFmtId="0" fontId="1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</cellXfs>
  <cellStyles count="5">
    <cellStyle name="Comma" xfId="4" builtinId="3"/>
    <cellStyle name="Heading 1" xfId="1" builtinId="16" customBuiltin="1"/>
    <cellStyle name="Heading 2" xfId="2" builtinId="17" customBuiltin="1"/>
    <cellStyle name="Normal" xfId="0" builtinId="0"/>
    <cellStyle name="Percent" xfId="3" builtinId="5"/>
  </cellStyles>
  <dxfs count="761"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color theme="0"/>
      </font>
    </dxf>
    <dxf>
      <fill>
        <patternFill patternType="solid">
          <bgColor theme="2" tint="-0.499984740745262"/>
        </patternFill>
      </fill>
    </dxf>
    <dxf>
      <numFmt numFmtId="3" formatCode="#,##0"/>
    </dxf>
    <dxf>
      <numFmt numFmtId="3" formatCode="#,##0"/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ont>
        <color theme="0"/>
      </font>
    </dxf>
    <dxf>
      <font>
        <b/>
        <color theme="0"/>
      </font>
      <fill>
        <patternFill patternType="solid">
          <fgColor indexed="64"/>
          <bgColor rgb="FF009BA4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9BA4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9BA4"/>
        </patternFill>
      </fill>
    </dxf>
    <dxf>
      <font>
        <b/>
        <color theme="0"/>
      </font>
      <fill>
        <patternFill patternType="solid">
          <fgColor indexed="64"/>
          <bgColor rgb="FF009BA4"/>
        </patternFill>
      </fill>
    </dxf>
    <dxf>
      <fill>
        <patternFill>
          <bgColor rgb="FF009BA4"/>
        </patternFill>
      </fill>
    </dxf>
    <dxf>
      <font>
        <color theme="0"/>
      </font>
    </dxf>
    <dxf>
      <fill>
        <patternFill patternType="solid">
          <bgColor theme="2" tint="-9.9978637043366805E-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alignment wrapText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color theme="2" tint="-0.499984740745262"/>
      </font>
    </dxf>
    <dxf>
      <fill>
        <patternFill patternType="solid"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ill>
        <patternFill patternType="solid">
          <bgColor theme="2" tint="-0.74999237037263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theme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0"/>
      </font>
    </dxf>
    <dxf>
      <fill>
        <patternFill patternType="solid">
          <bgColor theme="2" tint="-0.499984740745262"/>
        </patternFill>
      </fill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 patternType="solid">
          <bgColor theme="2" tint="-0.499984740745262"/>
        </patternFill>
      </fill>
    </dxf>
    <dxf>
      <fill>
        <patternFill>
          <bgColor theme="2" tint="-0.749961851863155"/>
        </patternFill>
      </fill>
      <border>
        <top style="thin">
          <color rgb="FFFFFFFF"/>
        </top>
        <bottom style="thin">
          <color rgb="FFFFFFFF"/>
        </bottom>
        <vertical/>
        <horizontal/>
      </border>
    </dxf>
    <dxf>
      <fill>
        <patternFill>
          <bgColor theme="2" tint="-0.24994659260841701"/>
        </patternFill>
      </fill>
      <border>
        <top style="thin">
          <color rgb="FFFFFFFF"/>
        </top>
        <bottom style="thin">
          <color rgb="FFFFFFFF"/>
        </bottom>
      </border>
    </dxf>
    <dxf>
      <fill>
        <patternFill>
          <bgColor theme="0" tint="-0.14996795556505021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 patternType="lightUp">
          <bgColor theme="2" tint="-9.9948118533890809E-2"/>
        </patternFill>
      </fill>
    </dxf>
    <dxf>
      <fill>
        <patternFill>
          <bgColor theme="2" tint="-0.499984740745262"/>
        </patternFill>
      </fill>
    </dxf>
    <dxf>
      <font>
        <b/>
        <i val="0"/>
        <color theme="0"/>
      </font>
      <fill>
        <patternFill>
          <bgColor theme="2" tint="-0.499984740745262"/>
        </patternFill>
      </fill>
      <border>
        <left style="thin">
          <color theme="0"/>
        </left>
        <right style="thin">
          <color theme="0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2" tint="-0.49998474074526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2" tint="-0.49998474074526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* #,##0_-;\-* #,##0_-;_-* &quot;-&quot;??_-;_-@_-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5" formatCode="_-* #,##0_-;\-* #,##0_-;_-* &quot;-&quot;??_-;_-@_-"/>
      <fill>
        <patternFill patternType="solid">
          <fgColor indexed="64"/>
          <bgColor theme="2" tint="-0.499984740745262"/>
        </patternFill>
      </fill>
      <alignment horizontal="left" vertical="top" textRotation="0" wrapText="0" indent="0" justifyLastLine="0" shrinkToFit="0" readingOrder="0"/>
    </dxf>
    <dxf>
      <numFmt numFmtId="165" formatCode="_-* #,##0_-;\-* #,##0_-;_-* &quot;-&quot;??_-;_-@_-"/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499984740745262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0" hidden="0"/>
    </dxf>
    <dxf>
      <font>
        <color rgb="FF444444"/>
      </font>
      <numFmt numFmtId="30" formatCode="@"/>
      <alignment horizontal="general" vertical="top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0" hidden="0"/>
    </dxf>
    <dxf>
      <alignment horizontal="left" vertical="center" textRotation="0" wrapText="1" indent="0" justifyLastLine="0" shrinkToFit="0" readingOrder="0"/>
      <protection locked="0" hidden="0"/>
    </dxf>
    <dxf>
      <font>
        <color theme="1"/>
      </font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color theme="1"/>
      </font>
      <fill>
        <patternFill>
          <bgColor theme="2"/>
        </patternFill>
      </fill>
      <border diagonalUp="0" diagonalDown="0">
        <left style="thin">
          <color theme="2" tint="-0.499984740745262"/>
        </left>
        <right style="thin">
          <color theme="2" tint="-0.499984740745262"/>
        </right>
        <top style="thin">
          <color theme="2" tint="-0.499984740745262"/>
        </top>
        <bottom style="thin">
          <color theme="2" tint="-0.499984740745262"/>
        </bottom>
        <vertical style="thin">
          <color theme="6" tint="0.39994506668294322"/>
        </vertical>
        <horizontal/>
      </border>
    </dxf>
    <dxf>
      <font>
        <b/>
        <i val="0"/>
        <color theme="0"/>
      </font>
      <fill>
        <patternFill>
          <bgColor theme="2" tint="-0.499984740745262"/>
        </patternFill>
      </fill>
    </dxf>
    <dxf>
      <font>
        <color theme="1"/>
      </font>
    </dxf>
    <dxf>
      <border diagonalUp="0" diagonalDown="0"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  <dxf>
      <fill>
        <patternFill>
          <bgColor rgb="FFD0EAEB"/>
        </patternFill>
      </fill>
      <border diagonalUp="0" diagonalDown="0"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  <dxf>
      <font>
        <b/>
        <i val="0"/>
        <color rgb="FFFFFFFF"/>
      </font>
      <fill>
        <patternFill>
          <bgColor rgb="FF009BA4"/>
        </patternFill>
      </fill>
    </dxf>
    <dxf>
      <font>
        <color rgb="FF444444"/>
      </font>
    </dxf>
    <dxf>
      <font>
        <b/>
        <i val="0"/>
        <color theme="0"/>
      </font>
      <fill>
        <patternFill>
          <bgColor rgb="FF009BA4"/>
        </patternFill>
      </fill>
      <border>
        <bottom style="thin">
          <color theme="4"/>
        </bottom>
        <vertical/>
        <horizontal/>
      </border>
    </dxf>
    <dxf>
      <font>
        <b val="0"/>
        <i val="0"/>
        <color rgb="FF444444"/>
      </font>
      <border>
        <left style="thin">
          <color rgb="FF009BA4"/>
        </left>
        <right style="thin">
          <color rgb="FF009BA4"/>
        </right>
        <top style="thin">
          <color rgb="FF009BA4"/>
        </top>
        <bottom style="thin">
          <color rgb="FF009BA4"/>
        </bottom>
        <vertical/>
        <horizontal/>
      </border>
    </dxf>
  </dxfs>
  <tableStyles count="3" defaultTableStyle="CertiKit table style" defaultPivotStyle="PivotStyleLight16">
    <tableStyle name="CertiKit Slicer" pivot="0" table="0" count="10" xr9:uid="{FCC2AF85-7669-42AB-BE0F-8A70404C0D05}">
      <tableStyleElement type="wholeTable" dxfId="760"/>
      <tableStyleElement type="headerRow" dxfId="759"/>
    </tableStyle>
    <tableStyle name="CertiKit table style" pivot="0" count="4" xr9:uid="{C9D01002-7EEB-4392-906F-2D3907ED044F}">
      <tableStyleElement type="wholeTable" dxfId="758"/>
      <tableStyleElement type="headerRow" dxfId="757"/>
      <tableStyleElement type="firstRowStripe" dxfId="756"/>
      <tableStyleElement type="secondRowStripe" dxfId="755"/>
    </tableStyle>
    <tableStyle name="CertiKit table style 2" pivot="0" count="4" xr9:uid="{A39D1672-7E12-469F-9AC6-37D3C94C8EF3}">
      <tableStyleElement type="wholeTable" dxfId="754"/>
      <tableStyleElement type="headerRow" dxfId="753"/>
      <tableStyleElement type="firstRowStripe" dxfId="752"/>
      <tableStyleElement type="secondRowStripe" dxfId="751"/>
    </tableStyle>
  </tableStyles>
  <colors>
    <mruColors>
      <color rgb="FFD0EAEB"/>
      <color rgb="FF009BA4"/>
      <color rgb="FFFFFFFF"/>
      <color rgb="FF444444"/>
      <color rgb="FFDBDC2C"/>
      <color rgb="FFCCC900"/>
    </mruColors>
  </colors>
  <extLst>
    <ext xmlns:x14="http://schemas.microsoft.com/office/spreadsheetml/2009/9/main" uri="{46F421CA-312F-682f-3DD2-61675219B42D}">
      <x14:dxfs count="8"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theme="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444444"/>
          </font>
          <fill>
            <gradientFill degree="90">
              <stop position="0">
                <color rgb="FFCCC900"/>
              </stop>
              <stop position="1">
                <color rgb="FFFFFFFF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D0EAEB"/>
              <bgColor rgb="FFD0EAEB"/>
            </patternFill>
          </fill>
          <border>
            <left style="thin">
              <color rgb="FF009BA4"/>
            </left>
            <right style="thin">
              <color rgb="FF009BA4"/>
            </right>
            <top style="thin">
              <color rgb="FF009BA4"/>
            </top>
            <bottom style="thin">
              <color rgb="FF009BA4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444444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CertiKit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 ISO22301 Project Plan.xlsx]Tasks &amp; Progress Pivots!NumberOfTasks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Number of project tasks</a:t>
            </a:r>
          </a:p>
        </c:rich>
      </c:tx>
      <c:layout>
        <c:manualLayout>
          <c:xMode val="edge"/>
          <c:yMode val="edge"/>
          <c:x val="0.14698333333333333"/>
          <c:y val="5.5875000000000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300220750552692E-3"/>
              <c:y val="-0.2616178528976914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300220750552692E-3"/>
              <c:y val="-0.26161785289769146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9504629629630167E-3"/>
              <c:y val="-0.22634000000000001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'Tasks &amp; Progress Pivots'!$B$6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F2-4F61-8937-B1C28AE13C0E}"/>
              </c:ext>
            </c:extLst>
          </c:dPt>
          <c:cat>
            <c:strRef>
              <c:f>'Tasks &amp; Progress Pivots'!$B$7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'Tasks &amp; Progress Pivots'!$B$7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24-4A75-924D-7C20BDEE5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 ISO22301 Project Plan.xlsx]Tasks &amp; Progress Pivots!PivotTable7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Project work days</a:t>
            </a:r>
          </a:p>
        </c:rich>
      </c:tx>
      <c:layout>
        <c:manualLayout>
          <c:xMode val="edge"/>
          <c:yMode val="edge"/>
          <c:x val="0.32805999605289127"/>
          <c:y val="4.31172839506172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  <a:sp3d/>
        </c:spPr>
      </c:pivotFmt>
      <c:pivotFmt>
        <c:idx val="8"/>
        <c:spPr>
          <a:solidFill>
            <a:schemeClr val="bg2">
              <a:lumMod val="5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'Tasks &amp; Progress Pivots'!$J$6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698-42E5-B18A-0494BACE1791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698-42E5-B18A-0494BACE17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'Tasks &amp; Progress Pivots'!$I$7:$I$8</c:f>
              <c:strCache>
                <c:ptCount val="2"/>
                <c:pt idx="0">
                  <c:v>Completed Work Days</c:v>
                </c:pt>
                <c:pt idx="1">
                  <c:v>Total Work Days</c:v>
                </c:pt>
              </c:strCache>
            </c:strRef>
          </c:cat>
          <c:val>
            <c:numRef>
              <c:f>'Tasks &amp; Progress Pivots'!$J$7:$J$8</c:f>
              <c:numCache>
                <c:formatCode>General</c:formatCode>
                <c:ptCount val="2"/>
                <c:pt idx="0">
                  <c:v>37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8-42E5-B18A-0494BACE17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50693752"/>
        <c:axId val="950688832"/>
        <c:axId val="0"/>
      </c:bar3DChart>
      <c:catAx>
        <c:axId val="95069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688832"/>
        <c:crosses val="autoZero"/>
        <c:auto val="1"/>
        <c:lblAlgn val="ctr"/>
        <c:lblOffset val="100"/>
        <c:noMultiLvlLbl val="0"/>
      </c:catAx>
      <c:valAx>
        <c:axId val="950688832"/>
        <c:scaling>
          <c:orientation val="minMax"/>
          <c:max val="180"/>
          <c:min val="0"/>
        </c:scaling>
        <c:delete val="1"/>
        <c:axPos val="b"/>
        <c:numFmt formatCode="General" sourceLinked="1"/>
        <c:majorTickMark val="none"/>
        <c:minorTickMark val="none"/>
        <c:tickLblPos val="nextTo"/>
        <c:crossAx val="95069375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Project days</a:t>
            </a:r>
          </a:p>
        </c:rich>
      </c:tx>
      <c:layout>
        <c:manualLayout>
          <c:xMode val="edge"/>
          <c:yMode val="edge"/>
          <c:x val="0.38078868166567986"/>
          <c:y val="3.1358024691358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'Tasks &amp; Progress Pivots'!$M$6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dPt>
            <c:idx val="0"/>
            <c:bubble3D val="0"/>
            <c:spPr>
              <a:solidFill>
                <a:schemeClr val="bg2">
                  <a:lumMod val="25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3F-4EE2-97FE-1CAEF36832B8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3F-4EE2-97FE-1CAEF36832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'Tasks &amp; Progress Pivots'!$L$7:$L$8</c:f>
              <c:strCache>
                <c:ptCount val="2"/>
                <c:pt idx="0">
                  <c:v>Days Completed </c:v>
                </c:pt>
                <c:pt idx="1">
                  <c:v>Days Remaining</c:v>
                </c:pt>
              </c:strCache>
            </c:strRef>
          </c:cat>
          <c:val>
            <c:numRef>
              <c:f>'Tasks &amp; Progress Pivots'!$M$7:$M$8</c:f>
              <c:numCache>
                <c:formatCode>0%</c:formatCode>
                <c:ptCount val="2"/>
                <c:pt idx="0">
                  <c:v>0.33035714285714285</c:v>
                </c:pt>
                <c:pt idx="1">
                  <c:v>0.66964285714285721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3F-4EE2-97FE-1CAEF36832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742130451943949"/>
          <c:y val="0.15714290123456789"/>
          <c:w val="0.52515739096112102"/>
          <c:h val="6.614629629629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 ISO22301 Project Plan.xlsx]Tasks &amp; Progress Pivots!TaskStatus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Task status</a:t>
            </a:r>
          </a:p>
        </c:rich>
      </c:tx>
      <c:layout>
        <c:manualLayout>
          <c:xMode val="edge"/>
          <c:yMode val="edge"/>
          <c:x val="0.38726761397276488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bg2"/>
          </a:solidFill>
          <a:ln>
            <a:noFill/>
          </a:ln>
          <a:effectLst/>
        </c:spPr>
      </c:pivotFmt>
      <c:pivotFmt>
        <c:idx val="5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2"/>
          </a:solidFill>
          <a:ln>
            <a:noFill/>
          </a:ln>
          <a:effectLst/>
        </c:spPr>
      </c:pivotFmt>
      <c:pivotFmt>
        <c:idx val="10"/>
        <c:spPr>
          <a:solidFill>
            <a:schemeClr val="tx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2">
              <a:lumMod val="5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bg2">
              <a:lumMod val="25000"/>
            </a:schemeClr>
          </a:solidFill>
          <a:ln>
            <a:noFill/>
          </a:ln>
          <a:effectLst/>
        </c:spPr>
      </c:pivotFmt>
      <c:pivotFmt>
        <c:idx val="15"/>
        <c:spPr>
          <a:solidFill>
            <a:schemeClr val="bg2"/>
          </a:solidFill>
          <a:ln>
            <a:noFill/>
          </a:ln>
          <a:effectLst/>
        </c:spPr>
      </c:pivotFmt>
      <c:pivotFmt>
        <c:idx val="16"/>
        <c:spPr>
          <a:solidFill>
            <a:schemeClr val="tx1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'Tasks &amp; Progress Pivots'!$F$13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086-4C4D-B71A-2688CE41FBD0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086-4C4D-B71A-2688CE41FBD0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086-4C4D-B71A-2688CE41FBD0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086-4C4D-B71A-2688CE41FBD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086-4C4D-B71A-2688CE41FB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'Tasks &amp; Progress Pivots'!$E$14:$E$18</c:f>
              <c:strCache>
                <c:ptCount val="5"/>
                <c:pt idx="0">
                  <c:v>Total Tasks</c:v>
                </c:pt>
                <c:pt idx="1">
                  <c:v>Completed</c:v>
                </c:pt>
                <c:pt idx="2">
                  <c:v>Remaining</c:v>
                </c:pt>
                <c:pt idx="3">
                  <c:v>Not Started</c:v>
                </c:pt>
                <c:pt idx="4">
                  <c:v>In Progress</c:v>
                </c:pt>
              </c:strCache>
            </c:strRef>
          </c:cat>
          <c:val>
            <c:numRef>
              <c:f>'Tasks &amp; Progress Pivots'!$F$14:$F$18</c:f>
              <c:numCache>
                <c:formatCode>General</c:formatCode>
                <c:ptCount val="5"/>
                <c:pt idx="0">
                  <c:v>24</c:v>
                </c:pt>
                <c:pt idx="1">
                  <c:v>4</c:v>
                </c:pt>
                <c:pt idx="2">
                  <c:v>20</c:v>
                </c:pt>
                <c:pt idx="3">
                  <c:v>6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086-4C4D-B71A-2688CE41F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943796048"/>
        <c:axId val="943800312"/>
      </c:barChart>
      <c:catAx>
        <c:axId val="94379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0312"/>
        <c:crosses val="autoZero"/>
        <c:auto val="1"/>
        <c:lblAlgn val="ctr"/>
        <c:lblOffset val="100"/>
        <c:noMultiLvlLbl val="0"/>
      </c:catAx>
      <c:valAx>
        <c:axId val="943800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960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 ISO22301 Project Plan.xlsx]Budget Pivots!PivotTable12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Budget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4444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4444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tx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444444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tx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bg2">
              <a:lumMod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bg2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tx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'Budget Pivots'!$M$6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63-4055-96EB-FFCB1319E85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63-4055-96EB-FFCB1319E856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A63-4055-96EB-FFCB1319E8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'Budget Pivots'!$L$7:$L$9</c:f>
              <c:strCache>
                <c:ptCount val="3"/>
                <c:pt idx="0">
                  <c:v>Spent to date </c:v>
                </c:pt>
                <c:pt idx="1">
                  <c:v>Budget remaining </c:v>
                </c:pt>
                <c:pt idx="2">
                  <c:v>Budget </c:v>
                </c:pt>
              </c:strCache>
            </c:strRef>
          </c:cat>
          <c:val>
            <c:numRef>
              <c:f>'Budget Pivots'!$M$7:$M$9</c:f>
              <c:numCache>
                <c:formatCode>#,##0</c:formatCode>
                <c:ptCount val="3"/>
                <c:pt idx="0">
                  <c:v>8650</c:v>
                </c:pt>
                <c:pt idx="1">
                  <c:v>10550</c:v>
                </c:pt>
                <c:pt idx="2">
                  <c:v>19200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63-4055-96EB-FFCB1319E856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943802608"/>
        <c:axId val="943797688"/>
      </c:barChart>
      <c:valAx>
        <c:axId val="943797688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802608"/>
        <c:crosses val="autoZero"/>
        <c:crossBetween val="between"/>
      </c:valAx>
      <c:catAx>
        <c:axId val="9438026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976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[EXAMPLE ISO22301 Project Plan.xlsx]Budget Pivots!PivotTable11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Budget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2">
              <a:lumMod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Pivots'!$C$6</c:f>
              <c:strCache>
                <c:ptCount val="1"/>
                <c:pt idx="0">
                  <c:v>Budget 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'Budget Pivots'!$B$7:$B$18</c:f>
              <c:strCache>
                <c:ptCount val="11"/>
                <c:pt idx="0">
                  <c:v>Certification auditing</c:v>
                </c:pt>
                <c:pt idx="1">
                  <c:v>Communication</c:v>
                </c:pt>
                <c:pt idx="2">
                  <c:v>External Consultancy</c:v>
                </c:pt>
                <c:pt idx="3">
                  <c:v>Hardware</c:v>
                </c:pt>
                <c:pt idx="4">
                  <c:v>Internal auditing</c:v>
                </c:pt>
                <c:pt idx="5">
                  <c:v>Internal resources</c:v>
                </c:pt>
                <c:pt idx="6">
                  <c:v>Offices and furniture</c:v>
                </c:pt>
                <c:pt idx="7">
                  <c:v>Professional memberships</c:v>
                </c:pt>
                <c:pt idx="8">
                  <c:v>Software tools</c:v>
                </c:pt>
                <c:pt idx="9">
                  <c:v>Training</c:v>
                </c:pt>
                <c:pt idx="10">
                  <c:v>Travel and subsistence</c:v>
                </c:pt>
              </c:strCache>
            </c:strRef>
          </c:cat>
          <c:val>
            <c:numRef>
              <c:f>'Budget Pivots'!$C$7:$C$18</c:f>
              <c:numCache>
                <c:formatCode>#,##0</c:formatCode>
                <c:ptCount val="11"/>
                <c:pt idx="0">
                  <c:v>500</c:v>
                </c:pt>
                <c:pt idx="1">
                  <c:v>1200</c:v>
                </c:pt>
                <c:pt idx="2">
                  <c:v>2000</c:v>
                </c:pt>
                <c:pt idx="3">
                  <c:v>3000</c:v>
                </c:pt>
                <c:pt idx="4">
                  <c:v>500</c:v>
                </c:pt>
                <c:pt idx="5">
                  <c:v>5000</c:v>
                </c:pt>
                <c:pt idx="6">
                  <c:v>1000</c:v>
                </c:pt>
                <c:pt idx="7">
                  <c:v>500</c:v>
                </c:pt>
                <c:pt idx="8">
                  <c:v>2500</c:v>
                </c:pt>
                <c:pt idx="9">
                  <c:v>1500</c:v>
                </c:pt>
                <c:pt idx="1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8-4732-88C5-F9A1C1B30505}"/>
            </c:ext>
          </c:extLst>
        </c:ser>
        <c:ser>
          <c:idx val="1"/>
          <c:order val="1"/>
          <c:tx>
            <c:strRef>
              <c:f>'Budget Pivots'!$D$6</c:f>
              <c:strCache>
                <c:ptCount val="1"/>
                <c:pt idx="0">
                  <c:v>Spent to date 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'Budget Pivots'!$B$7:$B$18</c:f>
              <c:strCache>
                <c:ptCount val="11"/>
                <c:pt idx="0">
                  <c:v>Certification auditing</c:v>
                </c:pt>
                <c:pt idx="1">
                  <c:v>Communication</c:v>
                </c:pt>
                <c:pt idx="2">
                  <c:v>External Consultancy</c:v>
                </c:pt>
                <c:pt idx="3">
                  <c:v>Hardware</c:v>
                </c:pt>
                <c:pt idx="4">
                  <c:v>Internal auditing</c:v>
                </c:pt>
                <c:pt idx="5">
                  <c:v>Internal resources</c:v>
                </c:pt>
                <c:pt idx="6">
                  <c:v>Offices and furniture</c:v>
                </c:pt>
                <c:pt idx="7">
                  <c:v>Professional memberships</c:v>
                </c:pt>
                <c:pt idx="8">
                  <c:v>Software tools</c:v>
                </c:pt>
                <c:pt idx="9">
                  <c:v>Training</c:v>
                </c:pt>
                <c:pt idx="10">
                  <c:v>Travel and subsistence</c:v>
                </c:pt>
              </c:strCache>
            </c:strRef>
          </c:cat>
          <c:val>
            <c:numRef>
              <c:f>'Budget Pivots'!$D$7:$D$18</c:f>
              <c:numCache>
                <c:formatCode>#,##0</c:formatCode>
                <c:ptCount val="11"/>
                <c:pt idx="0">
                  <c:v>0</c:v>
                </c:pt>
                <c:pt idx="1">
                  <c:v>600</c:v>
                </c:pt>
                <c:pt idx="2">
                  <c:v>1000</c:v>
                </c:pt>
                <c:pt idx="3">
                  <c:v>2000</c:v>
                </c:pt>
                <c:pt idx="4">
                  <c:v>250</c:v>
                </c:pt>
                <c:pt idx="5">
                  <c:v>1500</c:v>
                </c:pt>
                <c:pt idx="6">
                  <c:v>1000</c:v>
                </c:pt>
                <c:pt idx="7">
                  <c:v>0</c:v>
                </c:pt>
                <c:pt idx="8">
                  <c:v>1200</c:v>
                </c:pt>
                <c:pt idx="9">
                  <c:v>500</c:v>
                </c:pt>
                <c:pt idx="1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58-4732-88C5-F9A1C1B30505}"/>
            </c:ext>
          </c:extLst>
        </c:ser>
        <c:ser>
          <c:idx val="2"/>
          <c:order val="2"/>
          <c:tx>
            <c:strRef>
              <c:f>'Budget Pivots'!$E$6</c:f>
              <c:strCache>
                <c:ptCount val="1"/>
                <c:pt idx="0">
                  <c:v>Budget remaining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'Budget Pivots'!$B$7:$B$18</c:f>
              <c:strCache>
                <c:ptCount val="11"/>
                <c:pt idx="0">
                  <c:v>Certification auditing</c:v>
                </c:pt>
                <c:pt idx="1">
                  <c:v>Communication</c:v>
                </c:pt>
                <c:pt idx="2">
                  <c:v>External Consultancy</c:v>
                </c:pt>
                <c:pt idx="3">
                  <c:v>Hardware</c:v>
                </c:pt>
                <c:pt idx="4">
                  <c:v>Internal auditing</c:v>
                </c:pt>
                <c:pt idx="5">
                  <c:v>Internal resources</c:v>
                </c:pt>
                <c:pt idx="6">
                  <c:v>Offices and furniture</c:v>
                </c:pt>
                <c:pt idx="7">
                  <c:v>Professional memberships</c:v>
                </c:pt>
                <c:pt idx="8">
                  <c:v>Software tools</c:v>
                </c:pt>
                <c:pt idx="9">
                  <c:v>Training</c:v>
                </c:pt>
                <c:pt idx="10">
                  <c:v>Travel and subsistence</c:v>
                </c:pt>
              </c:strCache>
            </c:strRef>
          </c:cat>
          <c:val>
            <c:numRef>
              <c:f>'Budget Pivots'!$E$7:$E$18</c:f>
              <c:numCache>
                <c:formatCode>#,##0</c:formatCode>
                <c:ptCount val="11"/>
                <c:pt idx="0">
                  <c:v>500</c:v>
                </c:pt>
                <c:pt idx="1">
                  <c:v>600</c:v>
                </c:pt>
                <c:pt idx="2">
                  <c:v>1000</c:v>
                </c:pt>
                <c:pt idx="3">
                  <c:v>1000</c:v>
                </c:pt>
                <c:pt idx="4">
                  <c:v>250</c:v>
                </c:pt>
                <c:pt idx="5">
                  <c:v>3500</c:v>
                </c:pt>
                <c:pt idx="6">
                  <c:v>0</c:v>
                </c:pt>
                <c:pt idx="7">
                  <c:v>500</c:v>
                </c:pt>
                <c:pt idx="8">
                  <c:v>1300</c:v>
                </c:pt>
                <c:pt idx="9">
                  <c:v>1000</c:v>
                </c:pt>
                <c:pt idx="10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58-4732-88C5-F9A1C1B30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3573160"/>
        <c:axId val="943569224"/>
      </c:barChart>
      <c:catAx>
        <c:axId val="943573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69224"/>
        <c:crosses val="autoZero"/>
        <c:auto val="1"/>
        <c:lblAlgn val="ctr"/>
        <c:lblOffset val="100"/>
        <c:noMultiLvlLbl val="0"/>
      </c:catAx>
      <c:valAx>
        <c:axId val="94356922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73160"/>
        <c:crosses val="autoZero"/>
        <c:crossBetween val="between"/>
      </c:valAx>
      <c:dTable>
        <c:showHorzBorder val="1"/>
        <c:showVertBorder val="1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'Scroll Bar'!$B$7" horiz="1" max="540" page="7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3190875</xdr:colOff>
      <xdr:row>1</xdr:row>
      <xdr:rowOff>92075</xdr:rowOff>
    </xdr:from>
    <xdr:to>
      <xdr:col>3</xdr:col>
      <xdr:colOff>1200150</xdr:colOff>
      <xdr:row>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686175" y="282575"/>
          <a:ext cx="2343150" cy="908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800" b="1" i="0" u="none" strike="noStrike" kern="0" cap="none" spc="0" normalizeH="0" baseline="0" noProof="0">
              <a:ln>
                <a:noFill/>
              </a:ln>
              <a:solidFill>
                <a:srgbClr val="444444"/>
              </a:solidFill>
              <a:effectLst/>
              <a:uLnTx/>
              <a:uFillTx/>
              <a:latin typeface="+mn-lt"/>
              <a:ea typeface="+mn-ea"/>
              <a:cs typeface="+mn-cs"/>
            </a:rPr>
            <a:t>ISO22301 Project Plan</a:t>
          </a:r>
        </a:p>
        <a:p>
          <a:pPr marL="0" marR="0" lvl="0" indent="0" algn="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200" b="0" i="0" u="none" strike="noStrike" kern="0" cap="none" spc="0" normalizeH="0" baseline="0" noProof="0">
              <a:ln>
                <a:noFill/>
              </a:ln>
              <a:solidFill>
                <a:srgbClr val="444444"/>
              </a:solidFill>
              <a:effectLst/>
              <a:uLnTx/>
              <a:uFillTx/>
              <a:latin typeface="+mn-lt"/>
              <a:ea typeface="+mn-ea"/>
              <a:cs typeface="+mn-cs"/>
            </a:rPr>
            <a:t>BCMS-DOC-00-4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2222975</xdr:colOff>
      <xdr:row>5</xdr:row>
      <xdr:rowOff>91215</xdr:rowOff>
    </xdr:to>
    <xdr:pic>
      <xdr:nvPicPr>
        <xdr:cNvPr id="4" name="Picture 3" descr="Auto Replac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2527775" cy="9579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2527775</xdr:colOff>
      <xdr:row>6</xdr:row>
      <xdr:rowOff>5490</xdr:rowOff>
    </xdr:to>
    <xdr:pic>
      <xdr:nvPicPr>
        <xdr:cNvPr id="4" name="Picture 3" descr="Auto Replac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2527775" cy="9579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0</xdr:rowOff>
        </xdr:from>
        <xdr:to>
          <xdr:col>2</xdr:col>
          <xdr:colOff>3971925</xdr:colOff>
          <xdr:row>11</xdr:row>
          <xdr:rowOff>276225</xdr:rowOff>
        </xdr:to>
        <xdr:sp macro="" textlink="">
          <xdr:nvSpPr>
            <xdr:cNvPr id="2051" name="Scroll Bar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2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</xdr:row>
      <xdr:rowOff>0</xdr:rowOff>
    </xdr:from>
    <xdr:to>
      <xdr:col>2</xdr:col>
      <xdr:colOff>2146775</xdr:colOff>
      <xdr:row>6</xdr:row>
      <xdr:rowOff>5490</xdr:rowOff>
    </xdr:to>
    <xdr:pic>
      <xdr:nvPicPr>
        <xdr:cNvPr id="10" name="Picture 9" descr="Auto Replac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2527775" cy="9579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489425</xdr:colOff>
      <xdr:row>6</xdr:row>
      <xdr:rowOff>5490</xdr:rowOff>
    </xdr:to>
    <xdr:pic>
      <xdr:nvPicPr>
        <xdr:cNvPr id="3" name="Picture 2" descr="Auto Replac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2527775" cy="957990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15</xdr:row>
      <xdr:rowOff>66675</xdr:rowOff>
    </xdr:from>
    <xdr:to>
      <xdr:col>4</xdr:col>
      <xdr:colOff>121649</xdr:colOff>
      <xdr:row>24</xdr:row>
      <xdr:rowOff>152175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495299</xdr:colOff>
      <xdr:row>15</xdr:row>
      <xdr:rowOff>0</xdr:rowOff>
    </xdr:from>
    <xdr:to>
      <xdr:col>19</xdr:col>
      <xdr:colOff>581024</xdr:colOff>
      <xdr:row>33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219075</xdr:colOff>
      <xdr:row>15</xdr:row>
      <xdr:rowOff>0</xdr:rowOff>
    </xdr:from>
    <xdr:to>
      <xdr:col>25</xdr:col>
      <xdr:colOff>838200</xdr:colOff>
      <xdr:row>33</xdr:row>
      <xdr:rowOff>190499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129496</xdr:colOff>
      <xdr:row>15</xdr:row>
      <xdr:rowOff>0</xdr:rowOff>
    </xdr:from>
    <xdr:to>
      <xdr:col>11</xdr:col>
      <xdr:colOff>342900</xdr:colOff>
      <xdr:row>33</xdr:row>
      <xdr:rowOff>190499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9525</xdr:colOff>
      <xdr:row>36</xdr:row>
      <xdr:rowOff>180975</xdr:rowOff>
    </xdr:from>
    <xdr:to>
      <xdr:col>26</xdr:col>
      <xdr:colOff>9526</xdr:colOff>
      <xdr:row>55</xdr:row>
      <xdr:rowOff>180975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pSpPr/>
      </xdr:nvGrpSpPr>
      <xdr:grpSpPr>
        <a:xfrm>
          <a:off x="200025" y="7324725"/>
          <a:ext cx="15859126" cy="3619500"/>
          <a:chOff x="200025" y="7343775"/>
          <a:chExt cx="15859126" cy="3619500"/>
        </a:xfrm>
      </xdr:grpSpPr>
      <xdr:graphicFrame macro="">
        <xdr:nvGraphicFramePr>
          <xdr:cNvPr id="14" name="Chart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GraphicFramePr>
            <a:graphicFrameLocks/>
          </xdr:cNvGraphicFramePr>
        </xdr:nvGraphicFramePr>
        <xdr:xfrm>
          <a:off x="200025" y="7343775"/>
          <a:ext cx="4552950" cy="3619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GraphicFramePr>
            <a:graphicFrameLocks/>
          </xdr:cNvGraphicFramePr>
        </xdr:nvGraphicFramePr>
        <xdr:xfrm>
          <a:off x="4752975" y="7343775"/>
          <a:ext cx="11306176" cy="3619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2</xdr:col>
      <xdr:colOff>314325</xdr:colOff>
      <xdr:row>20</xdr:row>
      <xdr:rowOff>28575</xdr:rowOff>
    </xdr:from>
    <xdr:to>
      <xdr:col>2</xdr:col>
      <xdr:colOff>704850</xdr:colOff>
      <xdr:row>21</xdr:row>
      <xdr:rowOff>104775</xdr:rowOff>
    </xdr:to>
    <xdr:sp macro="" textlink="'Tasks &amp; Progress Pivots'!F11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085850" y="4276725"/>
          <a:ext cx="390525" cy="266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93B0045-D0B3-4867-B557-67042FE5306E}" type="TxLink">
            <a:rPr lang="en-US" sz="1100" b="1" i="0" u="none" strike="noStrike">
              <a:solidFill>
                <a:schemeClr val="tx1"/>
              </a:solidFill>
              <a:latin typeface="Calibri"/>
              <a:cs typeface="Calibri"/>
            </a:rPr>
            <a:pPr/>
            <a:t>24</a:t>
          </a:fld>
          <a:endParaRPr lang="en-GB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0.32192</cdr:x>
      <cdr:y>0.47676</cdr:y>
    </cdr:from>
    <cdr:to>
      <cdr:x>0.66438</cdr:x>
      <cdr:y>0.65232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405B08D-B064-469F-8B76-F9063A506D6D}"/>
            </a:ext>
          </a:extLst>
        </cdr:cNvPr>
        <cdr:cNvSpPr txBox="1"/>
      </cdr:nvSpPr>
      <cdr:spPr>
        <a:xfrm xmlns:a="http://schemas.openxmlformats.org/drawingml/2006/main">
          <a:off x="895350" y="1319214"/>
          <a:ext cx="952500" cy="4857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3984.591366782406" createdVersion="6" refreshedVersion="6" minRefreshableVersion="3" recordCount="5" xr:uid="{D6B604A7-2A5D-4942-8575-ABFE22CF2D29}">
  <cacheSource type="worksheet">
    <worksheetSource ref="E6:F11" sheet="Tasks &amp; Progress Pivots"/>
  </cacheSource>
  <cacheFields count="2">
    <cacheField name="Task Status" numFmtId="0">
      <sharedItems count="5">
        <s v="Not Started"/>
        <s v="In Progress"/>
        <s v="Completed"/>
        <s v="Remaining"/>
        <s v="Total Tasks"/>
      </sharedItems>
    </cacheField>
    <cacheField name="Task Progress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3984.591366898145" createdVersion="6" refreshedVersion="6" minRefreshableVersion="3" recordCount="11" xr:uid="{D4E706B9-B043-4B1C-955B-388BDE6AB46A}">
  <cacheSource type="worksheet">
    <worksheetSource name="ProjectBudget"/>
  </cacheSource>
  <cacheFields count="4">
    <cacheField name="ITEM" numFmtId="0">
      <sharedItems count="11">
        <s v="Internal resources"/>
        <s v="Training"/>
        <s v="Travel and subsistence"/>
        <s v="External Consultancy"/>
        <s v="Communication"/>
        <s v="Professional memberships"/>
        <s v="Software tools"/>
        <s v="Hardware"/>
        <s v="Offices and furniture"/>
        <s v="Internal auditing"/>
        <s v="Certification auditing"/>
      </sharedItems>
    </cacheField>
    <cacheField name="BUDGET" numFmtId="165">
      <sharedItems containsSemiMixedTypes="0" containsString="0" containsNumber="1" containsInteger="1" minValue="500" maxValue="5000"/>
    </cacheField>
    <cacheField name="SPENT TO DATE" numFmtId="165">
      <sharedItems containsSemiMixedTypes="0" containsString="0" containsNumber="1" containsInteger="1" minValue="0" maxValue="2000"/>
    </cacheField>
    <cacheField name="BUDGET REMAINING" numFmtId="165">
      <sharedItems containsSemiMixedTypes="0" containsString="0" containsNumber="1" containsInteger="1" minValue="0" maxValue="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Clifton" refreshedDate="43984.591367129629" createdVersion="6" refreshedVersion="6" minRefreshableVersion="3" recordCount="24" xr:uid="{0CC94153-EBF0-41F5-A7FC-AB1DD1780970}">
  <cacheSource type="worksheet">
    <worksheetSource name="ProjectPlanData"/>
  </cacheSource>
  <cacheFields count="9">
    <cacheField name=" REF" numFmtId="0">
      <sharedItems containsSemiMixedTypes="0" containsString="0" containsNumber="1" minValue="1" maxValue="200" count="23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96" u="1"/>
        <n v="135" u="1"/>
        <n v="4.0999999999999996" u="1"/>
        <n v="57" u="1"/>
        <n v="121" u="1"/>
        <n v="185" u="1"/>
        <n v="4.3" u="1"/>
        <n v="34" u="1"/>
        <n v="75" u="1"/>
        <n v="164" u="1"/>
        <n v="4.5" u="1"/>
        <n v="100" u="1"/>
        <n v="143" u="1"/>
        <n v="59" u="1"/>
        <n v="125" u="1"/>
        <n v="193" u="1"/>
        <n v="36" u="1"/>
        <n v="79" u="1"/>
        <n v="172" u="1"/>
        <n v="1.6" u="1"/>
        <n v="104" u="1"/>
        <n v="151" u="1"/>
        <n v="4.4000000000000004" u="1"/>
        <n v="61" u="1"/>
        <n v="130" u="1"/>
        <n v="38" u="1"/>
        <n v="83" u="1"/>
        <n v="180" u="1"/>
        <n v="5.2" u="1"/>
        <n v="108" u="1"/>
        <n v="159" u="1"/>
        <n v="63" u="1"/>
        <n v="138" u="1"/>
        <n v="40" u="1"/>
        <n v="87" u="1"/>
        <n v="188" u="1"/>
        <n v="112" u="1"/>
        <n v="167" u="1"/>
        <n v="5.0999999999999996" u="1"/>
        <n v="66" u="1"/>
        <n v="146" u="1"/>
        <n v="5.3" u="1"/>
        <n v="42" u="1"/>
        <n v="91" u="1"/>
        <n v="196" u="1"/>
        <n v="116" u="1"/>
        <n v="175" u="1"/>
        <n v="70" u="1"/>
        <n v="154" u="1"/>
        <n v="44" u="1"/>
        <n v="95" u="1"/>
        <n v="133" u="1"/>
        <n v="120" u="1"/>
        <n v="183" u="1"/>
        <n v="74" u="1"/>
        <n v="162" u="1"/>
        <n v="2.1" u="1"/>
        <n v="46" u="1"/>
        <n v="99" u="1"/>
        <n v="141" u="1"/>
        <n v="6.2" u="1"/>
        <n v="124" u="1"/>
        <n v="191" u="1"/>
        <n v="78" u="1"/>
        <n v="170" u="1"/>
        <n v="48" u="1"/>
        <n v="103" u="1"/>
        <n v="149" u="1"/>
        <n v="128" u="1"/>
        <n v="199" u="1"/>
        <n v="6.1" u="1"/>
        <n v="82" u="1"/>
        <n v="178" u="1"/>
        <n v="6.3" u="1"/>
        <n v="50" u="1"/>
        <n v="107" u="1"/>
        <n v="157" u="1"/>
        <n v="6.5" u="1"/>
        <n v="136" u="1"/>
        <n v="86" u="1"/>
        <n v="186" u="1"/>
        <n v="52" u="1"/>
        <n v="111" u="1"/>
        <n v="165" u="1"/>
        <n v="2.2000000000000002" u="1"/>
        <n v="2.2999999999999998" u="1"/>
        <n v="65" u="1"/>
        <n v="144" u="1"/>
        <n v="2.4" u="1"/>
        <n v="6.4" u="1"/>
        <n v="90" u="1"/>
        <n v="194" u="1"/>
        <n v="54" u="1"/>
        <n v="115" u="1"/>
        <n v="173" u="1"/>
        <n v="69" u="1"/>
        <n v="152" u="1"/>
        <n v="94" u="1"/>
        <n v="131" u="1"/>
        <n v="56" u="1"/>
        <n v="119" u="1"/>
        <n v="181" u="1"/>
        <n v="33" u="1"/>
        <n v="73" u="1"/>
        <n v="160" u="1"/>
        <n v="7.1" u="1"/>
        <n v="98" u="1"/>
        <n v="139" u="1"/>
        <n v="58" u="1"/>
        <n v="123" u="1"/>
        <n v="189" u="1"/>
        <n v="35" u="1"/>
        <n v="77" u="1"/>
        <n v="168" u="1"/>
        <n v="102" u="1"/>
        <n v="147" u="1"/>
        <n v="60" u="1"/>
        <n v="127" u="1"/>
        <n v="197" u="1"/>
        <n v="37" u="1"/>
        <n v="81" u="1"/>
        <n v="176" u="1"/>
        <n v="106" u="1"/>
        <n v="155" u="1"/>
        <n v="3.1" u="1"/>
        <n v="62" u="1"/>
        <n v="134" u="1"/>
        <n v="8.4" u="1"/>
        <n v="39" u="1"/>
        <n v="85" u="1"/>
        <n v="184" u="1"/>
        <n v="110" u="1"/>
        <n v="163" u="1"/>
        <n v="8.1" u="1"/>
        <n v="64" u="1"/>
        <n v="142" u="1"/>
        <n v="41" u="1"/>
        <n v="89" u="1"/>
        <n v="192" u="1"/>
        <n v="8.1999999999999993" u="1"/>
        <n v="25" u="1"/>
        <n v="114" u="1"/>
        <n v="171" u="1"/>
        <n v="68" u="1"/>
        <n v="150" u="1"/>
        <n v="43" u="1"/>
        <n v="93" u="1"/>
        <n v="129" u="1"/>
        <n v="200" u="1"/>
        <n v="8.3000000000000007" u="1"/>
        <n v="26" u="1"/>
        <n v="118" u="1"/>
        <n v="179" u="1"/>
        <n v="1.1000000000000001" u="1"/>
        <n v="72" u="1"/>
        <n v="158" u="1"/>
        <n v="1.2" u="1"/>
        <n v="3.2" u="1"/>
        <n v="3.3" u="1"/>
        <n v="45" u="1"/>
        <n v="97" u="1"/>
        <n v="137" u="1"/>
        <n v="1.3" u="1"/>
        <n v="3.4" u="1"/>
        <n v="27" u="1"/>
        <n v="122" u="1"/>
        <n v="187" u="1"/>
        <n v="3.5" u="1"/>
        <n v="3.6" u="1"/>
        <n v="76" u="1"/>
        <n v="166" u="1"/>
        <n v="47" u="1"/>
        <n v="101" u="1"/>
        <n v="145" u="1"/>
        <n v="28" u="1"/>
        <n v="126" u="1"/>
        <n v="195" u="1"/>
        <n v="80" u="1"/>
        <n v="174" u="1"/>
        <n v="49" u="1"/>
        <n v="105" u="1"/>
        <n v="153" u="1"/>
        <n v="29" u="1"/>
        <n v="132" u="1"/>
        <n v="84" u="1"/>
        <n v="182" u="1"/>
        <n v="51" u="1"/>
        <n v="109" u="1"/>
        <n v="161" u="1"/>
        <n v="30" u="1"/>
        <n v="140" u="1"/>
        <n v="1.4" u="1"/>
        <n v="88" u="1"/>
        <n v="190" u="1"/>
        <n v="3.7" u="1"/>
        <n v="3.8" u="1"/>
        <n v="53" u="1"/>
        <n v="113" u="1"/>
        <n v="169" u="1"/>
        <n v="1.5" u="1"/>
        <n v="3.9" u="1"/>
        <n v="31" u="1"/>
        <n v="67" u="1"/>
        <n v="148" u="1"/>
        <n v="4.2" u="1"/>
        <n v="92" u="1"/>
        <n v="198" u="1"/>
        <n v="55" u="1"/>
        <n v="117" u="1"/>
        <n v="177" u="1"/>
        <n v="32" u="1"/>
        <n v="71" u="1"/>
        <n v="156" u="1"/>
      </sharedItems>
    </cacheField>
    <cacheField name="TASK" numFmtId="49">
      <sharedItems containsBlank="1" count="90">
        <s v="Project initiation"/>
        <s v="Define proposed scope of BCMS"/>
        <s v="Perform gap assessment"/>
        <s v="Obtain Top Management commitment"/>
        <s v="Establish BCMS document control"/>
        <s v="Define business continuity policy"/>
        <s v="Document context of the organization"/>
        <s v="Agree business continuity objectives"/>
        <s v="Define roles, responsibilities and authorities"/>
        <s v="Competence and training needs assessment"/>
        <s v="Conduct business impact analysis"/>
        <s v="Perform risk assessment"/>
        <s v="Determine business continuity strategies and solutions"/>
        <s v="Establish business continuity plans"/>
        <s v="Plan business continuity exercising and testing"/>
        <s v="Document communications procedures"/>
        <s v="Define approach to monitoring, measurement, analysis and evaluation"/>
        <s v="Awareness training"/>
        <s v="Establish continual improvement process"/>
        <s v="Internal audit"/>
        <s v="Perform management review"/>
        <s v="Certification stage one"/>
        <s v="Certification stage two"/>
        <s v="Post Project Review"/>
        <s v="Establish operational controls" u="1"/>
        <s v="Document agreed scope of the OH&amp;S management system" u="1"/>
        <m u="1"/>
        <s v="Agree occupational health and safety objectives" u="1"/>
        <s v="Implement patching " u="1"/>
        <s v="Document hardware in use" u="1"/>
        <s v="kjhgkhgkj" u="1"/>
        <s v="Implement mobile device management" u="1"/>
        <s v="Define whitelisted applications" u="1"/>
        <s v="Select certification body" u="1"/>
        <s v="Project definition" u="1"/>
        <s v="Identify software in use" u="1"/>
        <s v="Deliver awareness training" u="1"/>
        <s v="Select external auditors (Registered Certification Body)" u="1"/>
        <s v="Install and/or configure firewall" u="1"/>
        <s v="Identify resources needed for OH&amp;S management system" u="1"/>
        <s v="Successful certification" u="1"/>
        <s v="Control 4 - Malware Protection" u="1"/>
        <s v="Create password policy" u="1"/>
        <s v="Identify system owners" u="1"/>
        <s v="Apply for certification" u="1"/>
        <s v="Check/Implement offline backups" u="1"/>
        <s v="Create plan to achieve objectives" u="1"/>
        <s v="Obtain management commitment" u="1"/>
        <s v="Define standard configurations" u="1"/>
        <s v="Address issues raised from stage one" u="1"/>
        <s v="Document and review user accounts" u="1"/>
        <s v="Define anti-malware approach" u="1"/>
        <s v="Control 1 - Firewalls" u="1"/>
        <s v="Control 3 - User Access Control" u="1"/>
        <s v="External vulnerability scan" u="1"/>
        <s v="Determine business continuity strategy" u="1"/>
        <s v="Create action plan to address identified nonconformities" u="1"/>
        <s v="Document internal and external communications procedures" u="1"/>
        <s v="Configure anti-malware software" u="1"/>
        <s v="Implement Virtual Private Networks (VPNs)" u="1"/>
        <s v="Certification completed" u="1"/>
        <s v="Define and communicate the health and safety policy" u="1"/>
        <s v="Define proposed scope of OH&amp;S management system" u="1"/>
        <s v="Define and document OH&amp;S management system processes" u="1"/>
        <s v="Define process for firewall rule changes and review" u="1"/>
        <s v="Identify and control admin accounts" u="1"/>
        <s v="Configure device restrictions" u="1"/>
        <s v="Establish document control" u="1"/>
        <s v="Configure event log management" u="1"/>
        <s v="Identify interested parties and their requirements" u="1"/>
        <s v="Identify and address unsupported software" u="1"/>
        <s v="Create access control process" u="1"/>
        <s v="Certification" u="1"/>
        <s v="Change admin password and remove external access" u="1"/>
        <s v="Define and document firewall rules" u="1"/>
        <s v="Address issues identified by certification body" u="1"/>
        <s v="Identify internal auditors and plan audit schedule and procedures" u="1"/>
        <s v="First internal audit" u="1"/>
        <s v="Control 5 - Patch Management" u="1"/>
        <s v="Perform hazard, risk and opportunity assessment" u="1"/>
        <s v="Obtain top management commitment and engage with workers" u="1"/>
        <s v="Control 2 - Secure Configuration" u="1"/>
        <s v="Define proposed scope of certification" u="1"/>
        <s v="Check/configure folder and file permissions" u="1"/>
        <s v="Establish OH&amp;S management system document control" u="1"/>
        <s v="Change default passwords" u="1"/>
        <s v="Internal vulnerability scan" u="1"/>
        <s v="Engage with workers on health and safety - training, co-creation of risk assessments etc" u="1"/>
        <s v="Define emergency response procedures" u="1"/>
        <s v="Define information security policies" u="1"/>
      </sharedItems>
    </cacheField>
    <cacheField name="MAIN ISO22301 REF" numFmtId="49">
      <sharedItems/>
    </cacheField>
    <cacheField name="RESOURCE" numFmtId="49">
      <sharedItems containsBlank="1" count="38">
        <s v="Project Mgr"/>
        <s v="Top Mgt,BC Manager"/>
        <s v="BC Manager,Business Reps"/>
        <s v="BC Manager,Project Mgr,Top Mgt"/>
        <s v="BC Manager,Project Mgr"/>
        <s v="BC Manager,Top Mgt"/>
        <s v="BC Manager,Business Reps,CIO"/>
        <s v="BC Manager,Top Mgt,CIO"/>
        <s v="BC Manager,CIO,Top Mgt"/>
        <s v="BC Manager,Business Reps,CIO,Internal Audit Team"/>
        <s v="BC Manager,Top Mgt,External Auditor"/>
        <s v="BC Manager,Business Reps,External Auditor,Top Mgt"/>
        <s v="Project Mgr,BC Manager,Top Mgt"/>
        <m u="1"/>
        <s v="IT Support, Business Management" u="1"/>
        <s v="Health and Safety Manager/Competent Person, Project Manager" u="1"/>
        <s v="Health and Safety Manager/Competent Person, Top Management, Business Representatives" u="1"/>
        <s v="Project Manager" u="1"/>
        <s v="Project Manager,Business Representatives" u="1"/>
        <s v="IT Support, Business Representatives" u="1"/>
        <s v="IT Support" u="1"/>
        <s v="Health and Safety Manager/Competent Person, Top Management" u="1"/>
        <s v="Certification body" u="1"/>
        <s v="Health and Safety Manager/Competent Person, Business Representatives, External Auditor, Top Management" u="1"/>
        <s v="Health and Safety Manager/Competent Person, Top Management, Selection of Workers" u="1"/>
        <s v="Health and Safety Manager/Competent Person, Business Representatives, Selection of Workers" u="1"/>
        <s v="Health and Safety Manager/Competent Person, Project Manager, Top Management" u="1"/>
        <s v="Health and Safety Manager/Competent Person, Top Management, External Auditor" u="1"/>
        <s v="Health and Safety Manager/Competent Person, Business Representatives" u="1"/>
        <s v="Project Manager, Management, IT Support" u="1"/>
        <s v="IT Support, System Owners" u="1"/>
        <s v="Health and Safety Manager/Competent Person, Top Management, Business Representatives, Selection of Workers" u="1"/>
        <s v="IT Support, Management" u="1"/>
        <s v="Health and Safety Manager/Competent Person, Business Representatives, Internal Audit Team" u="1"/>
        <s v="Health and Safety Manager/Competent Person, Project Manager, Top Management, Selection of Workers" u="1"/>
        <s v="Top Management, Health and Safety Manager/Competent Person" u="1"/>
        <s v="Management" u="1"/>
        <s v="Project Manager, Health and Safety Manager/Competent Person, Top Management, Business Representatives" u="1"/>
      </sharedItems>
    </cacheField>
    <cacheField name="START DATE" numFmtId="14">
      <sharedItems containsSemiMixedTypes="0" containsNonDate="0" containsDate="1" containsString="0" minDate="2020-03-31T00:00:00" maxDate="2020-07-05T00:00:00" count="69"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4-07T00:00:00" u="1"/>
        <d v="2020-07-03T00:00:00" u="1"/>
        <d v="2020-05-05T00:00:00" u="1"/>
        <d v="2020-05-24T00:00:00" u="1"/>
        <d v="2020-06-29T00:00:00" u="1"/>
        <d v="2020-07-01T00:00:00" u="1"/>
        <d v="2020-04-24T00:00:00" u="1"/>
        <d v="2020-05-29T00:00:00" u="1"/>
        <d v="2020-04-17T00:00:00" u="1"/>
        <d v="2020-03-31T00:00:00" u="1"/>
        <d v="2020-05-22T00:00:00" u="1"/>
        <d v="2020-06-27T00:00:00" u="1"/>
        <d v="2020-04-10T00:00:00" u="1"/>
        <d v="2020-06-01T00:00:00" u="1"/>
        <d v="2020-05-15T00:00:00" u="1"/>
        <d v="2020-04-03T00:00:00" u="1"/>
        <d v="2020-05-27T00:00:00" u="1"/>
        <d v="2020-04-15T00:00:00" u="1"/>
        <d v="2020-05-20T00:00:00" u="1"/>
        <d v="2020-04-08T00:00:00" u="1"/>
        <d v="2020-05-13T00:00:00" u="1"/>
        <d v="2020-07-04T00:00:00" u="1"/>
        <d v="2020-04-01T00:00:00" u="1"/>
        <d v="2020-05-06T00:00:00" u="1"/>
        <d v="2020-05-25T00:00:00" u="1"/>
        <d v="2020-06-30T00:00:00" u="1"/>
        <d v="2020-04-13T00:00:00" u="1"/>
        <d v="2020-05-18T00:00:00" u="1"/>
        <d v="2020-04-06T00:00:00" u="1"/>
        <d v="2020-05-11T00:00:00" u="1"/>
        <d v="2020-07-02T00:00:00" u="1"/>
        <d v="2020-04-18T00:00:00" u="1"/>
        <d v="2020-06-28T00:00:00" u="1"/>
        <d v="2020-05-28T00:00:00" u="1"/>
        <d v="2020-04-16T00:00:00" u="1"/>
        <d v="2020-05-21T00:00:00" u="1"/>
        <d v="2020-06-26T00:00:00" u="1"/>
        <d v="2020-04-09T00:00:00" u="1"/>
        <d v="2020-05-14T00:00:00" u="1"/>
        <d v="2020-04-28T00:00:00" u="1"/>
        <d v="2020-04-02T00:00:00" u="1"/>
        <d v="2020-05-07T00:00:00" u="1"/>
        <d v="2020-05-26T00:00:00" u="1"/>
        <d v="2020-04-14T00:00:00" u="1"/>
        <d v="2020-05-19T00:00:00" u="1"/>
      </sharedItems>
    </cacheField>
    <cacheField name="WORK DAYS" numFmtId="1">
      <sharedItems containsSemiMixedTypes="0" containsString="0" containsNumber="1" containsInteger="1" minValue="1" maxValue="15" count="9">
        <n v="5"/>
        <n v="3"/>
        <n v="1"/>
        <n v="10"/>
        <n v="6"/>
        <n v="8"/>
        <n v="12"/>
        <n v="2"/>
        <n v="15" u="1"/>
      </sharedItems>
    </cacheField>
    <cacheField name="END DATE" numFmtId="14">
      <sharedItems containsSemiMixedTypes="0" containsNonDate="0" containsDate="1" containsString="0" minDate="2020-04-02T00:00:00" maxDate="2020-07-14T00:00:00" count="72">
        <d v="2020-06-08T00:00:00"/>
        <d v="2020-06-05T00:00:00"/>
        <d v="2020-06-04T00:00:00"/>
        <d v="2020-06-18T00:00:00"/>
        <d v="2020-06-15T00:00:00"/>
        <d v="2020-06-17T00:00:00"/>
        <d v="2020-06-12T00:00:00"/>
        <d v="2020-06-22T00:00:00"/>
        <d v="2020-06-26T00:00:00"/>
        <d v="2020-06-16T00:00:00"/>
        <d v="2020-06-19T00:00:00"/>
        <d v="2020-06-25T00:00:00"/>
        <d v="2020-06-23T00:00:00"/>
        <d v="2020-06-29T00:00:00"/>
        <d v="2020-07-02T00:00:00"/>
        <d v="2020-06-24T00:00:00"/>
        <d v="2020-04-07T00:00:00" u="1"/>
        <d v="2020-05-12T00:00:00" u="1"/>
        <d v="2020-07-03T00:00:00" u="1"/>
        <d v="2020-05-31T00:00:00" u="1"/>
        <d v="2020-05-05T00:00:00" u="1"/>
        <d v="2020-06-10T00:00:00" u="1"/>
        <d v="2020-05-24T00:00:00" u="1"/>
        <d v="2020-06-03T00:00:00" u="1"/>
        <d v="2020-05-17T00:00:00" u="1"/>
        <d v="2020-05-10T00:00:00" u="1"/>
        <d v="2020-07-01T00:00:00" u="1"/>
        <d v="2020-05-29T00:00:00" u="1"/>
        <d v="2020-04-17T00:00:00" u="1"/>
        <d v="2020-05-22T00:00:00" u="1"/>
        <d v="2020-07-13T00:00:00" u="1"/>
        <d v="2020-06-27T00:00:00" u="1"/>
        <d v="2020-04-10T00:00:00" u="1"/>
        <d v="2020-06-01T00:00:00" u="1"/>
        <d v="2020-05-15T00:00:00" u="1"/>
        <d v="2020-07-06T00:00:00" u="1"/>
        <d v="2020-06-20T00:00:00" u="1"/>
        <d v="2020-04-03T00:00:00" u="1"/>
        <d v="2020-05-08T00:00:00" u="1"/>
        <d v="2020-06-13T00:00:00" u="1"/>
        <d v="2020-05-27T00:00:00" u="1"/>
        <d v="2020-04-15T00:00:00" u="1"/>
        <d v="2020-06-06T00:00:00" u="1"/>
        <d v="2020-05-20T00:00:00" u="1"/>
        <d v="2020-04-08T00:00:00" u="1"/>
        <d v="2020-05-13T00:00:00" u="1"/>
        <d v="2020-04-27T00:00:00" u="1"/>
        <d v="2020-05-06T00:00:00" u="1"/>
        <d v="2020-04-20T00:00:00" u="1"/>
        <d v="2020-06-11T00:00:00" u="1"/>
        <d v="2020-05-25T00:00:00" u="1"/>
        <d v="2020-06-30T00:00:00" u="1"/>
        <d v="2020-05-18T00:00:00" u="1"/>
        <d v="2020-04-06T00:00:00" u="1"/>
        <d v="2020-06-09T00:00:00" u="1"/>
        <d v="2020-06-28T00:00:00" u="1"/>
        <d v="2020-06-02T00:00:00" u="1"/>
        <d v="2020-07-07T00:00:00" u="1"/>
        <d v="2020-06-21T00:00:00" u="1"/>
        <d v="2020-04-23T00:00:00" u="1"/>
        <d v="2020-06-14T00:00:00" u="1"/>
        <d v="2020-05-28T00:00:00" u="1"/>
        <d v="2020-06-07T00:00:00" u="1"/>
        <d v="2020-05-21T00:00:00" u="1"/>
        <d v="2020-04-09T00:00:00" u="1"/>
        <d v="2020-05-14T00:00:00" u="1"/>
        <d v="2020-04-28T00:00:00" u="1"/>
        <d v="2020-04-02T00:00:00" u="1"/>
        <d v="2020-05-07T00:00:00" u="1"/>
        <d v="2020-04-21T00:00:00" u="1"/>
        <d v="2020-05-26T00:00:00" u="1"/>
        <d v="2020-04-14T00:00:00" u="1"/>
      </sharedItems>
    </cacheField>
    <cacheField name="COMPLETED DAYS" numFmtId="1">
      <sharedItems containsSemiMixedTypes="0" containsString="0" containsNumber="1" containsInteger="1" minValue="0" maxValue="6" count="6">
        <n v="1"/>
        <n v="5"/>
        <n v="2"/>
        <n v="6"/>
        <n v="0"/>
        <n v="3"/>
      </sharedItems>
    </cacheField>
    <cacheField name="PROGRESS" numFmtId="9">
      <sharedItems containsSemiMixedTypes="0" containsString="0" containsNumber="1" minValue="0" maxValue="1" count="15">
        <n v="0.2"/>
        <n v="0.33333333333333331"/>
        <n v="1"/>
        <n v="0.1"/>
        <n v="0.83333333333333337"/>
        <n v="0.25"/>
        <n v="0.4"/>
        <n v="0.16666666666666666"/>
        <n v="0.66666666666666663"/>
        <n v="0.75"/>
        <n v="0"/>
        <n v="0.5"/>
        <n v="0.6" u="1"/>
        <n v="0.625" u="1"/>
        <n v="0.3" u="1"/>
      </sharedItems>
    </cacheField>
  </cacheFields>
  <extLst>
    <ext xmlns:x14="http://schemas.microsoft.com/office/spreadsheetml/2009/9/main" uri="{725AE2AE-9491-48be-B2B4-4EB974FC3084}">
      <x14:pivotCacheDefinition pivotCacheId="3805760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6"/>
  </r>
  <r>
    <x v="1"/>
    <n v="14"/>
  </r>
  <r>
    <x v="2"/>
    <n v="4"/>
  </r>
  <r>
    <x v="3"/>
    <n v="20"/>
  </r>
  <r>
    <x v="4"/>
    <n v="2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5000"/>
    <n v="1500"/>
    <n v="3500"/>
  </r>
  <r>
    <x v="1"/>
    <n v="1500"/>
    <n v="500"/>
    <n v="1000"/>
  </r>
  <r>
    <x v="2"/>
    <n v="1500"/>
    <n v="600"/>
    <n v="900"/>
  </r>
  <r>
    <x v="3"/>
    <n v="2000"/>
    <n v="1000"/>
    <n v="1000"/>
  </r>
  <r>
    <x v="4"/>
    <n v="1200"/>
    <n v="600"/>
    <n v="600"/>
  </r>
  <r>
    <x v="5"/>
    <n v="500"/>
    <n v="0"/>
    <n v="500"/>
  </r>
  <r>
    <x v="6"/>
    <n v="2500"/>
    <n v="1200"/>
    <n v="1300"/>
  </r>
  <r>
    <x v="7"/>
    <n v="3000"/>
    <n v="2000"/>
    <n v="1000"/>
  </r>
  <r>
    <x v="8"/>
    <n v="1000"/>
    <n v="1000"/>
    <n v="0"/>
  </r>
  <r>
    <x v="9"/>
    <n v="500"/>
    <n v="250"/>
    <n v="250"/>
  </r>
  <r>
    <x v="10"/>
    <n v="500"/>
    <n v="0"/>
    <n v="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s v="All"/>
    <x v="0"/>
    <x v="0"/>
    <x v="0"/>
    <x v="0"/>
    <x v="0"/>
    <x v="0"/>
  </r>
  <r>
    <x v="1"/>
    <x v="1"/>
    <s v="4.3 Determining the scope of the business continuity management system"/>
    <x v="1"/>
    <x v="1"/>
    <x v="1"/>
    <x v="1"/>
    <x v="0"/>
    <x v="1"/>
  </r>
  <r>
    <x v="2"/>
    <x v="2"/>
    <s v="All"/>
    <x v="2"/>
    <x v="2"/>
    <x v="2"/>
    <x v="2"/>
    <x v="0"/>
    <x v="2"/>
  </r>
  <r>
    <x v="3"/>
    <x v="3"/>
    <s v="5.1 Leadership and commitment"/>
    <x v="3"/>
    <x v="3"/>
    <x v="3"/>
    <x v="3"/>
    <x v="0"/>
    <x v="3"/>
  </r>
  <r>
    <x v="4"/>
    <x v="4"/>
    <s v="7.5 Documented information"/>
    <x v="4"/>
    <x v="4"/>
    <x v="4"/>
    <x v="4"/>
    <x v="1"/>
    <x v="4"/>
  </r>
  <r>
    <x v="5"/>
    <x v="5"/>
    <s v="5.2 Policy"/>
    <x v="5"/>
    <x v="5"/>
    <x v="5"/>
    <x v="5"/>
    <x v="2"/>
    <x v="5"/>
  </r>
  <r>
    <x v="6"/>
    <x v="6"/>
    <s v="4. Context of the organization"/>
    <x v="5"/>
    <x v="6"/>
    <x v="0"/>
    <x v="6"/>
    <x v="2"/>
    <x v="6"/>
  </r>
  <r>
    <x v="7"/>
    <x v="7"/>
    <s v="6.2 Business continuity objectives and planning to achieve them"/>
    <x v="5"/>
    <x v="7"/>
    <x v="3"/>
    <x v="7"/>
    <x v="2"/>
    <x v="0"/>
  </r>
  <r>
    <x v="8"/>
    <x v="8"/>
    <s v="5.3 Roles, responsibilities and authorities"/>
    <x v="5"/>
    <x v="8"/>
    <x v="4"/>
    <x v="5"/>
    <x v="2"/>
    <x v="1"/>
  </r>
  <r>
    <x v="9"/>
    <x v="9"/>
    <s v="7.2 Competence"/>
    <x v="2"/>
    <x v="9"/>
    <x v="6"/>
    <x v="8"/>
    <x v="2"/>
    <x v="7"/>
  </r>
  <r>
    <x v="10"/>
    <x v="10"/>
    <s v="8.2 Business impact analysis and risk assessment"/>
    <x v="6"/>
    <x v="10"/>
    <x v="2"/>
    <x v="6"/>
    <x v="0"/>
    <x v="2"/>
  </r>
  <r>
    <x v="11"/>
    <x v="11"/>
    <s v="8.2 Business impact analysis and risk assessment"/>
    <x v="7"/>
    <x v="11"/>
    <x v="7"/>
    <x v="9"/>
    <x v="2"/>
    <x v="2"/>
  </r>
  <r>
    <x v="12"/>
    <x v="12"/>
    <s v="8.3 Business continuity strategies and solutions"/>
    <x v="7"/>
    <x v="12"/>
    <x v="1"/>
    <x v="5"/>
    <x v="2"/>
    <x v="8"/>
  </r>
  <r>
    <x v="13"/>
    <x v="13"/>
    <s v="8.4 Business continuity plans and procedures"/>
    <x v="6"/>
    <x v="13"/>
    <x v="0"/>
    <x v="10"/>
    <x v="2"/>
    <x v="6"/>
  </r>
  <r>
    <x v="14"/>
    <x v="14"/>
    <s v="8.5 Exercise programme"/>
    <x v="8"/>
    <x v="14"/>
    <x v="5"/>
    <x v="11"/>
    <x v="3"/>
    <x v="9"/>
  </r>
  <r>
    <x v="15"/>
    <x v="15"/>
    <s v="8.4 Business continuity plans and procedures"/>
    <x v="2"/>
    <x v="15"/>
    <x v="2"/>
    <x v="5"/>
    <x v="4"/>
    <x v="10"/>
  </r>
  <r>
    <x v="16"/>
    <x v="16"/>
    <s v="9.1 Monitoring, measurement, analysis and evaluation"/>
    <x v="5"/>
    <x v="16"/>
    <x v="2"/>
    <x v="3"/>
    <x v="0"/>
    <x v="2"/>
  </r>
  <r>
    <x v="17"/>
    <x v="17"/>
    <s v="7.3 Awareness"/>
    <x v="2"/>
    <x v="17"/>
    <x v="2"/>
    <x v="10"/>
    <x v="4"/>
    <x v="10"/>
  </r>
  <r>
    <x v="18"/>
    <x v="18"/>
    <s v="10. Improvement"/>
    <x v="5"/>
    <x v="18"/>
    <x v="7"/>
    <x v="12"/>
    <x v="0"/>
    <x v="11"/>
  </r>
  <r>
    <x v="19"/>
    <x v="19"/>
    <s v="9.2 Internal audit"/>
    <x v="9"/>
    <x v="19"/>
    <x v="4"/>
    <x v="13"/>
    <x v="5"/>
    <x v="11"/>
  </r>
  <r>
    <x v="20"/>
    <x v="20"/>
    <s v="9.3 Management review"/>
    <x v="5"/>
    <x v="20"/>
    <x v="0"/>
    <x v="8"/>
    <x v="4"/>
    <x v="10"/>
  </r>
  <r>
    <x v="21"/>
    <x v="21"/>
    <s v="All"/>
    <x v="10"/>
    <x v="21"/>
    <x v="5"/>
    <x v="14"/>
    <x v="4"/>
    <x v="10"/>
  </r>
  <r>
    <x v="22"/>
    <x v="22"/>
    <s v="All"/>
    <x v="11"/>
    <x v="22"/>
    <x v="2"/>
    <x v="15"/>
    <x v="4"/>
    <x v="10"/>
  </r>
  <r>
    <x v="23"/>
    <x v="23"/>
    <s v="All"/>
    <x v="12"/>
    <x v="23"/>
    <x v="7"/>
    <x v="8"/>
    <x v="4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333DB3-951C-4E12-823F-E1D89A7AE6C0}" name="Gantt Chart" cacheId="9" applyNumberFormats="0" applyBorderFormats="0" applyFontFormats="0" applyPatternFormats="0" applyAlignmentFormats="0" applyWidthHeightFormats="1" dataCaption="Values" updatedVersion="6" minRefreshableVersion="3" showDrill="0" itemPrintTitles="1" createdVersion="6" indent="0" compact="0" compactData="0" multipleFieldFilters="0">
  <location ref="B14:I39" firstHeaderRow="1" firstDataRow="1" firstDataCol="8"/>
  <pivotFields count="9">
    <pivotField axis="axisRow" compact="0" outline="0" showAll="0" sortType="ascending" defaultSubtotal="0">
      <items count="237">
        <item x="0"/>
        <item m="1" x="177"/>
        <item m="1" x="180"/>
        <item m="1" x="186"/>
        <item m="1" x="215"/>
        <item m="1" x="223"/>
        <item m="1" x="43"/>
        <item x="1"/>
        <item m="1" x="80"/>
        <item m="1" x="108"/>
        <item m="1" x="109"/>
        <item m="1" x="112"/>
        <item x="2"/>
        <item m="1" x="148"/>
        <item m="1" x="181"/>
        <item m="1" x="182"/>
        <item m="1" x="187"/>
        <item m="1" x="191"/>
        <item m="1" x="192"/>
        <item m="1" x="218"/>
        <item m="1" x="219"/>
        <item m="1" x="224"/>
        <item x="3"/>
        <item m="1" x="26"/>
        <item m="1" x="228"/>
        <item m="1" x="30"/>
        <item m="1" x="46"/>
        <item m="1" x="34"/>
        <item x="4"/>
        <item m="1" x="62"/>
        <item m="1" x="52"/>
        <item m="1" x="65"/>
        <item x="5"/>
        <item m="1" x="94"/>
        <item m="1" x="84"/>
        <item m="1" x="97"/>
        <item m="1" x="113"/>
        <item m="1" x="101"/>
        <item x="6"/>
        <item m="1" x="129"/>
        <item x="7"/>
        <item m="1" x="157"/>
        <item m="1" x="163"/>
        <item m="1" x="173"/>
        <item m="1" x="151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m="1" x="164"/>
        <item m="1" x="174"/>
        <item m="1" x="188"/>
        <item m="1" x="198"/>
        <item m="1" x="206"/>
        <item m="1" x="213"/>
        <item m="1" x="225"/>
        <item m="1" x="234"/>
        <item m="1" x="126"/>
        <item m="1" x="31"/>
        <item m="1" x="135"/>
        <item m="1" x="40"/>
        <item m="1" x="143"/>
        <item m="1" x="49"/>
        <item m="1" x="152"/>
        <item m="1" x="57"/>
        <item m="1" x="160"/>
        <item m="1" x="66"/>
        <item m="1" x="169"/>
        <item m="1" x="73"/>
        <item m="1" x="183"/>
        <item m="1" x="81"/>
        <item m="1" x="195"/>
        <item m="1" x="89"/>
        <item m="1" x="203"/>
        <item m="1" x="98"/>
        <item m="1" x="210"/>
        <item m="1" x="105"/>
        <item m="1" x="220"/>
        <item m="1" x="116"/>
        <item m="1" x="231"/>
        <item m="1" x="123"/>
        <item m="1" x="27"/>
        <item m="1" x="132"/>
        <item m="1" x="37"/>
        <item m="1" x="140"/>
        <item m="1" x="47"/>
        <item m="1" x="149"/>
        <item m="1" x="55"/>
        <item m="1" x="158"/>
        <item m="1" x="110"/>
        <item m="1" x="63"/>
        <item m="1" x="226"/>
        <item m="1" x="167"/>
        <item m="1" x="119"/>
        <item m="1" x="71"/>
        <item m="1" x="235"/>
        <item m="1" x="178"/>
        <item m="1" x="127"/>
        <item m="1" x="78"/>
        <item m="1" x="32"/>
        <item m="1" x="193"/>
        <item m="1" x="136"/>
        <item m="1" x="87"/>
        <item m="1" x="41"/>
        <item m="1" x="201"/>
        <item m="1" x="144"/>
        <item m="1" x="95"/>
        <item m="1" x="50"/>
        <item m="1" x="208"/>
        <item m="1" x="153"/>
        <item m="1" x="103"/>
        <item m="1" x="58"/>
        <item m="1" x="216"/>
        <item m="1" x="161"/>
        <item m="1" x="114"/>
        <item m="1" x="67"/>
        <item m="1" x="229"/>
        <item m="1" x="170"/>
        <item m="1" x="121"/>
        <item m="1" x="74"/>
        <item m="1" x="24"/>
        <item m="1" x="184"/>
        <item m="1" x="130"/>
        <item m="1" x="82"/>
        <item m="1" x="35"/>
        <item m="1" x="196"/>
        <item m="1" x="138"/>
        <item m="1" x="90"/>
        <item m="1" x="44"/>
        <item m="1" x="204"/>
        <item m="1" x="146"/>
        <item m="1" x="99"/>
        <item m="1" x="53"/>
        <item m="1" x="211"/>
        <item m="1" x="155"/>
        <item m="1" x="106"/>
        <item m="1" x="60"/>
        <item m="1" x="221"/>
        <item m="1" x="165"/>
        <item m="1" x="117"/>
        <item m="1" x="69"/>
        <item m="1" x="232"/>
        <item m="1" x="175"/>
        <item m="1" x="124"/>
        <item m="1" x="76"/>
        <item m="1" x="28"/>
        <item m="1" x="189"/>
        <item m="1" x="133"/>
        <item m="1" x="85"/>
        <item m="1" x="38"/>
        <item m="1" x="199"/>
        <item m="1" x="141"/>
        <item m="1" x="92"/>
        <item m="1" x="171"/>
        <item m="1" x="48"/>
        <item m="1" x="122"/>
        <item m="1" x="207"/>
        <item m="1" x="75"/>
        <item m="1" x="150"/>
        <item m="1" x="25"/>
        <item m="1" x="102"/>
        <item m="1" x="185"/>
        <item m="1" x="56"/>
        <item m="1" x="131"/>
        <item m="1" x="214"/>
        <item m="1" x="83"/>
        <item m="1" x="159"/>
        <item m="1" x="36"/>
        <item m="1" x="111"/>
        <item m="1" x="197"/>
        <item m="1" x="64"/>
        <item m="1" x="139"/>
        <item m="1" x="227"/>
        <item m="1" x="91"/>
        <item m="1" x="168"/>
        <item m="1" x="45"/>
        <item m="1" x="120"/>
        <item m="1" x="205"/>
        <item m="1" x="72"/>
        <item m="1" x="147"/>
        <item m="1" x="236"/>
        <item m="1" x="100"/>
        <item m="1" x="179"/>
        <item m="1" x="54"/>
        <item m="1" x="128"/>
        <item m="1" x="212"/>
        <item m="1" x="79"/>
        <item m="1" x="156"/>
        <item m="1" x="33"/>
        <item m="1" x="107"/>
        <item m="1" x="194"/>
        <item m="1" x="61"/>
        <item m="1" x="137"/>
        <item m="1" x="222"/>
        <item m="1" x="88"/>
        <item m="1" x="166"/>
        <item m="1" x="42"/>
        <item m="1" x="118"/>
        <item m="1" x="202"/>
        <item m="1" x="70"/>
        <item m="1" x="145"/>
        <item m="1" x="233"/>
        <item m="1" x="96"/>
        <item m="1" x="176"/>
        <item m="1" x="51"/>
        <item m="1" x="125"/>
        <item m="1" x="209"/>
        <item m="1" x="77"/>
        <item m="1" x="154"/>
        <item m="1" x="29"/>
        <item m="1" x="104"/>
        <item m="1" x="190"/>
        <item m="1" x="59"/>
        <item m="1" x="134"/>
        <item m="1" x="217"/>
        <item m="1" x="86"/>
        <item m="1" x="162"/>
        <item m="1" x="39"/>
        <item m="1" x="115"/>
        <item m="1" x="200"/>
        <item m="1" x="68"/>
        <item m="1" x="142"/>
        <item m="1" x="230"/>
        <item m="1" x="93"/>
        <item m="1" x="172"/>
      </items>
    </pivotField>
    <pivotField axis="axisRow" compact="0" outline="0" showAll="0" defaultSubtotal="0">
      <items count="90">
        <item x="7"/>
        <item x="17"/>
        <item x="21"/>
        <item x="22"/>
        <item x="9"/>
        <item x="10"/>
        <item x="16"/>
        <item x="5"/>
        <item x="1"/>
        <item x="8"/>
        <item m="1" x="55"/>
        <item x="15"/>
        <item x="6"/>
        <item x="4"/>
        <item x="13"/>
        <item x="18"/>
        <item x="19"/>
        <item x="3"/>
        <item x="2"/>
        <item x="20"/>
        <item x="11"/>
        <item x="14"/>
        <item x="23"/>
        <item x="0"/>
        <item x="12"/>
        <item m="1" x="26"/>
        <item m="1" x="30"/>
        <item m="1" x="34"/>
        <item m="1" x="82"/>
        <item m="1" x="47"/>
        <item m="1" x="33"/>
        <item m="1" x="67"/>
        <item m="1" x="89"/>
        <item m="1" x="52"/>
        <item m="1" x="38"/>
        <item m="1" x="73"/>
        <item m="1" x="74"/>
        <item m="1" x="64"/>
        <item m="1" x="81"/>
        <item m="1" x="42"/>
        <item m="1" x="85"/>
        <item m="1" x="29"/>
        <item m="1" x="66"/>
        <item m="1" x="48"/>
        <item m="1" x="45"/>
        <item m="1" x="68"/>
        <item m="1" x="31"/>
        <item m="1" x="59"/>
        <item m="1" x="53"/>
        <item m="1" x="43"/>
        <item m="1" x="50"/>
        <item m="1" x="71"/>
        <item m="1" x="65"/>
        <item m="1" x="83"/>
        <item m="1" x="41"/>
        <item m="1" x="51"/>
        <item m="1" x="58"/>
        <item m="1" x="32"/>
        <item m="1" x="78"/>
        <item m="1" x="35"/>
        <item m="1" x="28"/>
        <item m="1" x="70"/>
        <item m="1" x="86"/>
        <item m="1" x="54"/>
        <item m="1" x="36"/>
        <item m="1" x="72"/>
        <item m="1" x="44"/>
        <item m="1" x="75"/>
        <item m="1" x="60"/>
        <item m="1" x="62"/>
        <item m="1" x="80"/>
        <item m="1" x="84"/>
        <item m="1" x="69"/>
        <item m="1" x="25"/>
        <item m="1" x="63"/>
        <item m="1" x="61"/>
        <item m="1" x="87"/>
        <item m="1" x="79"/>
        <item m="1" x="27"/>
        <item m="1" x="46"/>
        <item m="1" x="39"/>
        <item m="1" x="24"/>
        <item m="1" x="88"/>
        <item m="1" x="57"/>
        <item m="1" x="76"/>
        <item m="1" x="77"/>
        <item m="1" x="37"/>
        <item m="1" x="49"/>
        <item m="1" x="56"/>
        <item m="1" x="40"/>
      </items>
    </pivotField>
    <pivotField compact="0" outline="0" subtotalTop="0" showAll="0" defaultSubtotal="0"/>
    <pivotField axis="axisRow" compact="0" outline="0" showAll="0" defaultSubtotal="0">
      <items count="38">
        <item x="2"/>
        <item x="6"/>
        <item x="9"/>
        <item x="11"/>
        <item x="8"/>
        <item x="4"/>
        <item x="3"/>
        <item x="5"/>
        <item x="7"/>
        <item x="10"/>
        <item x="0"/>
        <item x="12"/>
        <item x="1"/>
        <item m="1" x="13"/>
        <item m="1" x="29"/>
        <item m="1" x="17"/>
        <item m="1" x="32"/>
        <item m="1" x="20"/>
        <item m="1" x="36"/>
        <item m="1" x="30"/>
        <item m="1" x="14"/>
        <item m="1" x="19"/>
        <item m="1" x="18"/>
        <item m="1" x="22"/>
        <item m="1" x="35"/>
        <item m="1" x="28"/>
        <item m="1" x="34"/>
        <item m="1" x="15"/>
        <item m="1" x="21"/>
        <item m="1" x="24"/>
        <item m="1" x="26"/>
        <item m="1" x="25"/>
        <item m="1" x="31"/>
        <item m="1" x="16"/>
        <item m="1" x="33"/>
        <item m="1" x="27"/>
        <item m="1" x="23"/>
        <item m="1" x="37"/>
      </items>
    </pivotField>
    <pivotField axis="axisRow" compact="0" outline="0" showAll="0" defaultSubtotal="0">
      <items count="69">
        <item m="1" x="33"/>
        <item m="1" x="64"/>
        <item m="1" x="39"/>
        <item m="1" x="52"/>
        <item m="1" x="24"/>
        <item m="1" x="43"/>
        <item m="1" x="61"/>
        <item m="1" x="36"/>
        <item m="1" x="50"/>
        <item m="1" x="67"/>
        <item m="1" x="41"/>
        <item m="1" x="58"/>
        <item m="1" x="32"/>
        <item m="1" x="55"/>
        <item m="1" x="30"/>
        <item m="1" x="63"/>
        <item m="1" x="47"/>
        <item m="1" x="44"/>
        <item m="1" x="42"/>
        <item m="1" x="46"/>
        <item m="1" x="48"/>
        <item m="1" x="57"/>
        <item m="1" x="65"/>
        <item m="1" x="53"/>
        <item m="1" x="62"/>
        <item m="1" x="38"/>
        <item m="1" x="51"/>
        <item m="1" x="68"/>
        <item m="1" x="59"/>
        <item m="1" x="34"/>
        <item m="1" x="66"/>
        <item m="1" x="40"/>
        <item m="1" x="31"/>
        <item m="1" x="37"/>
        <item x="0"/>
        <item x="2"/>
        <item x="3"/>
        <item x="6"/>
        <item x="9"/>
        <item x="10"/>
        <item x="16"/>
        <item x="15"/>
        <item m="1" x="26"/>
        <item m="1" x="27"/>
        <item x="1"/>
        <item x="8"/>
        <item x="4"/>
        <item x="5"/>
        <item x="7"/>
        <item x="11"/>
        <item x="12"/>
        <item x="13"/>
        <item x="14"/>
        <item x="17"/>
        <item x="18"/>
        <item x="19"/>
        <item x="20"/>
        <item x="21"/>
        <item x="22"/>
        <item x="23"/>
        <item m="1" x="60"/>
        <item m="1" x="35"/>
        <item m="1" x="56"/>
        <item m="1" x="28"/>
        <item m="1" x="49"/>
        <item m="1" x="29"/>
        <item m="1" x="54"/>
        <item m="1" x="25"/>
        <item m="1" x="45"/>
      </items>
    </pivotField>
    <pivotField name="WORK _x000a_DAYS" axis="axisRow" compact="0" outline="0" showAll="0" defaultSubtotal="0">
      <items count="9">
        <item x="0"/>
        <item x="1"/>
        <item x="3"/>
        <item x="7"/>
        <item m="1" x="8"/>
        <item x="2"/>
        <item x="4"/>
        <item x="5"/>
        <item x="6"/>
      </items>
    </pivotField>
    <pivotField axis="axisRow" compact="0" outline="0" showAll="0" defaultSubtotal="0">
      <items count="72">
        <item m="1" x="53"/>
        <item m="1" x="67"/>
        <item m="1" x="41"/>
        <item m="1" x="16"/>
        <item m="1" x="64"/>
        <item m="1" x="44"/>
        <item m="1" x="32"/>
        <item m="1" x="59"/>
        <item m="1" x="28"/>
        <item m="1" x="46"/>
        <item m="1" x="20"/>
        <item m="1" x="48"/>
        <item m="1" x="69"/>
        <item m="1" x="66"/>
        <item m="1" x="38"/>
        <item m="1" x="34"/>
        <item m="1" x="43"/>
        <item m="1" x="37"/>
        <item m="1" x="71"/>
        <item m="1" x="33"/>
        <item m="1" x="47"/>
        <item m="1" x="25"/>
        <item m="1" x="45"/>
        <item m="1" x="65"/>
        <item m="1" x="24"/>
        <item m="1" x="52"/>
        <item m="1" x="63"/>
        <item m="1" x="22"/>
        <item m="1" x="50"/>
        <item m="1" x="70"/>
        <item m="1" x="40"/>
        <item m="1" x="61"/>
        <item m="1" x="19"/>
        <item m="1" x="23"/>
        <item x="2"/>
        <item m="1" x="62"/>
        <item m="1" x="21"/>
        <item m="1" x="49"/>
        <item x="5"/>
        <item m="1" x="68"/>
        <item m="1" x="17"/>
        <item m="1" x="29"/>
        <item m="1" x="27"/>
        <item x="0"/>
        <item m="1" x="54"/>
        <item m="1" x="56"/>
        <item x="1"/>
        <item x="6"/>
        <item x="3"/>
        <item m="1" x="42"/>
        <item m="1" x="39"/>
        <item m="1" x="60"/>
        <item x="4"/>
        <item x="9"/>
        <item x="10"/>
        <item m="1" x="36"/>
        <item m="1" x="58"/>
        <item x="7"/>
        <item x="12"/>
        <item x="15"/>
        <item x="11"/>
        <item x="8"/>
        <item m="1" x="31"/>
        <item m="1" x="55"/>
        <item x="13"/>
        <item m="1" x="51"/>
        <item m="1" x="26"/>
        <item x="14"/>
        <item m="1" x="18"/>
        <item m="1" x="57"/>
        <item m="1" x="30"/>
        <item m="1" x="35"/>
      </items>
    </pivotField>
    <pivotField axis="axisRow" compact="0" outline="0" showAll="0" defaultSubtotal="0">
      <items count="6">
        <item x="2"/>
        <item x="0"/>
        <item x="4"/>
        <item x="1"/>
        <item x="5"/>
        <item x="3"/>
      </items>
    </pivotField>
    <pivotField axis="axisRow" compact="0" numFmtId="9" outline="0" showAll="0" defaultSubtotal="0">
      <items count="15">
        <item x="10"/>
        <item x="6"/>
        <item x="1"/>
        <item x="2"/>
        <item x="3"/>
        <item x="8"/>
        <item m="1" x="14"/>
        <item m="1" x="12"/>
        <item x="11"/>
        <item x="0"/>
        <item x="4"/>
        <item x="5"/>
        <item x="7"/>
        <item m="1" x="13"/>
        <item x="9"/>
      </items>
    </pivotField>
  </pivotFields>
  <rowFields count="8">
    <field x="0"/>
    <field x="1"/>
    <field x="3"/>
    <field x="4"/>
    <field x="5"/>
    <field x="6"/>
    <field x="7"/>
    <field x="8"/>
  </rowFields>
  <rowItems count="25">
    <i>
      <x/>
      <x v="23"/>
      <x v="10"/>
      <x v="34"/>
      <x/>
      <x v="43"/>
      <x v="1"/>
      <x v="9"/>
    </i>
    <i>
      <x v="7"/>
      <x v="8"/>
      <x v="12"/>
      <x v="44"/>
      <x v="1"/>
      <x v="46"/>
      <x v="1"/>
      <x v="2"/>
    </i>
    <i>
      <x v="12"/>
      <x v="18"/>
      <x/>
      <x v="35"/>
      <x v="5"/>
      <x v="34"/>
      <x v="1"/>
      <x v="3"/>
    </i>
    <i>
      <x v="22"/>
      <x v="17"/>
      <x v="6"/>
      <x v="36"/>
      <x v="2"/>
      <x v="48"/>
      <x v="1"/>
      <x v="4"/>
    </i>
    <i>
      <x v="28"/>
      <x v="13"/>
      <x v="5"/>
      <x v="46"/>
      <x v="6"/>
      <x v="52"/>
      <x v="3"/>
      <x v="10"/>
    </i>
    <i>
      <x v="32"/>
      <x v="7"/>
      <x v="7"/>
      <x v="47"/>
      <x v="7"/>
      <x v="38"/>
      <x/>
      <x v="11"/>
    </i>
    <i>
      <x v="38"/>
      <x v="12"/>
      <x v="7"/>
      <x v="37"/>
      <x/>
      <x v="47"/>
      <x/>
      <x v="1"/>
    </i>
    <i>
      <x v="40"/>
      <x/>
      <x v="7"/>
      <x v="48"/>
      <x v="2"/>
      <x v="57"/>
      <x/>
      <x v="9"/>
    </i>
    <i>
      <x v="45"/>
      <x v="9"/>
      <x v="7"/>
      <x v="45"/>
      <x v="6"/>
      <x v="38"/>
      <x/>
      <x v="2"/>
    </i>
    <i>
      <x v="46"/>
      <x v="4"/>
      <x/>
      <x v="38"/>
      <x v="8"/>
      <x v="61"/>
      <x/>
      <x v="12"/>
    </i>
    <i>
      <x v="47"/>
      <x v="5"/>
      <x v="1"/>
      <x v="39"/>
      <x v="5"/>
      <x v="47"/>
      <x v="1"/>
      <x v="3"/>
    </i>
    <i>
      <x v="48"/>
      <x v="20"/>
      <x v="8"/>
      <x v="49"/>
      <x v="3"/>
      <x v="53"/>
      <x/>
      <x v="3"/>
    </i>
    <i>
      <x v="49"/>
      <x v="24"/>
      <x v="8"/>
      <x v="50"/>
      <x v="1"/>
      <x v="38"/>
      <x/>
      <x v="5"/>
    </i>
    <i>
      <x v="50"/>
      <x v="14"/>
      <x v="1"/>
      <x v="51"/>
      <x/>
      <x v="54"/>
      <x/>
      <x v="1"/>
    </i>
    <i>
      <x v="51"/>
      <x v="21"/>
      <x v="4"/>
      <x v="52"/>
      <x v="7"/>
      <x v="60"/>
      <x v="5"/>
      <x v="14"/>
    </i>
    <i>
      <x v="52"/>
      <x v="11"/>
      <x/>
      <x v="41"/>
      <x v="5"/>
      <x v="38"/>
      <x v="2"/>
      <x/>
    </i>
    <i>
      <x v="53"/>
      <x v="6"/>
      <x v="7"/>
      <x v="40"/>
      <x v="5"/>
      <x v="48"/>
      <x v="1"/>
      <x v="3"/>
    </i>
    <i>
      <x v="54"/>
      <x v="1"/>
      <x/>
      <x v="53"/>
      <x v="5"/>
      <x v="54"/>
      <x v="2"/>
      <x/>
    </i>
    <i>
      <x v="55"/>
      <x v="15"/>
      <x v="7"/>
      <x v="54"/>
      <x v="3"/>
      <x v="58"/>
      <x v="1"/>
      <x v="8"/>
    </i>
    <i>
      <x v="56"/>
      <x v="16"/>
      <x v="2"/>
      <x v="55"/>
      <x v="6"/>
      <x v="64"/>
      <x v="4"/>
      <x v="8"/>
    </i>
    <i>
      <x v="57"/>
      <x v="19"/>
      <x v="7"/>
      <x v="56"/>
      <x/>
      <x v="61"/>
      <x v="2"/>
      <x/>
    </i>
    <i>
      <x v="58"/>
      <x v="2"/>
      <x v="9"/>
      <x v="57"/>
      <x v="7"/>
      <x v="67"/>
      <x v="2"/>
      <x/>
    </i>
    <i>
      <x v="59"/>
      <x v="3"/>
      <x v="3"/>
      <x v="58"/>
      <x v="5"/>
      <x v="59"/>
      <x v="2"/>
      <x/>
    </i>
    <i>
      <x v="60"/>
      <x v="22"/>
      <x v="11"/>
      <x v="59"/>
      <x v="3"/>
      <x v="61"/>
      <x v="2"/>
      <x/>
    </i>
    <i t="grand">
      <x/>
    </i>
  </rowItems>
  <colItems count="1">
    <i/>
  </colItems>
  <formats count="697">
    <format dxfId="723">
      <pivotArea field="0" type="button" dataOnly="0" labelOnly="1" outline="0" axis="axisRow" fieldPosition="0"/>
    </format>
    <format dxfId="722">
      <pivotArea field="1" type="button" dataOnly="0" labelOnly="1" outline="0" axis="axisRow" fieldPosition="1"/>
    </format>
    <format dxfId="721">
      <pivotArea field="3" type="button" dataOnly="0" labelOnly="1" outline="0" axis="axisRow" fieldPosition="2"/>
    </format>
    <format dxfId="720">
      <pivotArea field="4" type="button" dataOnly="0" labelOnly="1" outline="0" axis="axisRow" fieldPosition="3"/>
    </format>
    <format dxfId="719">
      <pivotArea field="5" type="button" dataOnly="0" labelOnly="1" outline="0" axis="axisRow" fieldPosition="4"/>
    </format>
    <format dxfId="718">
      <pivotArea field="6" type="button" dataOnly="0" labelOnly="1" outline="0" axis="axisRow" fieldPosition="5"/>
    </format>
    <format dxfId="717">
      <pivotArea field="7" type="button" dataOnly="0" labelOnly="1" outline="0" axis="axisRow" fieldPosition="6"/>
    </format>
    <format dxfId="716">
      <pivotArea field="8" type="button" dataOnly="0" labelOnly="1" outline="0" axis="axisRow" fieldPosition="7"/>
    </format>
    <format dxfId="715">
      <pivotArea field="0" type="button" dataOnly="0" labelOnly="1" outline="0" axis="axisRow" fieldPosition="0"/>
    </format>
    <format dxfId="714">
      <pivotArea field="1" type="button" dataOnly="0" labelOnly="1" outline="0" axis="axisRow" fieldPosition="1"/>
    </format>
    <format dxfId="713">
      <pivotArea field="3" type="button" dataOnly="0" labelOnly="1" outline="0" axis="axisRow" fieldPosition="2"/>
    </format>
    <format dxfId="712">
      <pivotArea field="4" type="button" dataOnly="0" labelOnly="1" outline="0" axis="axisRow" fieldPosition="3"/>
    </format>
    <format dxfId="711">
      <pivotArea field="5" type="button" dataOnly="0" labelOnly="1" outline="0" axis="axisRow" fieldPosition="4"/>
    </format>
    <format dxfId="710">
      <pivotArea field="6" type="button" dataOnly="0" labelOnly="1" outline="0" axis="axisRow" fieldPosition="5"/>
    </format>
    <format dxfId="709">
      <pivotArea field="7" type="button" dataOnly="0" labelOnly="1" outline="0" axis="axisRow" fieldPosition="6"/>
    </format>
    <format dxfId="708">
      <pivotArea field="8" type="button" dataOnly="0" labelOnly="1" outline="0" axis="axisRow" fieldPosition="7"/>
    </format>
    <format dxfId="707">
      <pivotArea field="0" type="button" dataOnly="0" labelOnly="1" outline="0" axis="axisRow" fieldPosition="0"/>
    </format>
    <format dxfId="706">
      <pivotArea field="1" type="button" dataOnly="0" labelOnly="1" outline="0" axis="axisRow" fieldPosition="1"/>
    </format>
    <format dxfId="705">
      <pivotArea field="3" type="button" dataOnly="0" labelOnly="1" outline="0" axis="axisRow" fieldPosition="2"/>
    </format>
    <format dxfId="704">
      <pivotArea field="4" type="button" dataOnly="0" labelOnly="1" outline="0" axis="axisRow" fieldPosition="3"/>
    </format>
    <format dxfId="703">
      <pivotArea field="5" type="button" dataOnly="0" labelOnly="1" outline="0" axis="axisRow" fieldPosition="4"/>
    </format>
    <format dxfId="702">
      <pivotArea field="6" type="button" dataOnly="0" labelOnly="1" outline="0" axis="axisRow" fieldPosition="5"/>
    </format>
    <format dxfId="701">
      <pivotArea field="7" type="button" dataOnly="0" labelOnly="1" outline="0" axis="axisRow" fieldPosition="6"/>
    </format>
    <format dxfId="700">
      <pivotArea field="8" type="button" dataOnly="0" labelOnly="1" outline="0" axis="axisRow" fieldPosition="7"/>
    </format>
    <format dxfId="699">
      <pivotArea field="7" type="button" dataOnly="0" labelOnly="1" outline="0" axis="axisRow" fieldPosition="6"/>
    </format>
    <format dxfId="698">
      <pivotArea field="5" type="button" dataOnly="0" labelOnly="1" outline="0" axis="axisRow" fieldPosition="4"/>
    </format>
    <format dxfId="697">
      <pivotArea dataOnly="0" labelOnly="1" grandRow="1" outline="0" fieldPosition="0"/>
    </format>
    <format dxfId="696">
      <pivotArea dataOnly="0" labelOnly="1" grandRow="1" outline="0" fieldPosition="0"/>
    </format>
    <format dxfId="695">
      <pivotArea field="0" type="button" dataOnly="0" labelOnly="1" outline="0" axis="axisRow" fieldPosition="0"/>
    </format>
    <format dxfId="694">
      <pivotArea field="1" type="button" dataOnly="0" labelOnly="1" outline="0" axis="axisRow" fieldPosition="1"/>
    </format>
    <format dxfId="693">
      <pivotArea field="3" type="button" dataOnly="0" labelOnly="1" outline="0" axis="axisRow" fieldPosition="2"/>
    </format>
    <format dxfId="692">
      <pivotArea field="4" type="button" dataOnly="0" labelOnly="1" outline="0" axis="axisRow" fieldPosition="3"/>
    </format>
    <format dxfId="691">
      <pivotArea field="5" type="button" dataOnly="0" labelOnly="1" outline="0" axis="axisRow" fieldPosition="4"/>
    </format>
    <format dxfId="690">
      <pivotArea field="6" type="button" dataOnly="0" labelOnly="1" outline="0" axis="axisRow" fieldPosition="5"/>
    </format>
    <format dxfId="689">
      <pivotArea field="7" type="button" dataOnly="0" labelOnly="1" outline="0" axis="axisRow" fieldPosition="6"/>
    </format>
    <format dxfId="688">
      <pivotArea dataOnly="0" labelOnly="1" grandRow="1" outline="0" offset="A256:G256" fieldPosition="0"/>
    </format>
    <format dxfId="68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>
            <x v="0"/>
          </reference>
        </references>
      </pivotArea>
    </format>
    <format dxfId="686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0"/>
          </reference>
          <reference field="5" count="1">
            <x v="0"/>
          </reference>
        </references>
      </pivotArea>
    </format>
    <format dxfId="685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0"/>
          </reference>
          <reference field="5" count="1">
            <x v="1"/>
          </reference>
        </references>
      </pivotArea>
    </format>
    <format dxfId="684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0"/>
          </reference>
          <reference field="5" count="1" selected="0">
            <x v="0"/>
          </reference>
          <reference field="6" count="1">
            <x v="0"/>
          </reference>
        </references>
      </pivotArea>
    </format>
    <format dxfId="683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682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1">
            <x v="3"/>
          </reference>
        </references>
      </pivotArea>
    </format>
    <format dxfId="681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4"/>
          </reference>
        </references>
      </pivotArea>
    </format>
    <format dxfId="680">
      <pivotArea field="8" type="button" dataOnly="0" labelOnly="1" outline="0" axis="axisRow" fieldPosition="7"/>
    </format>
    <format dxfId="679">
      <pivotArea dataOnly="0" labelOnly="1" grandRow="1" outline="0" offset="IV256" fieldPosition="0"/>
    </format>
    <format dxfId="678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0"/>
          </reference>
          <reference field="5" count="1" selected="0">
            <x v="0"/>
          </reference>
          <reference field="6" count="1" selected="0">
            <x v="0"/>
          </reference>
          <reference field="7" count="1" selected="0">
            <x v="3"/>
          </reference>
          <reference field="8" count="1">
            <x v="3"/>
          </reference>
        </references>
      </pivotArea>
    </format>
    <format dxfId="677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4"/>
          </reference>
          <reference field="8" count="1">
            <x v="3"/>
          </reference>
        </references>
      </pivotArea>
    </format>
    <format dxfId="676">
      <pivotArea field="0" type="button" dataOnly="0" labelOnly="1" outline="0" axis="axisRow" fieldPosition="0"/>
    </format>
    <format dxfId="675">
      <pivotArea field="1" type="button" dataOnly="0" labelOnly="1" outline="0" axis="axisRow" fieldPosition="1"/>
    </format>
    <format dxfId="674">
      <pivotArea field="3" type="button" dataOnly="0" labelOnly="1" outline="0" axis="axisRow" fieldPosition="2"/>
    </format>
    <format dxfId="673">
      <pivotArea field="4" type="button" dataOnly="0" labelOnly="1" outline="0" axis="axisRow" fieldPosition="3"/>
    </format>
    <format dxfId="672">
      <pivotArea field="5" type="button" dataOnly="0" labelOnly="1" outline="0" axis="axisRow" fieldPosition="4"/>
    </format>
    <format dxfId="671">
      <pivotArea field="6" type="button" dataOnly="0" labelOnly="1" outline="0" axis="axisRow" fieldPosition="5"/>
    </format>
    <format dxfId="670">
      <pivotArea field="7" type="button" dataOnly="0" labelOnly="1" outline="0" axis="axisRow" fieldPosition="6"/>
    </format>
    <format dxfId="669">
      <pivotArea field="8" type="button" dataOnly="0" labelOnly="1" outline="0" axis="axisRow" fieldPosition="7"/>
    </format>
    <format dxfId="668">
      <pivotArea field="0" type="button" dataOnly="0" labelOnly="1" outline="0" axis="axisRow" fieldPosition="0"/>
    </format>
    <format dxfId="667">
      <pivotArea field="1" type="button" dataOnly="0" labelOnly="1" outline="0" axis="axisRow" fieldPosition="1"/>
    </format>
    <format dxfId="666">
      <pivotArea field="3" type="button" dataOnly="0" labelOnly="1" outline="0" axis="axisRow" fieldPosition="2"/>
    </format>
    <format dxfId="665">
      <pivotArea field="4" type="button" dataOnly="0" labelOnly="1" outline="0" axis="axisRow" fieldPosition="3"/>
    </format>
    <format dxfId="664">
      <pivotArea field="5" type="button" dataOnly="0" labelOnly="1" outline="0" axis="axisRow" fieldPosition="4"/>
    </format>
    <format dxfId="663">
      <pivotArea field="6" type="button" dataOnly="0" labelOnly="1" outline="0" axis="axisRow" fieldPosition="5"/>
    </format>
    <format dxfId="662">
      <pivotArea field="7" type="button" dataOnly="0" labelOnly="1" outline="0" axis="axisRow" fieldPosition="6"/>
    </format>
    <format dxfId="661">
      <pivotArea field="8" type="button" dataOnly="0" labelOnly="1" outline="0" axis="axisRow" fieldPosition="7"/>
    </format>
    <format dxfId="660">
      <pivotArea dataOnly="0" labelOnly="1" grandRow="1" outline="0" fieldPosition="0"/>
    </format>
    <format dxfId="659">
      <pivotArea type="all" dataOnly="0" outline="0" fieldPosition="0"/>
    </format>
    <format dxfId="658">
      <pivotArea field="0" type="button" dataOnly="0" labelOnly="1" outline="0" axis="axisRow" fieldPosition="0"/>
    </format>
    <format dxfId="657">
      <pivotArea field="1" type="button" dataOnly="0" labelOnly="1" outline="0" axis="axisRow" fieldPosition="1"/>
    </format>
    <format dxfId="656">
      <pivotArea field="3" type="button" dataOnly="0" labelOnly="1" outline="0" axis="axisRow" fieldPosition="2"/>
    </format>
    <format dxfId="655">
      <pivotArea field="4" type="button" dataOnly="0" labelOnly="1" outline="0" axis="axisRow" fieldPosition="3"/>
    </format>
    <format dxfId="654">
      <pivotArea field="5" type="button" dataOnly="0" labelOnly="1" outline="0" axis="axisRow" fieldPosition="4"/>
    </format>
    <format dxfId="653">
      <pivotArea field="6" type="button" dataOnly="0" labelOnly="1" outline="0" axis="axisRow" fieldPosition="5"/>
    </format>
    <format dxfId="652">
      <pivotArea field="7" type="button" dataOnly="0" labelOnly="1" outline="0" axis="axisRow" fieldPosition="6"/>
    </format>
    <format dxfId="651">
      <pivotArea field="8" type="button" dataOnly="0" labelOnly="1" outline="0" axis="axisRow" fieldPosition="7"/>
    </format>
    <format dxfId="650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>
            <x v="1"/>
          </reference>
        </references>
      </pivotArea>
    </format>
    <format dxfId="649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>
            <x v="19"/>
          </reference>
        </references>
      </pivotArea>
    </format>
    <format dxfId="648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647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>
            <x v="1"/>
          </reference>
        </references>
      </pivotArea>
    </format>
    <format dxfId="646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5"/>
          </reference>
        </references>
      </pivotArea>
    </format>
    <format dxfId="645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>
            <x v="17"/>
          </reference>
        </references>
      </pivotArea>
    </format>
    <format dxfId="644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5"/>
          </reference>
          <reference field="7" count="1">
            <x v="3"/>
          </reference>
        </references>
      </pivotArea>
    </format>
    <format dxfId="643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 selected="0">
            <x v="17"/>
          </reference>
          <reference field="7" count="1">
            <x v="4"/>
          </reference>
        </references>
      </pivotArea>
    </format>
    <format dxfId="642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5"/>
          </reference>
          <reference field="7" count="1" selected="0">
            <x v="3"/>
          </reference>
          <reference field="8" count="1">
            <x v="3"/>
          </reference>
        </references>
      </pivotArea>
    </format>
    <format dxfId="641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 selected="0">
            <x v="17"/>
          </reference>
          <reference field="7" count="1" selected="0">
            <x v="4"/>
          </reference>
          <reference field="8" count="1">
            <x v="3"/>
          </reference>
        </references>
      </pivotArea>
    </format>
    <format dxfId="640">
      <pivotArea field="0" type="button" dataOnly="0" labelOnly="1" outline="0" axis="axisRow" fieldPosition="0"/>
    </format>
    <format dxfId="639">
      <pivotArea field="1" type="button" dataOnly="0" labelOnly="1" outline="0" axis="axisRow" fieldPosition="1"/>
    </format>
    <format dxfId="638">
      <pivotArea field="3" type="button" dataOnly="0" labelOnly="1" outline="0" axis="axisRow" fieldPosition="2"/>
    </format>
    <format dxfId="637">
      <pivotArea field="4" type="button" dataOnly="0" labelOnly="1" outline="0" axis="axisRow" fieldPosition="3"/>
    </format>
    <format dxfId="636">
      <pivotArea field="5" type="button" dataOnly="0" labelOnly="1" outline="0" axis="axisRow" fieldPosition="4"/>
    </format>
    <format dxfId="635">
      <pivotArea field="6" type="button" dataOnly="0" labelOnly="1" outline="0" axis="axisRow" fieldPosition="5"/>
    </format>
    <format dxfId="634">
      <pivotArea field="7" type="button" dataOnly="0" labelOnly="1" outline="0" axis="axisRow" fieldPosition="6"/>
    </format>
    <format dxfId="633">
      <pivotArea field="8" type="button" dataOnly="0" labelOnly="1" outline="0" axis="axisRow" fieldPosition="7"/>
    </format>
    <format dxfId="632">
      <pivotArea field="0" type="button" dataOnly="0" labelOnly="1" outline="0" axis="axisRow" fieldPosition="0"/>
    </format>
    <format dxfId="631">
      <pivotArea field="1" type="button" dataOnly="0" labelOnly="1" outline="0" axis="axisRow" fieldPosition="1"/>
    </format>
    <format dxfId="630">
      <pivotArea field="3" type="button" dataOnly="0" labelOnly="1" outline="0" axis="axisRow" fieldPosition="2"/>
    </format>
    <format dxfId="629">
      <pivotArea field="4" type="button" dataOnly="0" labelOnly="1" outline="0" axis="axisRow" fieldPosition="3"/>
    </format>
    <format dxfId="628">
      <pivotArea field="5" type="button" dataOnly="0" labelOnly="1" outline="0" axis="axisRow" fieldPosition="4"/>
    </format>
    <format dxfId="627">
      <pivotArea field="6" type="button" dataOnly="0" labelOnly="1" outline="0" axis="axisRow" fieldPosition="5"/>
    </format>
    <format dxfId="626">
      <pivotArea field="7" type="button" dataOnly="0" labelOnly="1" outline="0" axis="axisRow" fieldPosition="6"/>
    </format>
    <format dxfId="625">
      <pivotArea field="8" type="button" dataOnly="0" labelOnly="1" outline="0" axis="axisRow" fieldPosition="7"/>
    </format>
    <format dxfId="624">
      <pivotArea dataOnly="0" labelOnly="1" grandRow="1" outline="0" fieldPosition="0"/>
    </format>
    <format dxfId="623">
      <pivotArea dataOnly="0" labelOnly="1" grandRow="1" outline="0" fieldPosition="0"/>
    </format>
    <format dxfId="622">
      <pivotArea field="0" type="button" dataOnly="0" labelOnly="1" outline="0" axis="axisRow" fieldPosition="0"/>
    </format>
    <format dxfId="621">
      <pivotArea field="1" type="button" dataOnly="0" labelOnly="1" outline="0" axis="axisRow" fieldPosition="1"/>
    </format>
    <format dxfId="620">
      <pivotArea field="3" type="button" dataOnly="0" labelOnly="1" outline="0" axis="axisRow" fieldPosition="2"/>
    </format>
    <format dxfId="619">
      <pivotArea field="4" type="button" dataOnly="0" labelOnly="1" outline="0" axis="axisRow" fieldPosition="3"/>
    </format>
    <format dxfId="618">
      <pivotArea field="5" type="button" dataOnly="0" labelOnly="1" outline="0" axis="axisRow" fieldPosition="4"/>
    </format>
    <format dxfId="617">
      <pivotArea field="6" type="button" dataOnly="0" labelOnly="1" outline="0" axis="axisRow" fieldPosition="5"/>
    </format>
    <format dxfId="616">
      <pivotArea field="7" type="button" dataOnly="0" labelOnly="1" outline="0" axis="axisRow" fieldPosition="6"/>
    </format>
    <format dxfId="615">
      <pivotArea field="8" type="button" dataOnly="0" labelOnly="1" outline="0" axis="axisRow" fieldPosition="7"/>
    </format>
    <format dxfId="614">
      <pivotArea type="all" dataOnly="0" outline="0" fieldPosition="0"/>
    </format>
    <format dxfId="613">
      <pivotArea field="0" type="button" dataOnly="0" labelOnly="1" outline="0" axis="axisRow" fieldPosition="0"/>
    </format>
    <format dxfId="612">
      <pivotArea field="1" type="button" dataOnly="0" labelOnly="1" outline="0" axis="axisRow" fieldPosition="1"/>
    </format>
    <format dxfId="611">
      <pivotArea field="3" type="button" dataOnly="0" labelOnly="1" outline="0" axis="axisRow" fieldPosition="2"/>
    </format>
    <format dxfId="610">
      <pivotArea field="4" type="button" dataOnly="0" labelOnly="1" outline="0" axis="axisRow" fieldPosition="3"/>
    </format>
    <format dxfId="609">
      <pivotArea field="5" type="button" dataOnly="0" labelOnly="1" outline="0" axis="axisRow" fieldPosition="4"/>
    </format>
    <format dxfId="608">
      <pivotArea field="6" type="button" dataOnly="0" labelOnly="1" outline="0" axis="axisRow" fieldPosition="5"/>
    </format>
    <format dxfId="607">
      <pivotArea field="7" type="button" dataOnly="0" labelOnly="1" outline="0" axis="axisRow" fieldPosition="6"/>
    </format>
    <format dxfId="606">
      <pivotArea field="8" type="button" dataOnly="0" labelOnly="1" outline="0" axis="axisRow" fieldPosition="7"/>
    </format>
    <format dxfId="605">
      <pivotArea dataOnly="0" labelOnly="1" grandRow="1" outline="0" fieldPosition="0"/>
    </format>
    <format dxfId="604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>
            <x v="1"/>
          </reference>
        </references>
      </pivotArea>
    </format>
    <format dxfId="603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>
            <x v="19"/>
          </reference>
        </references>
      </pivotArea>
    </format>
    <format dxfId="602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>
            <x v="0"/>
          </reference>
        </references>
      </pivotArea>
    </format>
    <format dxfId="601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>
            <x v="1"/>
          </reference>
        </references>
      </pivotArea>
    </format>
    <format dxfId="600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>
            <x v="5"/>
          </reference>
        </references>
      </pivotArea>
    </format>
    <format dxfId="599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>
            <x v="17"/>
          </reference>
        </references>
      </pivotArea>
    </format>
    <format dxfId="598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5"/>
          </reference>
          <reference field="7" count="1">
            <x v="3"/>
          </reference>
        </references>
      </pivotArea>
    </format>
    <format dxfId="597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 selected="0">
            <x v="17"/>
          </reference>
          <reference field="7" count="1">
            <x v="4"/>
          </reference>
        </references>
      </pivotArea>
    </format>
    <format dxfId="596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1"/>
          </reference>
          <reference field="5" count="1" selected="0">
            <x v="0"/>
          </reference>
          <reference field="6" count="1" selected="0">
            <x v="5"/>
          </reference>
          <reference field="7" count="1" selected="0">
            <x v="3"/>
          </reference>
          <reference field="8" count="1">
            <x v="3"/>
          </reference>
        </references>
      </pivotArea>
    </format>
    <format dxfId="595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19"/>
          </reference>
          <reference field="5" count="1" selected="0">
            <x v="1"/>
          </reference>
          <reference field="6" count="1" selected="0">
            <x v="17"/>
          </reference>
          <reference field="7" count="1" selected="0">
            <x v="4"/>
          </reference>
          <reference field="8" count="1">
            <x v="3"/>
          </reference>
        </references>
      </pivotArea>
    </format>
    <format dxfId="594">
      <pivotArea field="0" type="button" dataOnly="0" labelOnly="1" outline="0" axis="axisRow" fieldPosition="0"/>
    </format>
    <format dxfId="593">
      <pivotArea field="1" type="button" dataOnly="0" labelOnly="1" outline="0" axis="axisRow" fieldPosition="1"/>
    </format>
    <format dxfId="592">
      <pivotArea field="3" type="button" dataOnly="0" labelOnly="1" outline="0" axis="axisRow" fieldPosition="2"/>
    </format>
    <format dxfId="591">
      <pivotArea field="4" type="button" dataOnly="0" labelOnly="1" outline="0" axis="axisRow" fieldPosition="3"/>
    </format>
    <format dxfId="590">
      <pivotArea field="5" type="button" dataOnly="0" labelOnly="1" outline="0" axis="axisRow" fieldPosition="4"/>
    </format>
    <format dxfId="589">
      <pivotArea field="6" type="button" dataOnly="0" labelOnly="1" outline="0" axis="axisRow" fieldPosition="5"/>
    </format>
    <format dxfId="588">
      <pivotArea field="7" type="button" dataOnly="0" labelOnly="1" outline="0" axis="axisRow" fieldPosition="6"/>
    </format>
    <format dxfId="587">
      <pivotArea field="8" type="button" dataOnly="0" labelOnly="1" outline="0" axis="axisRow" fieldPosition="7"/>
    </format>
    <format dxfId="586">
      <pivotArea dataOnly="0" labelOnly="1" grandRow="1" outline="0" fieldPosition="0"/>
    </format>
    <format dxfId="585">
      <pivotArea type="all" dataOnly="0" outline="0" fieldPosition="0"/>
    </format>
    <format dxfId="584">
      <pivotArea field="0" type="button" dataOnly="0" labelOnly="1" outline="0" axis="axisRow" fieldPosition="0"/>
    </format>
    <format dxfId="583">
      <pivotArea field="1" type="button" dataOnly="0" labelOnly="1" outline="0" axis="axisRow" fieldPosition="1"/>
    </format>
    <format dxfId="582">
      <pivotArea field="3" type="button" dataOnly="0" labelOnly="1" outline="0" axis="axisRow" fieldPosition="2"/>
    </format>
    <format dxfId="581">
      <pivotArea field="4" type="button" dataOnly="0" labelOnly="1" outline="0" axis="axisRow" fieldPosition="3"/>
    </format>
    <format dxfId="580">
      <pivotArea field="5" type="button" dataOnly="0" labelOnly="1" outline="0" axis="axisRow" fieldPosition="4"/>
    </format>
    <format dxfId="579">
      <pivotArea field="6" type="button" dataOnly="0" labelOnly="1" outline="0" axis="axisRow" fieldPosition="5"/>
    </format>
    <format dxfId="578">
      <pivotArea field="7" type="button" dataOnly="0" labelOnly="1" outline="0" axis="axisRow" fieldPosition="6"/>
    </format>
    <format dxfId="577">
      <pivotArea field="8" type="button" dataOnly="0" labelOnly="1" outline="0" axis="axisRow" fieldPosition="7"/>
    </format>
    <format dxfId="576">
      <pivotArea dataOnly="0" labelOnly="1" outline="0" fieldPosition="0">
        <references count="1">
          <reference field="0" count="0"/>
        </references>
      </pivotArea>
    </format>
    <format dxfId="575">
      <pivotArea dataOnly="0" labelOnly="1" outline="0" fieldPosition="0">
        <references count="2">
          <reference field="0" count="1" selected="0">
            <x v="0"/>
          </reference>
          <reference field="1" count="1">
            <x v="23"/>
          </reference>
        </references>
      </pivotArea>
    </format>
    <format dxfId="574">
      <pivotArea dataOnly="0" labelOnly="1" outline="0" fieldPosition="0">
        <references count="2">
          <reference field="0" count="1" selected="0">
            <x v="7"/>
          </reference>
          <reference field="1" count="1">
            <x v="8"/>
          </reference>
        </references>
      </pivotArea>
    </format>
    <format dxfId="573">
      <pivotArea dataOnly="0" labelOnly="1" outline="0" fieldPosition="0">
        <references count="2">
          <reference field="0" count="1" selected="0">
            <x v="12"/>
          </reference>
          <reference field="1" count="1">
            <x v="18"/>
          </reference>
        </references>
      </pivotArea>
    </format>
    <format dxfId="572">
      <pivotArea dataOnly="0" labelOnly="1" outline="0" fieldPosition="0">
        <references count="2">
          <reference field="0" count="1" selected="0">
            <x v="22"/>
          </reference>
          <reference field="1" count="1">
            <x v="17"/>
          </reference>
        </references>
      </pivotArea>
    </format>
    <format dxfId="571">
      <pivotArea dataOnly="0" labelOnly="1" outline="0" fieldPosition="0">
        <references count="2">
          <reference field="0" count="1" selected="0">
            <x v="28"/>
          </reference>
          <reference field="1" count="1">
            <x v="13"/>
          </reference>
        </references>
      </pivotArea>
    </format>
    <format dxfId="570">
      <pivotArea dataOnly="0" labelOnly="1" outline="0" fieldPosition="0">
        <references count="2">
          <reference field="0" count="1" selected="0">
            <x v="32"/>
          </reference>
          <reference field="1" count="1">
            <x v="7"/>
          </reference>
        </references>
      </pivotArea>
    </format>
    <format dxfId="569">
      <pivotArea dataOnly="0" labelOnly="1" outline="0" fieldPosition="0">
        <references count="2">
          <reference field="0" count="1" selected="0">
            <x v="38"/>
          </reference>
          <reference field="1" count="1">
            <x v="12"/>
          </reference>
        </references>
      </pivotArea>
    </format>
    <format dxfId="568">
      <pivotArea dataOnly="0" labelOnly="1" outline="0" fieldPosition="0">
        <references count="2">
          <reference field="0" count="1" selected="0">
            <x v="40"/>
          </reference>
          <reference field="1" count="1">
            <x v="0"/>
          </reference>
        </references>
      </pivotArea>
    </format>
    <format dxfId="567">
      <pivotArea dataOnly="0" labelOnly="1" outline="0" fieldPosition="0">
        <references count="2">
          <reference field="0" count="1" selected="0">
            <x v="45"/>
          </reference>
          <reference field="1" count="1">
            <x v="9"/>
          </reference>
        </references>
      </pivotArea>
    </format>
    <format dxfId="566">
      <pivotArea dataOnly="0" labelOnly="1" outline="0" fieldPosition="0">
        <references count="2">
          <reference field="0" count="1" selected="0">
            <x v="46"/>
          </reference>
          <reference field="1" count="1">
            <x v="4"/>
          </reference>
        </references>
      </pivotArea>
    </format>
    <format dxfId="565">
      <pivotArea dataOnly="0" labelOnly="1" outline="0" fieldPosition="0">
        <references count="2">
          <reference field="0" count="1" selected="0">
            <x v="47"/>
          </reference>
          <reference field="1" count="1">
            <x v="5"/>
          </reference>
        </references>
      </pivotArea>
    </format>
    <format dxfId="564">
      <pivotArea dataOnly="0" labelOnly="1" outline="0" fieldPosition="0">
        <references count="2">
          <reference field="0" count="1" selected="0">
            <x v="48"/>
          </reference>
          <reference field="1" count="1">
            <x v="20"/>
          </reference>
        </references>
      </pivotArea>
    </format>
    <format dxfId="563">
      <pivotArea dataOnly="0" labelOnly="1" outline="0" fieldPosition="0">
        <references count="2">
          <reference field="0" count="1" selected="0">
            <x v="49"/>
          </reference>
          <reference field="1" count="1">
            <x v="10"/>
          </reference>
        </references>
      </pivotArea>
    </format>
    <format dxfId="562">
      <pivotArea dataOnly="0" labelOnly="1" outline="0" fieldPosition="0">
        <references count="2">
          <reference field="0" count="1" selected="0">
            <x v="50"/>
          </reference>
          <reference field="1" count="1">
            <x v="14"/>
          </reference>
        </references>
      </pivotArea>
    </format>
    <format dxfId="561">
      <pivotArea dataOnly="0" labelOnly="1" outline="0" fieldPosition="0">
        <references count="2">
          <reference field="0" count="1" selected="0">
            <x v="51"/>
          </reference>
          <reference field="1" count="1">
            <x v="21"/>
          </reference>
        </references>
      </pivotArea>
    </format>
    <format dxfId="560">
      <pivotArea dataOnly="0" labelOnly="1" outline="0" fieldPosition="0">
        <references count="2">
          <reference field="0" count="1" selected="0">
            <x v="52"/>
          </reference>
          <reference field="1" count="1">
            <x v="11"/>
          </reference>
        </references>
      </pivotArea>
    </format>
    <format dxfId="559">
      <pivotArea dataOnly="0" labelOnly="1" outline="0" fieldPosition="0">
        <references count="2">
          <reference field="0" count="1" selected="0">
            <x v="53"/>
          </reference>
          <reference field="1" count="1">
            <x v="6"/>
          </reference>
        </references>
      </pivotArea>
    </format>
    <format dxfId="558">
      <pivotArea dataOnly="0" labelOnly="1" outline="0" fieldPosition="0">
        <references count="2">
          <reference field="0" count="1" selected="0">
            <x v="54"/>
          </reference>
          <reference field="1" count="1">
            <x v="1"/>
          </reference>
        </references>
      </pivotArea>
    </format>
    <format dxfId="557">
      <pivotArea dataOnly="0" labelOnly="1" outline="0" fieldPosition="0">
        <references count="2">
          <reference field="0" count="1" selected="0">
            <x v="55"/>
          </reference>
          <reference field="1" count="1">
            <x v="15"/>
          </reference>
        </references>
      </pivotArea>
    </format>
    <format dxfId="556">
      <pivotArea dataOnly="0" labelOnly="1" outline="0" fieldPosition="0">
        <references count="2">
          <reference field="0" count="1" selected="0">
            <x v="56"/>
          </reference>
          <reference field="1" count="1">
            <x v="16"/>
          </reference>
        </references>
      </pivotArea>
    </format>
    <format dxfId="555">
      <pivotArea dataOnly="0" labelOnly="1" outline="0" fieldPosition="0">
        <references count="2">
          <reference field="0" count="1" selected="0">
            <x v="57"/>
          </reference>
          <reference field="1" count="1">
            <x v="19"/>
          </reference>
        </references>
      </pivotArea>
    </format>
    <format dxfId="554">
      <pivotArea dataOnly="0" labelOnly="1" outline="0" fieldPosition="0">
        <references count="2">
          <reference field="0" count="1" selected="0">
            <x v="58"/>
          </reference>
          <reference field="1" count="1">
            <x v="2"/>
          </reference>
        </references>
      </pivotArea>
    </format>
    <format dxfId="553">
      <pivotArea dataOnly="0" labelOnly="1" outline="0" fieldPosition="0">
        <references count="2">
          <reference field="0" count="1" selected="0">
            <x v="59"/>
          </reference>
          <reference field="1" count="1">
            <x v="3"/>
          </reference>
        </references>
      </pivotArea>
    </format>
    <format dxfId="552">
      <pivotArea dataOnly="0" labelOnly="1" outline="0" fieldPosition="0">
        <references count="2">
          <reference field="0" count="1" selected="0">
            <x v="60"/>
          </reference>
          <reference field="1" count="1">
            <x v="22"/>
          </reference>
        </references>
      </pivotArea>
    </format>
    <format dxfId="551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"/>
          </reference>
          <reference field="3" count="1">
            <x v="10"/>
          </reference>
        </references>
      </pivotArea>
    </format>
    <format dxfId="550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8"/>
          </reference>
          <reference field="3" count="1">
            <x v="12"/>
          </reference>
        </references>
      </pivotArea>
    </format>
    <format dxfId="549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8"/>
          </reference>
          <reference field="3" count="1">
            <x v="0"/>
          </reference>
        </references>
      </pivotArea>
    </format>
    <format dxfId="548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17"/>
          </reference>
          <reference field="3" count="1">
            <x v="6"/>
          </reference>
        </references>
      </pivotArea>
    </format>
    <format dxfId="547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13"/>
          </reference>
          <reference field="3" count="1">
            <x v="5"/>
          </reference>
        </references>
      </pivotArea>
    </format>
    <format dxfId="546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7"/>
          </reference>
          <reference field="3" count="1">
            <x v="7"/>
          </reference>
        </references>
      </pivotArea>
    </format>
    <format dxfId="545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4"/>
          </reference>
          <reference field="3" count="1">
            <x v="0"/>
          </reference>
        </references>
      </pivotArea>
    </format>
    <format dxfId="544">
      <pivotArea dataOnly="0" labelOnly="1" outline="0" fieldPosition="0">
        <references count="3">
          <reference field="0" count="1" selected="0">
            <x v="47"/>
          </reference>
          <reference field="1" count="1" selected="0">
            <x v="5"/>
          </reference>
          <reference field="3" count="1">
            <x v="1"/>
          </reference>
        </references>
      </pivotArea>
    </format>
    <format dxfId="543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20"/>
          </reference>
          <reference field="3" count="1">
            <x v="8"/>
          </reference>
        </references>
      </pivotArea>
    </format>
    <format dxfId="542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14"/>
          </reference>
          <reference field="3" count="1">
            <x v="1"/>
          </reference>
        </references>
      </pivotArea>
    </format>
    <format dxfId="541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21"/>
          </reference>
          <reference field="3" count="1">
            <x v="4"/>
          </reference>
        </references>
      </pivotArea>
    </format>
    <format dxfId="540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11"/>
          </reference>
          <reference field="3" count="1">
            <x v="0"/>
          </reference>
        </references>
      </pivotArea>
    </format>
    <format dxfId="539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6"/>
          </reference>
          <reference field="3" count="1">
            <x v="7"/>
          </reference>
        </references>
      </pivotArea>
    </format>
    <format dxfId="538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1"/>
          </reference>
          <reference field="3" count="1">
            <x v="0"/>
          </reference>
        </references>
      </pivotArea>
    </format>
    <format dxfId="537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15"/>
          </reference>
          <reference field="3" count="1">
            <x v="7"/>
          </reference>
        </references>
      </pivotArea>
    </format>
    <format dxfId="536">
      <pivotArea dataOnly="0" labelOnly="1" outline="0" fieldPosition="0">
        <references count="3">
          <reference field="0" count="1" selected="0">
            <x v="56"/>
          </reference>
          <reference field="1" count="1" selected="0">
            <x v="16"/>
          </reference>
          <reference field="3" count="1">
            <x v="2"/>
          </reference>
        </references>
      </pivotArea>
    </format>
    <format dxfId="535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19"/>
          </reference>
          <reference field="3" count="1">
            <x v="7"/>
          </reference>
        </references>
      </pivotArea>
    </format>
    <format dxfId="534">
      <pivotArea dataOnly="0" labelOnly="1" outline="0" fieldPosition="0">
        <references count="3">
          <reference field="0" count="1" selected="0">
            <x v="58"/>
          </reference>
          <reference field="1" count="1" selected="0">
            <x v="2"/>
          </reference>
          <reference field="3" count="1">
            <x v="9"/>
          </reference>
        </references>
      </pivotArea>
    </format>
    <format dxfId="533">
      <pivotArea dataOnly="0" labelOnly="1" outline="0" fieldPosition="0">
        <references count="3">
          <reference field="0" count="1" selected="0">
            <x v="59"/>
          </reference>
          <reference field="1" count="1" selected="0">
            <x v="3"/>
          </reference>
          <reference field="3" count="1">
            <x v="3"/>
          </reference>
        </references>
      </pivotArea>
    </format>
    <format dxfId="532">
      <pivotArea dataOnly="0" labelOnly="1" outline="0" fieldPosition="0">
        <references count="3">
          <reference field="0" count="1" selected="0">
            <x v="60"/>
          </reference>
          <reference field="1" count="1" selected="0">
            <x v="22"/>
          </reference>
          <reference field="3" count="1">
            <x v="11"/>
          </reference>
        </references>
      </pivotArea>
    </format>
    <format dxfId="531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>
            <x v="5"/>
          </reference>
        </references>
      </pivotArea>
    </format>
    <format dxfId="530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>
            <x v="2"/>
          </reference>
        </references>
      </pivotArea>
    </format>
    <format dxfId="529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  <reference field="4" count="1">
            <x v="1"/>
          </reference>
        </references>
      </pivotArea>
    </format>
    <format dxfId="528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17"/>
          </reference>
          <reference field="3" count="1" selected="0">
            <x v="6"/>
          </reference>
          <reference field="4" count="1">
            <x v="0"/>
          </reference>
        </references>
      </pivotArea>
    </format>
    <format dxfId="527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13"/>
          </reference>
          <reference field="3" count="1" selected="0">
            <x v="5"/>
          </reference>
          <reference field="4" count="1">
            <x v="2"/>
          </reference>
        </references>
      </pivotArea>
    </format>
    <format dxfId="526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7"/>
          </reference>
          <reference field="3" count="1" selected="0">
            <x v="7"/>
          </reference>
          <reference field="4" count="1">
            <x v="3"/>
          </reference>
        </references>
      </pivotArea>
    </format>
    <format dxfId="525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12"/>
          </reference>
          <reference field="3" count="1" selected="0">
            <x v="7"/>
          </reference>
          <reference field="4" count="1">
            <x v="4"/>
          </reference>
        </references>
      </pivotArea>
    </format>
    <format dxfId="524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9"/>
          </reference>
          <reference field="3" count="1" selected="0">
            <x v="7"/>
          </reference>
          <reference field="4" count="1">
            <x v="5"/>
          </reference>
        </references>
      </pivotArea>
    </format>
    <format dxfId="523">
      <pivotArea dataOnly="0" labelOnly="1" outline="0" fieldPosition="0">
        <references count="4">
          <reference field="0" count="1" selected="0">
            <x v="46"/>
          </reference>
          <reference field="1" count="1" selected="0">
            <x v="4"/>
          </reference>
          <reference field="3" count="1" selected="0">
            <x v="0"/>
          </reference>
          <reference field="4" count="1">
            <x v="6"/>
          </reference>
        </references>
      </pivotArea>
    </format>
    <format dxfId="522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5"/>
          </reference>
          <reference field="3" count="1" selected="0">
            <x v="1"/>
          </reference>
          <reference field="4" count="1">
            <x v="7"/>
          </reference>
        </references>
      </pivotArea>
    </format>
    <format dxfId="521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10"/>
          </reference>
          <reference field="3" count="1" selected="0">
            <x v="8"/>
          </reference>
          <reference field="4" count="1">
            <x v="8"/>
          </reference>
        </references>
      </pivotArea>
    </format>
    <format dxfId="520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14"/>
          </reference>
          <reference field="3" count="1" selected="0">
            <x v="1"/>
          </reference>
          <reference field="4" count="1">
            <x v="9"/>
          </reference>
        </references>
      </pivotArea>
    </format>
    <format dxfId="519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21"/>
          </reference>
          <reference field="3" count="1" selected="0">
            <x v="4"/>
          </reference>
          <reference field="4" count="1">
            <x v="10"/>
          </reference>
        </references>
      </pivotArea>
    </format>
    <format dxfId="518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  <reference field="4" count="1">
            <x v="11"/>
          </reference>
        </references>
      </pivotArea>
    </format>
    <format dxfId="517">
      <pivotArea dataOnly="0" labelOnly="1" outline="0" fieldPosition="0">
        <references count="4">
          <reference field="0" count="1" selected="0">
            <x v="54"/>
          </reference>
          <reference field="1" count="1" selected="0">
            <x v="1"/>
          </reference>
          <reference field="3" count="1" selected="0">
            <x v="0"/>
          </reference>
          <reference field="4" count="1">
            <x v="12"/>
          </reference>
        </references>
      </pivotArea>
    </format>
    <format dxfId="516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15"/>
          </reference>
          <reference field="3" count="1" selected="0">
            <x v="7"/>
          </reference>
          <reference field="4" count="1">
            <x v="13"/>
          </reference>
        </references>
      </pivotArea>
    </format>
    <format dxfId="515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16"/>
          </reference>
          <reference field="3" count="1" selected="0">
            <x v="2"/>
          </reference>
          <reference field="4" count="1">
            <x v="14"/>
          </reference>
        </references>
      </pivotArea>
    </format>
    <format dxfId="514">
      <pivotArea dataOnly="0" labelOnly="1" outline="0" fieldPosition="0">
        <references count="4">
          <reference field="0" count="1" selected="0">
            <x v="57"/>
          </reference>
          <reference field="1" count="1" selected="0">
            <x v="19"/>
          </reference>
          <reference field="3" count="1" selected="0">
            <x v="7"/>
          </reference>
          <reference field="4" count="1">
            <x v="15"/>
          </reference>
        </references>
      </pivotArea>
    </format>
    <format dxfId="513">
      <pivotArea dataOnly="0" labelOnly="1" outline="0" fieldPosition="0">
        <references count="4">
          <reference field="0" count="1" selected="0">
            <x v="58"/>
          </reference>
          <reference field="1" count="1" selected="0">
            <x v="2"/>
          </reference>
          <reference field="3" count="1" selected="0">
            <x v="9"/>
          </reference>
          <reference field="4" count="1">
            <x v="16"/>
          </reference>
        </references>
      </pivotArea>
    </format>
    <format dxfId="512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3"/>
          </reference>
          <reference field="3" count="1" selected="0">
            <x v="3"/>
          </reference>
          <reference field="4" count="1">
            <x v="17"/>
          </reference>
        </references>
      </pivotArea>
    </format>
    <format dxfId="511">
      <pivotArea dataOnly="0" labelOnly="1" outline="0" fieldPosition="0">
        <references count="4">
          <reference field="0" count="1" selected="0">
            <x v="60"/>
          </reference>
          <reference field="1" count="1" selected="0">
            <x v="22"/>
          </reference>
          <reference field="3" count="1" selected="0">
            <x v="11"/>
          </reference>
          <reference field="4" count="1">
            <x v="18"/>
          </reference>
        </references>
      </pivotArea>
    </format>
    <format dxfId="510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5"/>
          </reference>
          <reference field="5" count="1">
            <x v="0"/>
          </reference>
        </references>
      </pivotArea>
    </format>
    <format dxfId="509">
      <pivotArea dataOnly="0" labelOnly="1" outline="0" fieldPosition="0">
        <references count="5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2"/>
          </reference>
          <reference field="5" count="1">
            <x v="1"/>
          </reference>
        </references>
      </pivotArea>
    </format>
    <format dxfId="508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  <reference field="4" count="1" selected="0">
            <x v="1"/>
          </reference>
          <reference field="5" count="1">
            <x v="2"/>
          </reference>
        </references>
      </pivotArea>
    </format>
    <format dxfId="507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17"/>
          </reference>
          <reference field="3" count="1" selected="0">
            <x v="6"/>
          </reference>
          <reference field="4" count="1" selected="0">
            <x v="0"/>
          </reference>
          <reference field="5" count="1">
            <x v="1"/>
          </reference>
        </references>
      </pivotArea>
    </format>
    <format dxfId="50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13"/>
          </reference>
          <reference field="3" count="1" selected="0">
            <x v="5"/>
          </reference>
          <reference field="4" count="1" selected="0">
            <x v="2"/>
          </reference>
          <reference field="5" count="1">
            <x v="3"/>
          </reference>
        </references>
      </pivotArea>
    </format>
    <format dxfId="505">
      <pivotArea dataOnly="0" labelOnly="1" outline="0" fieldPosition="0">
        <references count="5">
          <reference field="0" count="1" selected="0">
            <x v="38"/>
          </reference>
          <reference field="1" count="1" selected="0">
            <x v="12"/>
          </reference>
          <reference field="3" count="1" selected="0">
            <x v="7"/>
          </reference>
          <reference field="4" count="1" selected="0">
            <x v="4"/>
          </reference>
          <reference field="5" count="1">
            <x v="1"/>
          </reference>
        </references>
      </pivotArea>
    </format>
    <format dxfId="50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0"/>
          </reference>
          <reference field="3" count="1" selected="0">
            <x v="7"/>
          </reference>
          <reference field="4" count="1" selected="0">
            <x v="4"/>
          </reference>
          <reference field="5" count="1">
            <x v="3"/>
          </reference>
        </references>
      </pivotArea>
    </format>
    <format dxfId="503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9"/>
          </reference>
          <reference field="3" count="1" selected="0">
            <x v="7"/>
          </reference>
          <reference field="4" count="1" selected="0">
            <x v="5"/>
          </reference>
          <reference field="5" count="1">
            <x v="1"/>
          </reference>
        </references>
      </pivotArea>
    </format>
    <format dxfId="502">
      <pivotArea dataOnly="0" labelOnly="1" outline="0" fieldPosition="0">
        <references count="5">
          <reference field="0" count="1" selected="0">
            <x v="46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>
            <x v="3"/>
          </reference>
        </references>
      </pivotArea>
    </format>
    <format dxfId="501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7"/>
          </reference>
          <reference field="5" count="1">
            <x v="2"/>
          </reference>
        </references>
      </pivotArea>
    </format>
    <format dxfId="500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10"/>
          </reference>
          <reference field="3" count="1" selected="0">
            <x v="8"/>
          </reference>
          <reference field="4" count="1" selected="0">
            <x v="8"/>
          </reference>
          <reference field="5" count="1">
            <x v="0"/>
          </reference>
        </references>
      </pivotArea>
    </format>
    <format dxfId="499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14"/>
          </reference>
          <reference field="3" count="1" selected="0">
            <x v="1"/>
          </reference>
          <reference field="4" count="1" selected="0">
            <x v="9"/>
          </reference>
          <reference field="5" count="1">
            <x v="2"/>
          </reference>
        </references>
      </pivotArea>
    </format>
    <format dxfId="498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21"/>
          </reference>
          <reference field="3" count="1" selected="0">
            <x v="4"/>
          </reference>
          <reference field="4" count="1" selected="0">
            <x v="10"/>
          </reference>
          <reference field="5" count="1">
            <x v="4"/>
          </reference>
        </references>
      </pivotArea>
    </format>
    <format dxfId="497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  <reference field="4" count="1" selected="0">
            <x v="11"/>
          </reference>
          <reference field="5" count="1">
            <x v="1"/>
          </reference>
        </references>
      </pivotArea>
    </format>
    <format dxfId="496">
      <pivotArea dataOnly="0" labelOnly="1" outline="0" fieldPosition="0">
        <references count="5">
          <reference field="0" count="1" selected="0">
            <x v="55"/>
          </reference>
          <reference field="1" count="1" selected="0">
            <x v="15"/>
          </reference>
          <reference field="3" count="1" selected="0">
            <x v="7"/>
          </reference>
          <reference field="4" count="1" selected="0">
            <x v="13"/>
          </reference>
          <reference field="5" count="1">
            <x v="3"/>
          </reference>
        </references>
      </pivotArea>
    </format>
    <format dxfId="495">
      <pivotArea dataOnly="0" labelOnly="1" outline="0" fieldPosition="0">
        <references count="5">
          <reference field="0" count="1" selected="0">
            <x v="56"/>
          </reference>
          <reference field="1" count="1" selected="0">
            <x v="16"/>
          </reference>
          <reference field="3" count="1" selected="0">
            <x v="2"/>
          </reference>
          <reference field="4" count="1" selected="0">
            <x v="14"/>
          </reference>
          <reference field="5" count="1">
            <x v="1"/>
          </reference>
        </references>
      </pivotArea>
    </format>
    <format dxfId="494">
      <pivotArea dataOnly="0" labelOnly="1" outline="0" fieldPosition="0">
        <references count="5">
          <reference field="0" count="1" selected="0">
            <x v="57"/>
          </reference>
          <reference field="1" count="1" selected="0">
            <x v="19"/>
          </reference>
          <reference field="3" count="1" selected="0">
            <x v="7"/>
          </reference>
          <reference field="4" count="1" selected="0">
            <x v="15"/>
          </reference>
          <reference field="5" count="1">
            <x v="5"/>
          </reference>
        </references>
      </pivotArea>
    </format>
    <format dxfId="493">
      <pivotArea dataOnly="0" labelOnly="1" outline="0" fieldPosition="0">
        <references count="5">
          <reference field="0" count="1" selected="0">
            <x v="58"/>
          </reference>
          <reference field="1" count="1" selected="0">
            <x v="2"/>
          </reference>
          <reference field="3" count="1" selected="0">
            <x v="9"/>
          </reference>
          <reference field="4" count="1" selected="0">
            <x v="16"/>
          </reference>
          <reference field="5" count="1">
            <x v="1"/>
          </reference>
        </references>
      </pivotArea>
    </format>
    <format dxfId="492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22"/>
          </reference>
          <reference field="3" count="1" selected="0">
            <x v="11"/>
          </reference>
          <reference field="4" count="1" selected="0">
            <x v="18"/>
          </reference>
          <reference field="5" count="1">
            <x v="5"/>
          </reference>
        </references>
      </pivotArea>
    </format>
    <format dxfId="491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5"/>
          </reference>
          <reference field="5" count="1" selected="0">
            <x v="0"/>
          </reference>
          <reference field="6" count="1">
            <x v="18"/>
          </reference>
        </references>
      </pivotArea>
    </format>
    <format dxfId="490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2"/>
          </reference>
          <reference field="5" count="1" selected="0">
            <x v="1"/>
          </reference>
          <reference field="6" count="1">
            <x v="3"/>
          </reference>
        </references>
      </pivotArea>
    </format>
    <format dxfId="489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  <reference field="6" count="1">
            <x v="2"/>
          </reference>
        </references>
      </pivotArea>
    </format>
    <format dxfId="488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17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1"/>
          </reference>
          <reference field="6" count="1">
            <x v="1"/>
          </reference>
        </references>
      </pivotArea>
    </format>
    <format dxfId="487">
      <pivotArea dataOnly="0" labelOnly="1" outline="0" fieldPosition="0">
        <references count="6">
          <reference field="0" count="1" selected="0">
            <x v="28"/>
          </reference>
          <reference field="1" count="1" selected="0">
            <x v="13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3"/>
          </reference>
          <reference field="6" count="1">
            <x v="0"/>
          </reference>
        </references>
      </pivotArea>
    </format>
    <format dxfId="486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7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3"/>
          </reference>
          <reference field="6" count="1">
            <x v="3"/>
          </reference>
        </references>
      </pivotArea>
    </format>
    <format dxfId="485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12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1"/>
          </reference>
          <reference field="6" count="1">
            <x v="4"/>
          </reference>
        </references>
      </pivotArea>
    </format>
    <format dxfId="484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0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3"/>
          </reference>
          <reference field="6" count="1">
            <x v="5"/>
          </reference>
        </references>
      </pivotArea>
    </format>
    <format dxfId="483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9"/>
          </reference>
          <reference field="3" count="1" selected="0">
            <x v="7"/>
          </reference>
          <reference field="4" count="1" selected="0">
            <x v="5"/>
          </reference>
          <reference field="5" count="1" selected="0">
            <x v="1"/>
          </reference>
          <reference field="6" count="1">
            <x v="6"/>
          </reference>
        </references>
      </pivotArea>
    </format>
    <format dxfId="482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2"/>
          </reference>
          <reference field="6" count="1">
            <x v="7"/>
          </reference>
        </references>
      </pivotArea>
    </format>
    <format dxfId="481">
      <pivotArea dataOnly="0" labelOnly="1" outline="0" fieldPosition="0">
        <references count="6">
          <reference field="0" count="1" selected="0">
            <x v="49"/>
          </reference>
          <reference field="1" count="1" selected="0">
            <x v="10"/>
          </reference>
          <reference field="3" count="1" selected="0">
            <x v="8"/>
          </reference>
          <reference field="4" count="1" selected="0">
            <x v="8"/>
          </reference>
          <reference field="5" count="1" selected="0">
            <x v="0"/>
          </reference>
          <reference field="6" count="1">
            <x v="8"/>
          </reference>
        </references>
      </pivotArea>
    </format>
    <format dxfId="480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14"/>
          </reference>
          <reference field="3" count="1" selected="0">
            <x v="1"/>
          </reference>
          <reference field="4" count="1" selected="0">
            <x v="9"/>
          </reference>
          <reference field="5" count="1" selected="0">
            <x v="2"/>
          </reference>
          <reference field="6" count="1">
            <x v="9"/>
          </reference>
        </references>
      </pivotArea>
    </format>
    <format dxfId="479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21"/>
          </reference>
          <reference field="3" count="1" selected="0">
            <x v="4"/>
          </reference>
          <reference field="4" count="1" selected="0">
            <x v="10"/>
          </reference>
          <reference field="5" count="1" selected="0">
            <x v="4"/>
          </reference>
          <reference field="6" count="1">
            <x v="10"/>
          </reference>
        </references>
      </pivotArea>
    </format>
    <format dxfId="478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  <reference field="4" count="1" selected="0">
            <x v="11"/>
          </reference>
          <reference field="5" count="1" selected="0">
            <x v="1"/>
          </reference>
          <reference field="6" count="1">
            <x v="11"/>
          </reference>
        </references>
      </pivotArea>
    </format>
    <format dxfId="477">
      <pivotArea dataOnly="0" labelOnly="1" outline="0" fieldPosition="0">
        <references count="6">
          <reference field="0" count="1" selected="0">
            <x v="54"/>
          </reference>
          <reference field="1" count="1" selected="0">
            <x v="1"/>
          </reference>
          <reference field="3" count="1" selected="0">
            <x v="0"/>
          </reference>
          <reference field="4" count="1" selected="0">
            <x v="12"/>
          </reference>
          <reference field="5" count="1" selected="0">
            <x v="1"/>
          </reference>
          <reference field="6" count="1">
            <x v="12"/>
          </reference>
        </references>
      </pivotArea>
    </format>
    <format dxfId="476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16"/>
          </reference>
          <reference field="3" count="1" selected="0">
            <x v="2"/>
          </reference>
          <reference field="4" count="1" selected="0">
            <x v="14"/>
          </reference>
          <reference field="5" count="1" selected="0">
            <x v="1"/>
          </reference>
          <reference field="6" count="1">
            <x v="13"/>
          </reference>
        </references>
      </pivotArea>
    </format>
    <format dxfId="475">
      <pivotArea dataOnly="0" labelOnly="1" outline="0" fieldPosition="0">
        <references count="6">
          <reference field="0" count="1" selected="0">
            <x v="58"/>
          </reference>
          <reference field="1" count="1" selected="0">
            <x v="2"/>
          </reference>
          <reference field="3" count="1" selected="0">
            <x v="9"/>
          </reference>
          <reference field="4" count="1" selected="0">
            <x v="16"/>
          </reference>
          <reference field="5" count="1" selected="0">
            <x v="1"/>
          </reference>
          <reference field="6" count="1">
            <x v="14"/>
          </reference>
        </references>
      </pivotArea>
    </format>
    <format dxfId="474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3"/>
          </reference>
          <reference field="3" count="1" selected="0">
            <x v="3"/>
          </reference>
          <reference field="4" count="1" selected="0">
            <x v="17"/>
          </reference>
          <reference field="5" count="1" selected="0">
            <x v="1"/>
          </reference>
          <reference field="6" count="1">
            <x v="15"/>
          </reference>
        </references>
      </pivotArea>
    </format>
    <format dxfId="473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22"/>
          </reference>
          <reference field="3" count="1" selected="0">
            <x v="11"/>
          </reference>
          <reference field="4" count="1" selected="0">
            <x v="18"/>
          </reference>
          <reference field="5" count="1" selected="0">
            <x v="5"/>
          </reference>
          <reference field="6" count="1">
            <x v="16"/>
          </reference>
        </references>
      </pivotArea>
    </format>
    <format dxfId="472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5"/>
          </reference>
          <reference field="5" count="1" selected="0">
            <x v="0"/>
          </reference>
          <reference field="6" count="1" selected="0">
            <x v="18"/>
          </reference>
          <reference field="7" count="1">
            <x v="3"/>
          </reference>
        </references>
      </pivotArea>
    </format>
    <format dxfId="471">
      <pivotArea dataOnly="0" labelOnly="1" outline="0" fieldPosition="0">
        <references count="7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3"/>
          </reference>
          <reference field="7" count="1">
            <x v="4"/>
          </reference>
        </references>
      </pivotArea>
    </format>
    <format dxfId="470">
      <pivotArea dataOnly="0" labelOnly="1" outline="0" fieldPosition="0">
        <references count="7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>
            <x v="1"/>
          </reference>
        </references>
      </pivotArea>
    </format>
    <format dxfId="469">
      <pivotArea dataOnly="0" labelOnly="1" outline="0" fieldPosition="0">
        <references count="7">
          <reference field="0" count="1" selected="0">
            <x v="22"/>
          </reference>
          <reference field="1" count="1" selected="0">
            <x v="17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1">
            <x v="0"/>
          </reference>
        </references>
      </pivotArea>
    </format>
    <format dxfId="468">
      <pivotArea dataOnly="0" labelOnly="1" outline="0" fieldPosition="0">
        <references count="7">
          <reference field="0" count="1" selected="0">
            <x v="32"/>
          </reference>
          <reference field="1" count="1" selected="0">
            <x v="7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3"/>
          </reference>
          <reference field="7" count="1">
            <x v="2"/>
          </reference>
        </references>
      </pivotArea>
    </format>
    <format dxfId="467">
      <pivotArea dataOnly="0" labelOnly="1" outline="0" fieldPosition="0">
        <references count="7">
          <reference field="0" count="1" selected="0">
            <x v="38"/>
          </reference>
          <reference field="1" count="1" selected="0">
            <x v="12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4"/>
          </reference>
          <reference field="7" count="1">
            <x v="1"/>
          </reference>
        </references>
      </pivotArea>
    </format>
    <format dxfId="466">
      <pivotArea dataOnly="0" labelOnly="1" outline="0" fieldPosition="0">
        <references count="7">
          <reference field="0" count="1" selected="0">
            <x v="40"/>
          </reference>
          <reference field="1" count="1" selected="0">
            <x v="0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5"/>
          </reference>
          <reference field="7" count="1">
            <x v="2"/>
          </reference>
        </references>
      </pivotArea>
    </format>
    <format dxfId="465">
      <pivotArea dataOnly="0" labelOnly="1" outline="0" fieldPosition="0">
        <references count="7">
          <reference field="0" count="1" selected="0">
            <x v="45"/>
          </reference>
          <reference field="1" count="1" selected="0">
            <x v="9"/>
          </reference>
          <reference field="3" count="1" selected="0">
            <x v="7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6"/>
          </reference>
          <reference field="7" count="1">
            <x v="0"/>
          </reference>
        </references>
      </pivotArea>
    </format>
    <format dxfId="464">
      <pivotArea dataOnly="0" labelOnly="1" outline="0" fieldPosition="0">
        <references count="7">
          <reference field="0" count="1" selected="0">
            <x v="46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3"/>
          </reference>
          <reference field="6" count="1" selected="0">
            <x v="6"/>
          </reference>
          <reference field="7" count="1">
            <x v="2"/>
          </reference>
        </references>
      </pivotArea>
    </format>
    <format dxfId="463">
      <pivotArea dataOnly="0" labelOnly="1" outline="0" fieldPosition="0">
        <references count="7">
          <reference field="0" count="1" selected="0">
            <x v="47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2"/>
          </reference>
          <reference field="6" count="1" selected="0">
            <x v="7"/>
          </reference>
          <reference field="7" count="1">
            <x v="4"/>
          </reference>
        </references>
      </pivotArea>
    </format>
    <format dxfId="462">
      <pivotArea dataOnly="0" labelOnly="1" outline="0" fieldPosition="0">
        <references count="7">
          <reference field="0" count="1" selected="0">
            <x v="48"/>
          </reference>
          <reference field="1" count="1" selected="0">
            <x v="20"/>
          </reference>
          <reference field="3" count="1" selected="0">
            <x v="8"/>
          </reference>
          <reference field="4" count="1" selected="0">
            <x v="7"/>
          </reference>
          <reference field="5" count="1" selected="0">
            <x v="2"/>
          </reference>
          <reference field="6" count="1" selected="0">
            <x v="7"/>
          </reference>
          <reference field="7" count="1">
            <x v="2"/>
          </reference>
        </references>
      </pivotArea>
    </format>
    <format dxfId="461">
      <pivotArea dataOnly="0" labelOnly="1" outline="0" fieldPosition="0">
        <references count="7">
          <reference field="0" count="1" selected="0">
            <x v="49"/>
          </reference>
          <reference field="1" count="1" selected="0">
            <x v="10"/>
          </reference>
          <reference field="3" count="1" selected="0">
            <x v="8"/>
          </reference>
          <reference field="4" count="1" selected="0">
            <x v="8"/>
          </reference>
          <reference field="5" count="1" selected="0">
            <x v="0"/>
          </reference>
          <reference field="6" count="1" selected="0">
            <x v="8"/>
          </reference>
          <reference field="7" count="1">
            <x v="4"/>
          </reference>
        </references>
      </pivotArea>
    </format>
    <format dxfId="460">
      <pivotArea dataOnly="0" labelOnly="1" outline="0" fieldPosition="0">
        <references count="7">
          <reference field="0" count="1" selected="0">
            <x v="50"/>
          </reference>
          <reference field="1" count="1" selected="0">
            <x v="14"/>
          </reference>
          <reference field="3" count="1" selected="0">
            <x v="1"/>
          </reference>
          <reference field="4" count="1" selected="0">
            <x v="9"/>
          </reference>
          <reference field="5" count="1" selected="0">
            <x v="2"/>
          </reference>
          <reference field="6" count="1" selected="0">
            <x v="9"/>
          </reference>
          <reference field="7" count="1">
            <x v="3"/>
          </reference>
        </references>
      </pivotArea>
    </format>
    <format dxfId="459">
      <pivotArea dataOnly="0" labelOnly="1" outline="0" fieldPosition="0">
        <references count="7">
          <reference field="0" count="1" selected="0">
            <x v="51"/>
          </reference>
          <reference field="1" count="1" selected="0">
            <x v="21"/>
          </reference>
          <reference field="3" count="1" selected="0">
            <x v="4"/>
          </reference>
          <reference field="4" count="1" selected="0">
            <x v="10"/>
          </reference>
          <reference field="5" count="1" selected="0">
            <x v="4"/>
          </reference>
          <reference field="6" count="1" selected="0">
            <x v="10"/>
          </reference>
          <reference field="7" count="1">
            <x v="4"/>
          </reference>
        </references>
      </pivotArea>
    </format>
    <format dxfId="458">
      <pivotArea dataOnly="0" labelOnly="1" outline="0" fieldPosition="0">
        <references count="7"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  <reference field="4" count="1" selected="0">
            <x v="11"/>
          </reference>
          <reference field="5" count="1" selected="0">
            <x v="1"/>
          </reference>
          <reference field="6" count="1" selected="0">
            <x v="11"/>
          </reference>
          <reference field="7" count="1">
            <x v="1"/>
          </reference>
        </references>
      </pivotArea>
    </format>
    <format dxfId="457">
      <pivotArea dataOnly="0" labelOnly="1" outline="0" fieldPosition="0">
        <references count="7">
          <reference field="0" count="1" selected="0">
            <x v="53"/>
          </reference>
          <reference field="1" count="1" selected="0">
            <x v="6"/>
          </reference>
          <reference field="3" count="1" selected="0">
            <x v="7"/>
          </reference>
          <reference field="4" count="1" selected="0">
            <x v="11"/>
          </reference>
          <reference field="5" count="1" selected="0">
            <x v="1"/>
          </reference>
          <reference field="6" count="1" selected="0">
            <x v="11"/>
          </reference>
          <reference field="7" count="1">
            <x v="2"/>
          </reference>
        </references>
      </pivotArea>
    </format>
    <format dxfId="456">
      <pivotArea dataOnly="0" labelOnly="1" outline="0" fieldPosition="0">
        <references count="7">
          <reference field="0" count="1" selected="0">
            <x v="56"/>
          </reference>
          <reference field="1" count="1" selected="0">
            <x v="16"/>
          </reference>
          <reference field="3" count="1" selected="0">
            <x v="2"/>
          </reference>
          <reference field="4" count="1" selected="0">
            <x v="14"/>
          </reference>
          <reference field="5" count="1" selected="0">
            <x v="1"/>
          </reference>
          <reference field="6" count="1" selected="0">
            <x v="13"/>
          </reference>
          <reference field="7" count="1">
            <x v="1"/>
          </reference>
        </references>
      </pivotArea>
    </format>
    <format dxfId="455">
      <pivotArea dataOnly="0" labelOnly="1" outline="0" fieldPosition="0">
        <references count="7">
          <reference field="0" count="1" selected="0">
            <x v="57"/>
          </reference>
          <reference field="1" count="1" selected="0">
            <x v="19"/>
          </reference>
          <reference field="3" count="1" selected="0">
            <x v="7"/>
          </reference>
          <reference field="4" count="1" selected="0">
            <x v="15"/>
          </reference>
          <reference field="5" count="1" selected="0">
            <x v="5"/>
          </reference>
          <reference field="6" count="1" selected="0">
            <x v="13"/>
          </reference>
          <reference field="7" count="1">
            <x v="2"/>
          </reference>
        </references>
      </pivotArea>
    </format>
    <format dxfId="454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0"/>
          </reference>
          <reference field="4" count="1" selected="0">
            <x v="5"/>
          </reference>
          <reference field="5" count="1" selected="0">
            <x v="0"/>
          </reference>
          <reference field="6" count="1" selected="0">
            <x v="18"/>
          </reference>
          <reference field="7" count="1" selected="0">
            <x v="3"/>
          </reference>
          <reference field="8" count="1">
            <x v="3"/>
          </reference>
        </references>
      </pivotArea>
    </format>
    <format dxfId="453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8"/>
          </reference>
          <reference field="3" count="1" selected="0">
            <x v="12"/>
          </reference>
          <reference field="4" count="1" selected="0">
            <x v="2"/>
          </reference>
          <reference field="5" count="1" selected="0">
            <x v="1"/>
          </reference>
          <reference field="6" count="1" selected="0">
            <x v="3"/>
          </reference>
          <reference field="7" count="1" selected="0">
            <x v="4"/>
          </reference>
          <reference field="8" count="1">
            <x v="3"/>
          </reference>
        </references>
      </pivotArea>
    </format>
    <format dxfId="452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0"/>
          </reference>
          <reference field="4" count="1" selected="0">
            <x v="1"/>
          </reference>
          <reference field="5" count="1" selected="0">
            <x v="2"/>
          </reference>
          <reference field="6" count="1" selected="0">
            <x v="2"/>
          </reference>
          <reference field="7" count="1" selected="0">
            <x v="1"/>
          </reference>
          <reference field="8" count="1">
            <x v="4"/>
          </reference>
        </references>
      </pivotArea>
    </format>
    <format dxfId="451">
      <pivotArea dataOnly="0" labelOnly="1" outline="0" fieldPosition="0">
        <references count="8">
          <reference field="0" count="1" selected="0">
            <x v="22"/>
          </reference>
          <reference field="1" count="1" selected="0">
            <x v="17"/>
          </reference>
          <reference field="3" count="1" selected="0">
            <x v="6"/>
          </reference>
          <reference field="4" count="1" selected="0">
            <x v="0"/>
          </reference>
          <reference field="5" count="1" selected="0">
            <x v="1"/>
          </reference>
          <reference field="6" count="1" selected="0">
            <x v="1"/>
          </reference>
          <reference field="7" count="1" selected="0">
            <x v="0"/>
          </reference>
          <reference field="8" count="1">
            <x v="5"/>
          </reference>
        </references>
      </pivotArea>
    </format>
    <format dxfId="450">
      <pivotArea dataOnly="0" labelOnly="1" outline="0" fieldPosition="0">
        <references count="8">
          <reference field="0" count="1" selected="0">
            <x v="28"/>
          </reference>
          <reference field="1" count="1" selected="0">
            <x v="13"/>
          </reference>
          <reference field="3" count="1" selected="0">
            <x v="5"/>
          </reference>
          <reference field="4" count="1" selected="0">
            <x v="2"/>
          </reference>
          <reference field="5" count="1" selected="0">
            <x v="3"/>
          </reference>
          <reference field="6" count="1" selected="0">
            <x v="0"/>
          </reference>
          <reference field="7" count="1" selected="0">
            <x v="0"/>
          </reference>
          <reference field="8" count="1">
            <x v="3"/>
          </reference>
        </references>
      </pivotArea>
    </format>
    <format dxfId="449">
      <pivotArea dataOnly="0" labelOnly="1" outline="0" fieldPosition="0">
        <references count="8">
          <reference field="0" count="1" selected="0">
            <x v="32"/>
          </reference>
          <reference field="1" count="1" selected="0">
            <x v="7"/>
          </reference>
          <reference field="3" count="1" selected="0">
            <x v="7"/>
          </reference>
          <reference field="4" count="1" selected="0">
            <x v="3"/>
          </reference>
          <reference field="5" count="1" selected="0">
            <x v="3"/>
          </reference>
          <reference field="6" count="1" selected="0">
            <x v="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48">
      <pivotArea dataOnly="0" labelOnly="1" outline="0" fieldPosition="0">
        <references count="8">
          <reference field="0" count="1" selected="0">
            <x v="38"/>
          </reference>
          <reference field="1" count="1" selected="0">
            <x v="12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1"/>
          </reference>
          <reference field="6" count="1" selected="0">
            <x v="4"/>
          </reference>
          <reference field="7" count="1" selected="0">
            <x v="1"/>
          </reference>
          <reference field="8" count="1">
            <x v="2"/>
          </reference>
        </references>
      </pivotArea>
    </format>
    <format dxfId="447">
      <pivotArea dataOnly="0" labelOnly="1" outline="0" fieldPosition="0">
        <references count="8">
          <reference field="0" count="1" selected="0">
            <x v="40"/>
          </reference>
          <reference field="1" count="1" selected="0">
            <x v="0"/>
          </reference>
          <reference field="3" count="1" selected="0">
            <x v="7"/>
          </reference>
          <reference field="4" count="1" selected="0">
            <x v="4"/>
          </reference>
          <reference field="5" count="1" selected="0">
            <x v="3"/>
          </reference>
          <reference field="6" count="1" selected="0">
            <x v="5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46">
      <pivotArea dataOnly="0" labelOnly="1" outline="0" fieldPosition="0">
        <references count="8">
          <reference field="0" count="1" selected="0">
            <x v="45"/>
          </reference>
          <reference field="1" count="1" selected="0">
            <x v="9"/>
          </reference>
          <reference field="3" count="1" selected="0">
            <x v="7"/>
          </reference>
          <reference field="4" count="1" selected="0">
            <x v="5"/>
          </reference>
          <reference field="5" count="1" selected="0">
            <x v="1"/>
          </reference>
          <reference field="6" count="1" selected="0">
            <x v="6"/>
          </reference>
          <reference field="7" count="1" selected="0">
            <x v="0"/>
          </reference>
          <reference field="8" count="1">
            <x v="5"/>
          </reference>
        </references>
      </pivotArea>
    </format>
    <format dxfId="445">
      <pivotArea dataOnly="0" labelOnly="1" outline="0" fieldPosition="0">
        <references count="8">
          <reference field="0" count="1" selected="0">
            <x v="46"/>
          </reference>
          <reference field="1" count="1" selected="0">
            <x v="4"/>
          </reference>
          <reference field="3" count="1" selected="0">
            <x v="0"/>
          </reference>
          <reference field="4" count="1" selected="0">
            <x v="6"/>
          </reference>
          <reference field="5" count="1" selected="0">
            <x v="3"/>
          </reference>
          <reference field="6" count="1" selected="0">
            <x v="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44">
      <pivotArea dataOnly="0" labelOnly="1" outline="0" fieldPosition="0">
        <references count="8">
          <reference field="0" count="1" selected="0">
            <x v="47"/>
          </reference>
          <reference field="1" count="1" selected="0">
            <x v="5"/>
          </reference>
          <reference field="3" count="1" selected="0">
            <x v="1"/>
          </reference>
          <reference field="4" count="1" selected="0">
            <x v="7"/>
          </reference>
          <reference field="5" count="1" selected="0">
            <x v="2"/>
          </reference>
          <reference field="6" count="1" selected="0">
            <x v="7"/>
          </reference>
          <reference field="7" count="1" selected="0">
            <x v="4"/>
          </reference>
          <reference field="8" count="1">
            <x v="6"/>
          </reference>
        </references>
      </pivotArea>
    </format>
    <format dxfId="443">
      <pivotArea dataOnly="0" labelOnly="1" outline="0" fieldPosition="0">
        <references count="8">
          <reference field="0" count="1" selected="0">
            <x v="48"/>
          </reference>
          <reference field="1" count="1" selected="0">
            <x v="20"/>
          </reference>
          <reference field="3" count="1" selected="0">
            <x v="8"/>
          </reference>
          <reference field="4" count="1" selected="0">
            <x v="7"/>
          </reference>
          <reference field="5" count="1" selected="0">
            <x v="2"/>
          </reference>
          <reference field="6" count="1" selected="0">
            <x v="7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42">
      <pivotArea dataOnly="0" labelOnly="1" outline="0" fieldPosition="0">
        <references count="8">
          <reference field="0" count="1" selected="0">
            <x v="49"/>
          </reference>
          <reference field="1" count="1" selected="0">
            <x v="10"/>
          </reference>
          <reference field="3" count="1" selected="0">
            <x v="8"/>
          </reference>
          <reference field="4" count="1" selected="0">
            <x v="8"/>
          </reference>
          <reference field="5" count="1" selected="0">
            <x v="0"/>
          </reference>
          <reference field="6" count="1" selected="0">
            <x v="8"/>
          </reference>
          <reference field="7" count="1" selected="0">
            <x v="4"/>
          </reference>
          <reference field="8" count="1">
            <x v="7"/>
          </reference>
        </references>
      </pivotArea>
    </format>
    <format dxfId="441">
      <pivotArea dataOnly="0" labelOnly="1" outline="0" fieldPosition="0">
        <references count="8">
          <reference field="0" count="1" selected="0">
            <x v="50"/>
          </reference>
          <reference field="1" count="1" selected="0">
            <x v="14"/>
          </reference>
          <reference field="3" count="1" selected="0">
            <x v="1"/>
          </reference>
          <reference field="4" count="1" selected="0">
            <x v="9"/>
          </reference>
          <reference field="5" count="1" selected="0">
            <x v="2"/>
          </reference>
          <reference field="6" count="1" selected="0">
            <x v="9"/>
          </reference>
          <reference field="7" count="1" selected="0">
            <x v="3"/>
          </reference>
          <reference field="8" count="1">
            <x v="8"/>
          </reference>
        </references>
      </pivotArea>
    </format>
    <format dxfId="440">
      <pivotArea dataOnly="0" labelOnly="1" outline="0" fieldPosition="0">
        <references count="8">
          <reference field="0" count="1" selected="0">
            <x v="51"/>
          </reference>
          <reference field="1" count="1" selected="0">
            <x v="21"/>
          </reference>
          <reference field="3" count="1" selected="0">
            <x v="4"/>
          </reference>
          <reference field="4" count="1" selected="0">
            <x v="10"/>
          </reference>
          <reference field="5" count="1" selected="0">
            <x v="4"/>
          </reference>
          <reference field="6" count="1" selected="0">
            <x v="10"/>
          </reference>
          <reference field="7" count="1" selected="0">
            <x v="4"/>
          </reference>
          <reference field="8" count="1">
            <x v="9"/>
          </reference>
        </references>
      </pivotArea>
    </format>
    <format dxfId="439">
      <pivotArea dataOnly="0" labelOnly="1" outline="0" fieldPosition="0">
        <references count="8">
          <reference field="0" count="1" selected="0">
            <x v="52"/>
          </reference>
          <reference field="1" count="1" selected="0">
            <x v="11"/>
          </reference>
          <reference field="3" count="1" selected="0">
            <x v="0"/>
          </reference>
          <reference field="4" count="1" selected="0">
            <x v="11"/>
          </reference>
          <reference field="5" count="1" selected="0">
            <x v="1"/>
          </reference>
          <reference field="6" count="1" selected="0">
            <x v="11"/>
          </reference>
          <reference field="7" count="1" selected="0">
            <x v="1"/>
          </reference>
          <reference field="8" count="1">
            <x v="2"/>
          </reference>
        </references>
      </pivotArea>
    </format>
    <format dxfId="438">
      <pivotArea dataOnly="0" labelOnly="1" outline="0" fieldPosition="0">
        <references count="8">
          <reference field="0" count="1" selected="0">
            <x v="53"/>
          </reference>
          <reference field="1" count="1" selected="0">
            <x v="6"/>
          </reference>
          <reference field="3" count="1" selected="0">
            <x v="7"/>
          </reference>
          <reference field="4" count="1" selected="0">
            <x v="11"/>
          </reference>
          <reference field="5" count="1" selected="0">
            <x v="1"/>
          </reference>
          <reference field="6" count="1" selected="0">
            <x v="11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7">
      <pivotArea dataOnly="0" labelOnly="1" outline="0" fieldPosition="0">
        <references count="8">
          <reference field="0" count="1" selected="0">
            <x v="54"/>
          </reference>
          <reference field="1" count="1" selected="0">
            <x v="1"/>
          </reference>
          <reference field="3" count="1" selected="0">
            <x v="0"/>
          </reference>
          <reference field="4" count="1" selected="0">
            <x v="12"/>
          </reference>
          <reference field="5" count="1" selected="0">
            <x v="1"/>
          </reference>
          <reference field="6" count="1" selected="0">
            <x v="1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6">
      <pivotArea dataOnly="0" labelOnly="1" outline="0" fieldPosition="0">
        <references count="8">
          <reference field="0" count="1" selected="0">
            <x v="55"/>
          </reference>
          <reference field="1" count="1" selected="0">
            <x v="15"/>
          </reference>
          <reference field="3" count="1" selected="0">
            <x v="7"/>
          </reference>
          <reference field="4" count="1" selected="0">
            <x v="13"/>
          </reference>
          <reference field="5" count="1" selected="0">
            <x v="3"/>
          </reference>
          <reference field="6" count="1" selected="0">
            <x v="1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5">
      <pivotArea dataOnly="0" labelOnly="1" outline="0" fieldPosition="0">
        <references count="8">
          <reference field="0" count="1" selected="0">
            <x v="56"/>
          </reference>
          <reference field="1" count="1" selected="0">
            <x v="16"/>
          </reference>
          <reference field="3" count="1" selected="0">
            <x v="2"/>
          </reference>
          <reference field="4" count="1" selected="0">
            <x v="14"/>
          </reference>
          <reference field="5" count="1" selected="0">
            <x v="1"/>
          </reference>
          <reference field="6" count="1" selected="0">
            <x v="13"/>
          </reference>
          <reference field="7" count="1" selected="0">
            <x v="1"/>
          </reference>
          <reference field="8" count="1">
            <x v="2"/>
          </reference>
        </references>
      </pivotArea>
    </format>
    <format dxfId="434">
      <pivotArea dataOnly="0" labelOnly="1" outline="0" fieldPosition="0">
        <references count="8">
          <reference field="0" count="1" selected="0">
            <x v="57"/>
          </reference>
          <reference field="1" count="1" selected="0">
            <x v="19"/>
          </reference>
          <reference field="3" count="1" selected="0">
            <x v="7"/>
          </reference>
          <reference field="4" count="1" selected="0">
            <x v="15"/>
          </reference>
          <reference field="5" count="1" selected="0">
            <x v="5"/>
          </reference>
          <reference field="6" count="1" selected="0">
            <x v="1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3">
      <pivotArea dataOnly="0" labelOnly="1" outline="0" fieldPosition="0">
        <references count="8">
          <reference field="0" count="1" selected="0">
            <x v="58"/>
          </reference>
          <reference field="1" count="1" selected="0">
            <x v="2"/>
          </reference>
          <reference field="3" count="1" selected="0">
            <x v="9"/>
          </reference>
          <reference field="4" count="1" selected="0">
            <x v="16"/>
          </reference>
          <reference field="5" count="1" selected="0">
            <x v="1"/>
          </reference>
          <reference field="6" count="1" selected="0">
            <x v="1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2">
      <pivotArea dataOnly="0" labelOnly="1" outline="0" fieldPosition="0">
        <references count="8">
          <reference field="0" count="1" selected="0">
            <x v="59"/>
          </reference>
          <reference field="1" count="1" selected="0">
            <x v="3"/>
          </reference>
          <reference field="3" count="1" selected="0">
            <x v="3"/>
          </reference>
          <reference field="4" count="1" selected="0">
            <x v="17"/>
          </reference>
          <reference field="5" count="1" selected="0">
            <x v="1"/>
          </reference>
          <reference field="6" count="1" selected="0">
            <x v="15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1">
      <pivotArea dataOnly="0" labelOnly="1" outline="0" fieldPosition="0">
        <references count="8">
          <reference field="0" count="1" selected="0">
            <x v="60"/>
          </reference>
          <reference field="1" count="1" selected="0">
            <x v="22"/>
          </reference>
          <reference field="3" count="1" selected="0">
            <x v="11"/>
          </reference>
          <reference field="4" count="1" selected="0">
            <x v="18"/>
          </reference>
          <reference field="5" count="1" selected="0">
            <x v="5"/>
          </reference>
          <reference field="6" count="1" selected="0">
            <x v="1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0">
      <pivotArea field="0" type="button" dataOnly="0" labelOnly="1" outline="0" axis="axisRow" fieldPosition="0"/>
    </format>
    <format dxfId="429">
      <pivotArea field="1" type="button" dataOnly="0" labelOnly="1" outline="0" axis="axisRow" fieldPosition="1"/>
    </format>
    <format dxfId="428">
      <pivotArea field="3" type="button" dataOnly="0" labelOnly="1" outline="0" axis="axisRow" fieldPosition="2"/>
    </format>
    <format dxfId="427">
      <pivotArea field="4" type="button" dataOnly="0" labelOnly="1" outline="0" axis="axisRow" fieldPosition="3"/>
    </format>
    <format dxfId="426">
      <pivotArea field="5" type="button" dataOnly="0" labelOnly="1" outline="0" axis="axisRow" fieldPosition="4"/>
    </format>
    <format dxfId="425">
      <pivotArea field="6" type="button" dataOnly="0" labelOnly="1" outline="0" axis="axisRow" fieldPosition="5"/>
    </format>
    <format dxfId="424">
      <pivotArea field="7" type="button" dataOnly="0" labelOnly="1" outline="0" axis="axisRow" fieldPosition="6"/>
    </format>
    <format dxfId="423">
      <pivotArea field="8" type="button" dataOnly="0" labelOnly="1" outline="0" axis="axisRow" fieldPosition="7"/>
    </format>
    <format dxfId="422">
      <pivotArea field="0" type="button" dataOnly="0" labelOnly="1" outline="0" axis="axisRow" fieldPosition="0"/>
    </format>
    <format dxfId="421">
      <pivotArea field="1" type="button" dataOnly="0" labelOnly="1" outline="0" axis="axisRow" fieldPosition="1"/>
    </format>
    <format dxfId="420">
      <pivotArea field="3" type="button" dataOnly="0" labelOnly="1" outline="0" axis="axisRow" fieldPosition="2"/>
    </format>
    <format dxfId="419">
      <pivotArea field="4" type="button" dataOnly="0" labelOnly="1" outline="0" axis="axisRow" fieldPosition="3"/>
    </format>
    <format dxfId="418">
      <pivotArea field="5" type="button" dataOnly="0" labelOnly="1" outline="0" axis="axisRow" fieldPosition="4"/>
    </format>
    <format dxfId="417">
      <pivotArea field="6" type="button" dataOnly="0" labelOnly="1" outline="0" axis="axisRow" fieldPosition="5"/>
    </format>
    <format dxfId="416">
      <pivotArea field="7" type="button" dataOnly="0" labelOnly="1" outline="0" axis="axisRow" fieldPosition="6"/>
    </format>
    <format dxfId="415">
      <pivotArea field="8" type="button" dataOnly="0" labelOnly="1" outline="0" axis="axisRow" fieldPosition="7"/>
    </format>
    <format dxfId="414">
      <pivotArea field="0" type="button" dataOnly="0" labelOnly="1" outline="0" axis="axisRow" fieldPosition="0"/>
    </format>
    <format dxfId="413">
      <pivotArea field="1" type="button" dataOnly="0" labelOnly="1" outline="0" axis="axisRow" fieldPosition="1"/>
    </format>
    <format dxfId="412">
      <pivotArea field="3" type="button" dataOnly="0" labelOnly="1" outline="0" axis="axisRow" fieldPosition="2"/>
    </format>
    <format dxfId="411">
      <pivotArea field="4" type="button" dataOnly="0" labelOnly="1" outline="0" axis="axisRow" fieldPosition="3"/>
    </format>
    <format dxfId="410">
      <pivotArea field="5" type="button" dataOnly="0" labelOnly="1" outline="0" axis="axisRow" fieldPosition="4"/>
    </format>
    <format dxfId="409">
      <pivotArea field="6" type="button" dataOnly="0" labelOnly="1" outline="0" axis="axisRow" fieldPosition="5"/>
    </format>
    <format dxfId="408">
      <pivotArea field="7" type="button" dataOnly="0" labelOnly="1" outline="0" axis="axisRow" fieldPosition="6"/>
    </format>
    <format dxfId="407">
      <pivotArea field="8" type="button" dataOnly="0" labelOnly="1" outline="0" axis="axisRow" fieldPosition="7"/>
    </format>
    <format dxfId="406">
      <pivotArea dataOnly="0" labelOnly="1" grandRow="1" outline="0" fieldPosition="0"/>
    </format>
    <format dxfId="405">
      <pivotArea dataOnly="0" labelOnly="1" grandRow="1" outline="0" fieldPosition="0"/>
    </format>
    <format dxfId="404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"/>
          </reference>
          <reference field="3" count="1">
            <x v="15"/>
          </reference>
        </references>
      </pivotArea>
    </format>
    <format dxfId="403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9"/>
          </reference>
          <reference field="3" count="1">
            <x v="24"/>
          </reference>
        </references>
      </pivotArea>
    </format>
    <format dxfId="402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8"/>
          </reference>
          <reference field="3" count="1">
            <x v="25"/>
          </reference>
        </references>
      </pivotArea>
    </format>
    <format dxfId="401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71"/>
          </reference>
          <reference field="3" count="1">
            <x v="27"/>
          </reference>
        </references>
      </pivotArea>
    </format>
    <format dxfId="400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12"/>
          </reference>
          <reference field="3" count="1">
            <x v="28"/>
          </reference>
        </references>
      </pivotArea>
    </format>
    <format dxfId="399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72"/>
          </reference>
          <reference field="3" count="1">
            <x v="29"/>
          </reference>
        </references>
      </pivotArea>
    </format>
    <format dxfId="398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73"/>
          </reference>
          <reference field="3" count="1">
            <x v="30"/>
          </reference>
        </references>
      </pivotArea>
    </format>
    <format dxfId="397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74"/>
          </reference>
          <reference field="3" count="1">
            <x v="25"/>
          </reference>
        </references>
      </pivotArea>
    </format>
    <format dxfId="396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76"/>
          </reference>
          <reference field="3" count="1">
            <x v="31"/>
          </reference>
        </references>
      </pivotArea>
    </format>
    <format dxfId="395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78"/>
          </reference>
          <reference field="3" count="1">
            <x v="28"/>
          </reference>
        </references>
      </pivotArea>
    </format>
    <format dxfId="394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79"/>
          </reference>
          <reference field="3" count="1">
            <x v="33"/>
          </reference>
        </references>
      </pivotArea>
    </format>
    <format dxfId="393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80"/>
          </reference>
          <reference field="3" count="1">
            <x v="28"/>
          </reference>
        </references>
      </pivotArea>
    </format>
    <format dxfId="392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4"/>
          </reference>
          <reference field="3" count="1">
            <x v="25"/>
          </reference>
        </references>
      </pivotArea>
    </format>
    <format dxfId="391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1"/>
          </reference>
          <reference field="3" count="1">
            <x v="31"/>
          </reference>
        </references>
      </pivotArea>
    </format>
    <format dxfId="390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81"/>
          </reference>
          <reference field="3" count="1">
            <x v="25"/>
          </reference>
        </references>
      </pivotArea>
    </format>
    <format dxfId="389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83"/>
          </reference>
          <reference field="3" count="1">
            <x v="28"/>
          </reference>
        </references>
      </pivotArea>
    </format>
    <format dxfId="388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85"/>
          </reference>
          <reference field="3" count="1">
            <x v="34"/>
          </reference>
        </references>
      </pivotArea>
    </format>
    <format dxfId="387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9"/>
          </reference>
          <reference field="3" count="1">
            <x v="28"/>
          </reference>
        </references>
      </pivotArea>
    </format>
    <format dxfId="386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2"/>
          </reference>
          <reference field="3" count="1">
            <x v="35"/>
          </reference>
        </references>
      </pivotArea>
    </format>
    <format dxfId="385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87"/>
          </reference>
          <reference field="3" count="1">
            <x v="33"/>
          </reference>
        </references>
      </pivotArea>
    </format>
    <format dxfId="384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3"/>
          </reference>
          <reference field="3" count="1">
            <x v="36"/>
          </reference>
        </references>
      </pivotArea>
    </format>
    <format dxfId="383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88"/>
          </reference>
          <reference field="3" count="1">
            <x v="33"/>
          </reference>
        </references>
      </pivotArea>
    </format>
    <format dxfId="382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22"/>
          </reference>
          <reference field="3" count="1">
            <x v="37"/>
          </reference>
        </references>
      </pivotArea>
    </format>
    <format dxfId="381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75"/>
          </reference>
          <reference field="3" count="1">
            <x v="29"/>
          </reference>
        </references>
      </pivotArea>
    </format>
    <format dxfId="380">
      <pivotArea field="1" type="button" dataOnly="0" labelOnly="1" outline="0" axis="axisRow" fieldPosition="1"/>
    </format>
    <format dxfId="379">
      <pivotArea dataOnly="0" labelOnly="1" outline="0" fieldPosition="0">
        <references count="2">
          <reference field="0" count="1" selected="0">
            <x v="48"/>
          </reference>
          <reference field="1" count="1">
            <x v="76"/>
          </reference>
        </references>
      </pivotArea>
    </format>
    <format dxfId="378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77"/>
          </reference>
          <reference field="3" count="1">
            <x v="32"/>
          </reference>
        </references>
      </pivotArea>
    </format>
    <format dxfId="377">
      <pivotArea type="all" dataOnly="0" outline="0" fieldPosition="0"/>
    </format>
    <format dxfId="376">
      <pivotArea field="0" type="button" dataOnly="0" labelOnly="1" outline="0" axis="axisRow" fieldPosition="0"/>
    </format>
    <format dxfId="375">
      <pivotArea field="1" type="button" dataOnly="0" labelOnly="1" outline="0" axis="axisRow" fieldPosition="1"/>
    </format>
    <format dxfId="374">
      <pivotArea field="3" type="button" dataOnly="0" labelOnly="1" outline="0" axis="axisRow" fieldPosition="2"/>
    </format>
    <format dxfId="373">
      <pivotArea field="4" type="button" dataOnly="0" labelOnly="1" outline="0" axis="axisRow" fieldPosition="3"/>
    </format>
    <format dxfId="372">
      <pivotArea field="5" type="button" dataOnly="0" labelOnly="1" outline="0" axis="axisRow" fieldPosition="4"/>
    </format>
    <format dxfId="371">
      <pivotArea field="6" type="button" dataOnly="0" labelOnly="1" outline="0" axis="axisRow" fieldPosition="5"/>
    </format>
    <format dxfId="370">
      <pivotArea field="7" type="button" dataOnly="0" labelOnly="1" outline="0" axis="axisRow" fieldPosition="6"/>
    </format>
    <format dxfId="369">
      <pivotArea field="8" type="button" dataOnly="0" labelOnly="1" outline="0" axis="axisRow" fieldPosition="7"/>
    </format>
    <format dxfId="368">
      <pivotArea dataOnly="0" labelOnly="1" outline="0" fieldPosition="0">
        <references count="1">
          <reference field="0" count="0"/>
        </references>
      </pivotArea>
    </format>
    <format dxfId="367">
      <pivotArea dataOnly="0" labelOnly="1" grandRow="1" outline="0" fieldPosition="0"/>
    </format>
    <format dxfId="366">
      <pivotArea dataOnly="0" labelOnly="1" outline="0" fieldPosition="0">
        <references count="2">
          <reference field="0" count="1" selected="0">
            <x v="0"/>
          </reference>
          <reference field="1" count="1">
            <x v="23"/>
          </reference>
        </references>
      </pivotArea>
    </format>
    <format dxfId="365">
      <pivotArea dataOnly="0" labelOnly="1" outline="0" fieldPosition="0">
        <references count="2">
          <reference field="0" count="1" selected="0">
            <x v="7"/>
          </reference>
          <reference field="1" count="1">
            <x v="69"/>
          </reference>
        </references>
      </pivotArea>
    </format>
    <format dxfId="364">
      <pivotArea dataOnly="0" labelOnly="1" outline="0" fieldPosition="0">
        <references count="2">
          <reference field="0" count="1" selected="0">
            <x v="12"/>
          </reference>
          <reference field="1" count="1">
            <x v="18"/>
          </reference>
        </references>
      </pivotArea>
    </format>
    <format dxfId="363">
      <pivotArea dataOnly="0" labelOnly="1" outline="0" fieldPosition="0">
        <references count="2">
          <reference field="0" count="1" selected="0">
            <x v="22"/>
          </reference>
          <reference field="1" count="1">
            <x v="70"/>
          </reference>
        </references>
      </pivotArea>
    </format>
    <format dxfId="362">
      <pivotArea dataOnly="0" labelOnly="1" outline="0" fieldPosition="0">
        <references count="2">
          <reference field="0" count="1" selected="0">
            <x v="28"/>
          </reference>
          <reference field="1" count="1">
            <x v="71"/>
          </reference>
        </references>
      </pivotArea>
    </format>
    <format dxfId="361">
      <pivotArea dataOnly="0" labelOnly="1" outline="0" fieldPosition="0">
        <references count="2">
          <reference field="0" count="1" selected="0">
            <x v="32"/>
          </reference>
          <reference field="1" count="1">
            <x v="12"/>
          </reference>
        </references>
      </pivotArea>
    </format>
    <format dxfId="360">
      <pivotArea dataOnly="0" labelOnly="1" outline="0" fieldPosition="0">
        <references count="2">
          <reference field="0" count="1" selected="0">
            <x v="38"/>
          </reference>
          <reference field="1" count="1">
            <x v="72"/>
          </reference>
        </references>
      </pivotArea>
    </format>
    <format dxfId="359">
      <pivotArea dataOnly="0" labelOnly="1" outline="0" fieldPosition="0">
        <references count="2">
          <reference field="0" count="1" selected="0">
            <x v="40"/>
          </reference>
          <reference field="1" count="1">
            <x v="73"/>
          </reference>
        </references>
      </pivotArea>
    </format>
    <format dxfId="358">
      <pivotArea dataOnly="0" labelOnly="1" outline="0" fieldPosition="0">
        <references count="2">
          <reference field="0" count="1" selected="0">
            <x v="45"/>
          </reference>
          <reference field="1" count="1">
            <x v="74"/>
          </reference>
        </references>
      </pivotArea>
    </format>
    <format dxfId="357">
      <pivotArea dataOnly="0" labelOnly="1" outline="0" fieldPosition="0">
        <references count="2">
          <reference field="0" count="1" selected="0">
            <x v="46"/>
          </reference>
          <reference field="1" count="1">
            <x v="75"/>
          </reference>
        </references>
      </pivotArea>
    </format>
    <format dxfId="356">
      <pivotArea dataOnly="0" labelOnly="1" outline="0" fieldPosition="0">
        <references count="2">
          <reference field="0" count="1" selected="0">
            <x v="47"/>
          </reference>
          <reference field="1" count="1">
            <x v="9"/>
          </reference>
        </references>
      </pivotArea>
    </format>
    <format dxfId="355">
      <pivotArea dataOnly="0" labelOnly="1" outline="0" fieldPosition="0">
        <references count="2">
          <reference field="0" count="1" selected="0">
            <x v="48"/>
          </reference>
          <reference field="1" count="1">
            <x v="76"/>
          </reference>
        </references>
      </pivotArea>
    </format>
    <format dxfId="354">
      <pivotArea dataOnly="0" labelOnly="1" outline="0" fieldPosition="0">
        <references count="2">
          <reference field="0" count="1" selected="0">
            <x v="49"/>
          </reference>
          <reference field="1" count="1">
            <x v="77"/>
          </reference>
        </references>
      </pivotArea>
    </format>
    <format dxfId="353">
      <pivotArea dataOnly="0" labelOnly="1" outline="0" fieldPosition="0">
        <references count="2">
          <reference field="0" count="1" selected="0">
            <x v="50"/>
          </reference>
          <reference field="1" count="1">
            <x v="78"/>
          </reference>
        </references>
      </pivotArea>
    </format>
    <format dxfId="352">
      <pivotArea dataOnly="0" labelOnly="1" outline="0" fieldPosition="0">
        <references count="2">
          <reference field="0" count="1" selected="0">
            <x v="51"/>
          </reference>
          <reference field="1" count="1">
            <x v="79"/>
          </reference>
        </references>
      </pivotArea>
    </format>
    <format dxfId="351">
      <pivotArea dataOnly="0" labelOnly="1" outline="0" fieldPosition="0">
        <references count="2">
          <reference field="0" count="1" selected="0">
            <x v="52"/>
          </reference>
          <reference field="1" count="1">
            <x v="80"/>
          </reference>
        </references>
      </pivotArea>
    </format>
    <format dxfId="350">
      <pivotArea dataOnly="0" labelOnly="1" outline="0" fieldPosition="0">
        <references count="2">
          <reference field="0" count="1" selected="0">
            <x v="53"/>
          </reference>
          <reference field="1" count="1">
            <x v="4"/>
          </reference>
        </references>
      </pivotArea>
    </format>
    <format dxfId="349">
      <pivotArea dataOnly="0" labelOnly="1" outline="0" fieldPosition="0">
        <references count="2">
          <reference field="0" count="1" selected="0">
            <x v="54"/>
          </reference>
          <reference field="1" count="1">
            <x v="1"/>
          </reference>
        </references>
      </pivotArea>
    </format>
    <format dxfId="348">
      <pivotArea dataOnly="0" labelOnly="1" outline="0" fieldPosition="0">
        <references count="2">
          <reference field="0" count="1" selected="0">
            <x v="55"/>
          </reference>
          <reference field="1" count="1">
            <x v="81"/>
          </reference>
        </references>
      </pivotArea>
    </format>
    <format dxfId="347">
      <pivotArea dataOnly="0" labelOnly="1" outline="0" fieldPosition="0">
        <references count="2">
          <reference field="0" count="1" selected="0">
            <x v="56"/>
          </reference>
          <reference field="1" count="1">
            <x v="82"/>
          </reference>
        </references>
      </pivotArea>
    </format>
    <format dxfId="346">
      <pivotArea dataOnly="0" labelOnly="1" outline="0" fieldPosition="0">
        <references count="2">
          <reference field="0" count="1" selected="0">
            <x v="57"/>
          </reference>
          <reference field="1" count="1">
            <x v="83"/>
          </reference>
        </references>
      </pivotArea>
    </format>
    <format dxfId="345">
      <pivotArea dataOnly="0" labelOnly="1" outline="0" fieldPosition="0">
        <references count="2">
          <reference field="0" count="1" selected="0">
            <x v="58"/>
          </reference>
          <reference field="1" count="1">
            <x v="6"/>
          </reference>
        </references>
      </pivotArea>
    </format>
    <format dxfId="344">
      <pivotArea dataOnly="0" labelOnly="1" outline="0" fieldPosition="0">
        <references count="2">
          <reference field="0" count="1" selected="0">
            <x v="59"/>
          </reference>
          <reference field="1" count="1">
            <x v="15"/>
          </reference>
        </references>
      </pivotArea>
    </format>
    <format dxfId="343">
      <pivotArea dataOnly="0" labelOnly="1" outline="0" fieldPosition="0">
        <references count="2">
          <reference field="0" count="1" selected="0">
            <x v="60"/>
          </reference>
          <reference field="1" count="1">
            <x v="84"/>
          </reference>
        </references>
      </pivotArea>
    </format>
    <format dxfId="342">
      <pivotArea dataOnly="0" labelOnly="1" outline="0" fieldPosition="0">
        <references count="2">
          <reference field="0" count="1" selected="0">
            <x v="61"/>
          </reference>
          <reference field="1" count="1">
            <x v="85"/>
          </reference>
        </references>
      </pivotArea>
    </format>
    <format dxfId="341">
      <pivotArea dataOnly="0" labelOnly="1" outline="0" fieldPosition="0">
        <references count="2">
          <reference field="0" count="1" selected="0">
            <x v="62"/>
          </reference>
          <reference field="1" count="1">
            <x v="19"/>
          </reference>
        </references>
      </pivotArea>
    </format>
    <format dxfId="340">
      <pivotArea dataOnly="0" labelOnly="1" outline="0" fieldPosition="0">
        <references count="2">
          <reference field="0" count="1" selected="0">
            <x v="63"/>
          </reference>
          <reference field="1" count="1">
            <x v="86"/>
          </reference>
        </references>
      </pivotArea>
    </format>
    <format dxfId="339">
      <pivotArea dataOnly="0" labelOnly="1" outline="0" fieldPosition="0">
        <references count="2">
          <reference field="0" count="1" selected="0">
            <x v="64"/>
          </reference>
          <reference field="1" count="1">
            <x v="2"/>
          </reference>
        </references>
      </pivotArea>
    </format>
    <format dxfId="338">
      <pivotArea dataOnly="0" labelOnly="1" outline="0" fieldPosition="0">
        <references count="2">
          <reference field="0" count="1" selected="0">
            <x v="65"/>
          </reference>
          <reference field="1" count="1">
            <x v="87"/>
          </reference>
        </references>
      </pivotArea>
    </format>
    <format dxfId="337">
      <pivotArea dataOnly="0" labelOnly="1" outline="0" fieldPosition="0">
        <references count="2">
          <reference field="0" count="1" selected="0">
            <x v="66"/>
          </reference>
          <reference field="1" count="1">
            <x v="3"/>
          </reference>
        </references>
      </pivotArea>
    </format>
    <format dxfId="336">
      <pivotArea dataOnly="0" labelOnly="1" outline="0" fieldPosition="0">
        <references count="2">
          <reference field="0" count="1" selected="0">
            <x v="67"/>
          </reference>
          <reference field="1" count="1">
            <x v="88"/>
          </reference>
        </references>
      </pivotArea>
    </format>
    <format dxfId="335">
      <pivotArea dataOnly="0" labelOnly="1" outline="0" fieldPosition="0">
        <references count="2">
          <reference field="0" count="1" selected="0">
            <x v="68"/>
          </reference>
          <reference field="1" count="1">
            <x v="89"/>
          </reference>
        </references>
      </pivotArea>
    </format>
    <format dxfId="334">
      <pivotArea dataOnly="0" labelOnly="1" outline="0" fieldPosition="0">
        <references count="2">
          <reference field="0" count="1" selected="0">
            <x v="69"/>
          </reference>
          <reference field="1" count="1">
            <x v="22"/>
          </reference>
        </references>
      </pivotArea>
    </format>
    <format dxfId="333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"/>
          </reference>
          <reference field="3" count="1">
            <x v="15"/>
          </reference>
        </references>
      </pivotArea>
    </format>
    <format dxfId="332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9"/>
          </reference>
          <reference field="3" count="1">
            <x v="24"/>
          </reference>
        </references>
      </pivotArea>
    </format>
    <format dxfId="331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8"/>
          </reference>
          <reference field="3" count="1">
            <x v="25"/>
          </reference>
        </references>
      </pivotArea>
    </format>
    <format dxfId="330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70"/>
          </reference>
          <reference field="3" count="1">
            <x v="26"/>
          </reference>
        </references>
      </pivotArea>
    </format>
    <format dxfId="329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71"/>
          </reference>
          <reference field="3" count="1">
            <x v="27"/>
          </reference>
        </references>
      </pivotArea>
    </format>
    <format dxfId="328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12"/>
          </reference>
          <reference field="3" count="1">
            <x v="28"/>
          </reference>
        </references>
      </pivotArea>
    </format>
    <format dxfId="327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72"/>
          </reference>
          <reference field="3" count="1">
            <x v="29"/>
          </reference>
        </references>
      </pivotArea>
    </format>
    <format dxfId="326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73"/>
          </reference>
          <reference field="3" count="1">
            <x v="30"/>
          </reference>
        </references>
      </pivotArea>
    </format>
    <format dxfId="325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74"/>
          </reference>
          <reference field="3" count="1">
            <x v="25"/>
          </reference>
        </references>
      </pivotArea>
    </format>
    <format dxfId="324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75"/>
          </reference>
          <reference field="3" count="1">
            <x v="29"/>
          </reference>
        </references>
      </pivotArea>
    </format>
    <format dxfId="323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76"/>
          </reference>
          <reference field="3" count="1">
            <x v="31"/>
          </reference>
        </references>
      </pivotArea>
    </format>
    <format dxfId="322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77"/>
          </reference>
          <reference field="3" count="1">
            <x v="32"/>
          </reference>
        </references>
      </pivotArea>
    </format>
    <format dxfId="321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78"/>
          </reference>
          <reference field="3" count="1">
            <x v="28"/>
          </reference>
        </references>
      </pivotArea>
    </format>
    <format dxfId="320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79"/>
          </reference>
          <reference field="3" count="1">
            <x v="33"/>
          </reference>
        </references>
      </pivotArea>
    </format>
    <format dxfId="319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80"/>
          </reference>
          <reference field="3" count="1">
            <x v="28"/>
          </reference>
        </references>
      </pivotArea>
    </format>
    <format dxfId="318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4"/>
          </reference>
          <reference field="3" count="1">
            <x v="25"/>
          </reference>
        </references>
      </pivotArea>
    </format>
    <format dxfId="317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1"/>
          </reference>
          <reference field="3" count="1">
            <x v="31"/>
          </reference>
        </references>
      </pivotArea>
    </format>
    <format dxfId="316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81"/>
          </reference>
          <reference field="3" count="1">
            <x v="25"/>
          </reference>
        </references>
      </pivotArea>
    </format>
    <format dxfId="315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83"/>
          </reference>
          <reference field="3" count="1">
            <x v="28"/>
          </reference>
        </references>
      </pivotArea>
    </format>
    <format dxfId="314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85"/>
          </reference>
          <reference field="3" count="1">
            <x v="34"/>
          </reference>
        </references>
      </pivotArea>
    </format>
    <format dxfId="313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9"/>
          </reference>
          <reference field="3" count="1">
            <x v="28"/>
          </reference>
        </references>
      </pivotArea>
    </format>
    <format dxfId="312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2"/>
          </reference>
          <reference field="3" count="1">
            <x v="35"/>
          </reference>
        </references>
      </pivotArea>
    </format>
    <format dxfId="311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87"/>
          </reference>
          <reference field="3" count="1">
            <x v="33"/>
          </reference>
        </references>
      </pivotArea>
    </format>
    <format dxfId="310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3"/>
          </reference>
          <reference field="3" count="1">
            <x v="36"/>
          </reference>
        </references>
      </pivotArea>
    </format>
    <format dxfId="309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88"/>
          </reference>
          <reference field="3" count="1">
            <x v="33"/>
          </reference>
        </references>
      </pivotArea>
    </format>
    <format dxfId="308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22"/>
          </reference>
          <reference field="3" count="1">
            <x v="37"/>
          </reference>
        </references>
      </pivotArea>
    </format>
    <format dxfId="307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>
            <x v="42"/>
          </reference>
        </references>
      </pivotArea>
    </format>
    <format dxfId="306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>
            <x v="22"/>
          </reference>
        </references>
      </pivotArea>
    </format>
    <format dxfId="305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>
            <x v="23"/>
          </reference>
        </references>
      </pivotArea>
    </format>
    <format dxfId="304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>
            <x v="24"/>
          </reference>
        </references>
      </pivotArea>
    </format>
    <format dxfId="303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>
            <x v="25"/>
          </reference>
        </references>
      </pivotArea>
    </format>
    <format dxfId="302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>
            <x v="26"/>
          </reference>
        </references>
      </pivotArea>
    </format>
    <format dxfId="301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>
            <x v="27"/>
          </reference>
        </references>
      </pivotArea>
    </format>
    <format dxfId="300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>
            <x v="18"/>
          </reference>
        </references>
      </pivotArea>
    </format>
    <format dxfId="299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>
            <x v="28"/>
          </reference>
        </references>
      </pivotArea>
    </format>
    <format dxfId="298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>
            <x v="29"/>
          </reference>
        </references>
      </pivotArea>
    </format>
    <format dxfId="297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>
            <x v="43"/>
          </reference>
        </references>
      </pivotArea>
    </format>
    <format dxfId="296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>
            <x v="20"/>
          </reference>
        </references>
      </pivotArea>
    </format>
    <format dxfId="295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>
            <x v="30"/>
          </reference>
        </references>
      </pivotArea>
    </format>
    <format dxfId="294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>
            <x v="20"/>
          </reference>
        </references>
      </pivotArea>
    </format>
    <format dxfId="293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>
            <x v="31"/>
          </reference>
        </references>
      </pivotArea>
    </format>
    <format dxfId="292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>
            <x v="21"/>
          </reference>
        </references>
      </pivotArea>
    </format>
    <format dxfId="291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>
            <x v="32"/>
          </reference>
        </references>
      </pivotArea>
    </format>
    <format dxfId="290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>
            <x v="33"/>
          </reference>
        </references>
      </pivotArea>
    </format>
    <format dxfId="289">
      <pivotArea dataOnly="0" labelOnly="1" outline="0" fieldPosition="0">
        <references count="4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>
            <x v="34"/>
          </reference>
        </references>
      </pivotArea>
    </format>
    <format dxfId="288">
      <pivotArea dataOnly="0" labelOnly="1" outline="0" fieldPosition="0">
        <references count="4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>
            <x v="44"/>
          </reference>
        </references>
      </pivotArea>
    </format>
    <format dxfId="287">
      <pivotArea dataOnly="0" labelOnly="1" outline="0" fieldPosition="0">
        <references count="4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>
            <x v="35"/>
          </reference>
        </references>
      </pivotArea>
    </format>
    <format dxfId="286">
      <pivotArea dataOnly="0" labelOnly="1" outline="0" fieldPosition="0">
        <references count="4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>
            <x v="36"/>
          </reference>
        </references>
      </pivotArea>
    </format>
    <format dxfId="285">
      <pivotArea dataOnly="0" labelOnly="1" outline="0" fieldPosition="0">
        <references count="4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>
            <x v="45"/>
          </reference>
        </references>
      </pivotArea>
    </format>
    <format dxfId="284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>
            <x v="5"/>
          </reference>
        </references>
      </pivotArea>
    </format>
    <format dxfId="283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>
            <x v="3"/>
          </reference>
        </references>
      </pivotArea>
    </format>
    <format dxfId="282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>
            <x v="1"/>
          </reference>
        </references>
      </pivotArea>
    </format>
    <format dxfId="281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>
            <x v="3"/>
          </reference>
        </references>
      </pivotArea>
    </format>
    <format dxfId="280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>
            <x v="0"/>
          </reference>
        </references>
      </pivotArea>
    </format>
    <format dxfId="279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>
            <x v="1"/>
          </reference>
        </references>
      </pivotArea>
    </format>
    <format dxfId="278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>
            <x v="5"/>
          </reference>
        </references>
      </pivotArea>
    </format>
    <format dxfId="277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>
            <x v="1"/>
          </reference>
        </references>
      </pivotArea>
    </format>
    <format dxfId="276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 selected="0">
            <x v="43"/>
          </reference>
          <reference field="5" count="1">
            <x v="3"/>
          </reference>
        </references>
      </pivotArea>
    </format>
    <format dxfId="275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>
            <x v="1"/>
          </reference>
        </references>
      </pivotArea>
    </format>
    <format dxfId="274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>
            <x v="5"/>
          </reference>
        </references>
      </pivotArea>
    </format>
    <format dxfId="273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>
            <x v="1"/>
          </reference>
        </references>
      </pivotArea>
    </format>
    <format dxfId="272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 selected="0">
            <x v="31"/>
          </reference>
          <reference field="5" count="1">
            <x v="5"/>
          </reference>
        </references>
      </pivotArea>
    </format>
    <format dxfId="271">
      <pivotArea dataOnly="0" labelOnly="1" outline="0" fieldPosition="0">
        <references count="5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>
            <x v="6"/>
          </reference>
        </references>
      </pivotArea>
    </format>
    <format dxfId="270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>
            <x v="1"/>
          </reference>
        </references>
      </pivotArea>
    </format>
    <format dxfId="269">
      <pivotArea dataOnly="0" labelOnly="1" outline="0" fieldPosition="0">
        <references count="5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 selected="0">
            <x v="34"/>
          </reference>
          <reference field="5" count="1">
            <x v="3"/>
          </reference>
        </references>
      </pivotArea>
    </format>
    <format dxfId="268">
      <pivotArea dataOnly="0" labelOnly="1" outline="0" fieldPosition="0">
        <references count="5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>
            <x v="1"/>
          </reference>
        </references>
      </pivotArea>
    </format>
    <format dxfId="267">
      <pivotArea dataOnly="0" labelOnly="1" outline="0" fieldPosition="0">
        <references count="5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 selected="0">
            <x v="44"/>
          </reference>
          <reference field="5" count="1">
            <x v="3"/>
          </reference>
        </references>
      </pivotArea>
    </format>
    <format dxfId="266">
      <pivotArea dataOnly="0" labelOnly="1" outline="0" fieldPosition="0">
        <references count="5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>
            <x v="1"/>
          </reference>
        </references>
      </pivotArea>
    </format>
    <format dxfId="265">
      <pivotArea dataOnly="0" labelOnly="1" outline="0" fieldPosition="0">
        <references count="5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 selected="0">
            <x v="36"/>
          </reference>
          <reference field="5" count="1">
            <x v="3"/>
          </reference>
        </references>
      </pivotArea>
    </format>
    <format dxfId="264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>
            <x v="1"/>
          </reference>
        </references>
      </pivotArea>
    </format>
    <format dxfId="263">
      <pivotArea dataOnly="0" labelOnly="1" outline="0" fieldPosition="0">
        <references count="5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>
            <x v="5"/>
          </reference>
        </references>
      </pivotArea>
    </format>
    <format dxfId="262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>
            <x v="10"/>
          </reference>
        </references>
      </pivotArea>
    </format>
    <format dxfId="261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 selected="0">
            <x v="22"/>
          </reference>
          <reference field="5" count="1" selected="0">
            <x v="5"/>
          </reference>
          <reference field="6" count="1">
            <x v="39"/>
          </reference>
        </references>
      </pivotArea>
    </format>
    <format dxfId="260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 selected="0">
            <x v="3"/>
          </reference>
          <reference field="6" count="1">
            <x v="40"/>
          </reference>
        </references>
      </pivotArea>
    </format>
    <format dxfId="259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>
            <x v="25"/>
          </reference>
        </references>
      </pivotArea>
    </format>
    <format dxfId="258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>
            <x v="41"/>
          </reference>
        </references>
      </pivotArea>
    </format>
    <format dxfId="257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>
            <x v="28"/>
          </reference>
        </references>
      </pivotArea>
    </format>
    <format dxfId="256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>
            <x v="41"/>
          </reference>
        </references>
      </pivotArea>
    </format>
    <format dxfId="255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>
            <x v="26"/>
          </reference>
        </references>
      </pivotArea>
    </format>
    <format dxfId="254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 selected="0">
            <x v="1"/>
          </reference>
          <reference field="6" count="1">
            <x v="29"/>
          </reference>
        </references>
      </pivotArea>
    </format>
    <format dxfId="253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>
            <x v="30"/>
          </reference>
        </references>
      </pivotArea>
    </format>
    <format dxfId="252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 selected="0">
            <x v="5"/>
          </reference>
          <reference field="6" count="1">
            <x v="29"/>
          </reference>
        </references>
      </pivotArea>
    </format>
    <format dxfId="251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>
            <x v="30"/>
          </reference>
        </references>
      </pivotArea>
    </format>
    <format dxfId="250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 selected="0">
            <x v="21"/>
          </reference>
          <reference field="5" count="1" selected="0">
            <x v="5"/>
          </reference>
          <reference field="6" count="1">
            <x v="31"/>
          </reference>
        </references>
      </pivotArea>
    </format>
    <format dxfId="249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 selected="0">
            <x v="32"/>
          </reference>
          <reference field="5" count="1" selected="0">
            <x v="5"/>
          </reference>
          <reference field="6" count="1">
            <x v="42"/>
          </reference>
        </references>
      </pivotArea>
    </format>
    <format dxfId="248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6"/>
          </reference>
          <reference field="6" count="1">
            <x v="43"/>
          </reference>
        </references>
      </pivotArea>
    </format>
    <format dxfId="247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1"/>
          </reference>
          <reference field="6" count="1">
            <x v="33"/>
          </reference>
        </references>
      </pivotArea>
    </format>
    <format dxfId="246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1"/>
          </reference>
          <reference field="6" count="1">
            <x v="34"/>
          </reference>
        </references>
      </pivotArea>
    </format>
    <format dxfId="245">
      <pivotArea dataOnly="0" labelOnly="1" outline="0" fieldPosition="0">
        <references count="6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 selected="0">
            <x v="1"/>
          </reference>
          <reference field="6" count="1">
            <x v="43"/>
          </reference>
        </references>
      </pivotArea>
    </format>
    <format dxfId="244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1"/>
          </reference>
          <reference field="6" count="1">
            <x v="44"/>
          </reference>
        </references>
      </pivotArea>
    </format>
    <format dxfId="243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 selected="0">
            <x v="5"/>
          </reference>
          <reference field="6" count="1">
            <x v="36"/>
          </reference>
        </references>
      </pivotArea>
    </format>
    <format dxfId="242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 selected="0">
            <x v="10"/>
          </reference>
          <reference field="7" count="1">
            <x v="1"/>
          </reference>
        </references>
      </pivotArea>
    </format>
    <format dxfId="241">
      <pivotArea dataOnly="0" labelOnly="1" outline="0" fieldPosition="0">
        <references count="7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 selected="0">
            <x v="25"/>
          </reference>
          <reference field="7" count="1">
            <x v="0"/>
          </reference>
        </references>
      </pivotArea>
    </format>
    <format dxfId="240">
      <pivotArea dataOnly="0" labelOnly="1" outline="0" fieldPosition="0">
        <references count="7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 selected="0">
            <x v="3"/>
          </reference>
          <reference field="6" count="1" selected="0">
            <x v="25"/>
          </reference>
          <reference field="7" count="1">
            <x v="1"/>
          </reference>
        </references>
      </pivotArea>
    </format>
    <format dxfId="239">
      <pivotArea dataOnly="0" labelOnly="1" outline="0" fieldPosition="0">
        <references count="7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 selected="0">
            <x v="41"/>
          </reference>
          <reference field="7" count="1">
            <x v="4"/>
          </reference>
        </references>
      </pivotArea>
    </format>
    <format dxfId="238">
      <pivotArea dataOnly="0" labelOnly="1" outline="0" fieldPosition="0">
        <references count="7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 selected="0">
            <x v="28"/>
          </reference>
          <reference field="7" count="1">
            <x v="0"/>
          </reference>
        </references>
      </pivotArea>
    </format>
    <format dxfId="237">
      <pivotArea dataOnly="0" labelOnly="1" outline="0" fieldPosition="0">
        <references count="7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 selected="0">
            <x v="41"/>
          </reference>
          <reference field="7" count="1">
            <x v="1"/>
          </reference>
        </references>
      </pivotArea>
    </format>
    <format dxfId="236">
      <pivotArea dataOnly="0" labelOnly="1" outline="0" fieldPosition="0">
        <references count="7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>
            <x v="2"/>
          </reference>
        </references>
      </pivotArea>
    </format>
    <format dxfId="235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 selected="0">
            <x v="10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234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 selected="0">
            <x v="22"/>
          </reference>
          <reference field="5" count="1" selected="0">
            <x v="5"/>
          </reference>
          <reference field="6" count="1" selected="0">
            <x v="3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233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 selected="0">
            <x v="3"/>
          </reference>
          <reference field="6" count="1" selected="0">
            <x v="40"/>
          </reference>
          <reference field="7" count="1" selected="0">
            <x v="1"/>
          </reference>
          <reference field="8" count="1">
            <x v="8"/>
          </reference>
        </references>
      </pivotArea>
    </format>
    <format dxfId="232">
      <pivotArea dataOnly="0" labelOnly="1" outline="0" fieldPosition="0">
        <references count="8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 selected="0">
            <x v="25"/>
          </reference>
          <reference field="7" count="1" selected="0">
            <x v="0"/>
          </reference>
          <reference field="8" count="1">
            <x v="5"/>
          </reference>
        </references>
      </pivotArea>
    </format>
    <format dxfId="231">
      <pivotArea dataOnly="0" labelOnly="1" outline="0" fieldPosition="0">
        <references count="8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 selected="0">
            <x v="3"/>
          </reference>
          <reference field="6" count="1" selected="0">
            <x v="25"/>
          </reference>
          <reference field="7" count="1" selected="0">
            <x v="1"/>
          </reference>
          <reference field="8" count="1">
            <x v="8"/>
          </reference>
        </references>
      </pivotArea>
    </format>
    <format dxfId="230">
      <pivotArea dataOnly="0" labelOnly="1" outline="0" fieldPosition="0">
        <references count="8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 selected="0">
            <x v="41"/>
          </reference>
          <reference field="7" count="1" selected="0">
            <x v="4"/>
          </reference>
          <reference field="8" count="1">
            <x v="7"/>
          </reference>
        </references>
      </pivotArea>
    </format>
    <format dxfId="229">
      <pivotArea dataOnly="0" labelOnly="1" outline="0" fieldPosition="0">
        <references count="8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 selected="0">
            <x v="28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228">
      <pivotArea dataOnly="0" labelOnly="1" outline="0" fieldPosition="0">
        <references count="8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 selected="0">
            <x v="41"/>
          </reference>
          <reference field="7" count="1" selected="0">
            <x v="1"/>
          </reference>
          <reference field="8" count="1">
            <x v="2"/>
          </reference>
        </references>
      </pivotArea>
    </format>
    <format dxfId="227">
      <pivotArea dataOnly="0" labelOnly="1" outline="0" fieldPosition="0">
        <references count="8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6">
      <pivotArea dataOnly="0" labelOnly="1" outline="0" fieldPosition="0">
        <references count="8">
          <reference field="0" count="1" selected="0">
            <x v="46"/>
          </reference>
          <reference field="1" count="1" selected="0">
            <x v="75"/>
          </reference>
          <reference field="3" count="1" selected="0">
            <x v="29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5">
      <pivotArea dataOnly="0" labelOnly="1" outline="0" fieldPosition="0">
        <references count="8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 selected="0">
            <x v="1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4">
      <pivotArea dataOnly="0" labelOnly="1" outline="0" fieldPosition="0">
        <references count="8">
          <reference field="0" count="1" selected="0">
            <x v="48"/>
          </reference>
          <reference field="1" count="1" selected="0">
            <x v="76"/>
          </reference>
          <reference field="3" count="1" selected="0">
            <x v="31"/>
          </reference>
          <reference field="4" count="1" selected="0">
            <x v="29"/>
          </reference>
          <reference field="5" count="1" selected="0">
            <x v="1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3">
      <pivotArea dataOnly="0" labelOnly="1" outline="0" fieldPosition="0">
        <references count="8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 selected="0">
            <x v="43"/>
          </reference>
          <reference field="5" count="1" selected="0">
            <x v="3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2">
      <pivotArea dataOnly="0" labelOnly="1" outline="0" fieldPosition="0">
        <references count="8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1">
      <pivotArea dataOnly="0" labelOnly="1" outline="0" fieldPosition="0">
        <references count="8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 selected="0">
            <x v="5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20">
      <pivotArea dataOnly="0" labelOnly="1" outline="0" fieldPosition="0">
        <references count="8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9">
      <pivotArea dataOnly="0" labelOnly="1" outline="0" fieldPosition="0">
        <references count="8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 selected="0">
            <x v="31"/>
          </reference>
          <reference field="5" count="1" selected="0">
            <x v="5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8">
      <pivotArea dataOnly="0" labelOnly="1" outline="0" fieldPosition="0">
        <references count="8">
          <reference field="0" count="1" selected="0">
            <x v="54"/>
          </reference>
          <reference field="1" count="1" selected="0">
            <x v="1"/>
          </reference>
          <reference field="3" count="1" selected="0">
            <x v="31"/>
          </reference>
          <reference field="4" count="1" selected="0">
            <x v="31"/>
          </reference>
          <reference field="5" count="1" selected="0">
            <x v="5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7">
      <pivotArea dataOnly="0" labelOnly="1" outline="0" fieldPosition="0">
        <references count="8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 selected="0">
            <x v="21"/>
          </reference>
          <reference field="5" count="1" selected="0">
            <x v="5"/>
          </reference>
          <reference field="6" count="1" selected="0">
            <x v="31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6">
      <pivotArea dataOnly="0" labelOnly="1" outline="0" fieldPosition="0">
        <references count="8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5">
      <pivotArea dataOnly="0" labelOnly="1" outline="0" fieldPosition="0">
        <references count="8">
          <reference field="0" count="1" selected="0">
            <x v="57"/>
          </reference>
          <reference field="1" count="1" selected="0">
            <x v="83"/>
          </reference>
          <reference field="3" count="1" selected="0">
            <x v="28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4">
      <pivotArea dataOnly="0" labelOnly="1" outline="0" fieldPosition="0">
        <references count="8">
          <reference field="0" count="1" selected="0">
            <x v="58"/>
          </reference>
          <reference field="1" count="1" selected="0">
            <x v="6"/>
          </reference>
          <reference field="3" count="1" selected="0">
            <x v="28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3">
      <pivotArea dataOnly="0" labelOnly="1" outline="0" fieldPosition="0">
        <references count="8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6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2">
      <pivotArea dataOnly="0" labelOnly="1" outline="0" fieldPosition="0">
        <references count="8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1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1">
      <pivotArea dataOnly="0" labelOnly="1" outline="0" fieldPosition="0">
        <references count="8">
          <reference field="0" count="1" selected="0">
            <x v="61"/>
          </reference>
          <reference field="1" count="1" selected="0">
            <x v="85"/>
          </reference>
          <reference field="3" count="1" selected="0">
            <x v="34"/>
          </reference>
          <reference field="4" count="1" selected="0">
            <x v="33"/>
          </reference>
          <reference field="5" count="1" selected="0">
            <x v="1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10">
      <pivotArea dataOnly="0" labelOnly="1" outline="0" fieldPosition="0">
        <references count="8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3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9">
      <pivotArea dataOnly="0" labelOnly="1" outline="0" fieldPosition="0">
        <references count="8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1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8">
      <pivotArea dataOnly="0" labelOnly="1" outline="0" fieldPosition="0">
        <references count="8">
          <reference field="0" count="1" selected="0">
            <x v="64"/>
          </reference>
          <reference field="1" count="1" selected="0">
            <x v="2"/>
          </reference>
          <reference field="3" count="1" selected="0">
            <x v="35"/>
          </reference>
          <reference field="4" count="1" selected="0">
            <x v="34"/>
          </reference>
          <reference field="5" count="1" selected="0">
            <x v="1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7">
      <pivotArea dataOnly="0" labelOnly="1" outline="0" fieldPosition="0">
        <references count="8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 selected="0">
            <x v="44"/>
          </reference>
          <reference field="5" count="1" selected="0">
            <x v="3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6">
      <pivotArea dataOnly="0" labelOnly="1" outline="0" fieldPosition="0">
        <references count="8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 selected="0">
            <x v="1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5">
      <pivotArea dataOnly="0" labelOnly="1" outline="0" fieldPosition="0">
        <references count="8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3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4">
      <pivotArea dataOnly="0" labelOnly="1" outline="0" fieldPosition="0">
        <references count="8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1"/>
          </reference>
          <reference field="6" count="1" selected="0">
            <x v="4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3">
      <pivotArea dataOnly="0" labelOnly="1" outline="0" fieldPosition="0">
        <references count="8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 selected="0">
            <x v="5"/>
          </reference>
          <reference field="6" count="1" selected="0">
            <x v="3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02">
      <pivotArea type="all" dataOnly="0" outline="0" fieldPosition="0"/>
    </format>
    <format dxfId="201">
      <pivotArea field="0" type="button" dataOnly="0" labelOnly="1" outline="0" axis="axisRow" fieldPosition="0"/>
    </format>
    <format dxfId="200">
      <pivotArea field="1" type="button" dataOnly="0" labelOnly="1" outline="0" axis="axisRow" fieldPosition="1"/>
    </format>
    <format dxfId="199">
      <pivotArea field="3" type="button" dataOnly="0" labelOnly="1" outline="0" axis="axisRow" fieldPosition="2"/>
    </format>
    <format dxfId="198">
      <pivotArea field="4" type="button" dataOnly="0" labelOnly="1" outline="0" axis="axisRow" fieldPosition="3"/>
    </format>
    <format dxfId="197">
      <pivotArea field="5" type="button" dataOnly="0" labelOnly="1" outline="0" axis="axisRow" fieldPosition="4"/>
    </format>
    <format dxfId="196">
      <pivotArea field="6" type="button" dataOnly="0" labelOnly="1" outline="0" axis="axisRow" fieldPosition="5"/>
    </format>
    <format dxfId="195">
      <pivotArea field="7" type="button" dataOnly="0" labelOnly="1" outline="0" axis="axisRow" fieldPosition="6"/>
    </format>
    <format dxfId="194">
      <pivotArea field="8" type="button" dataOnly="0" labelOnly="1" outline="0" axis="axisRow" fieldPosition="7"/>
    </format>
    <format dxfId="193">
      <pivotArea dataOnly="0" labelOnly="1" outline="0" fieldPosition="0">
        <references count="1">
          <reference field="0" count="0"/>
        </references>
      </pivotArea>
    </format>
    <format dxfId="192">
      <pivotArea dataOnly="0" labelOnly="1" grandRow="1" outline="0" fieldPosition="0"/>
    </format>
    <format dxfId="191">
      <pivotArea dataOnly="0" labelOnly="1" outline="0" fieldPosition="0">
        <references count="2">
          <reference field="0" count="1" selected="0">
            <x v="0"/>
          </reference>
          <reference field="1" count="1">
            <x v="23"/>
          </reference>
        </references>
      </pivotArea>
    </format>
    <format dxfId="190">
      <pivotArea dataOnly="0" labelOnly="1" outline="0" fieldPosition="0">
        <references count="2">
          <reference field="0" count="1" selected="0">
            <x v="7"/>
          </reference>
          <reference field="1" count="1">
            <x v="69"/>
          </reference>
        </references>
      </pivotArea>
    </format>
    <format dxfId="189">
      <pivotArea dataOnly="0" labelOnly="1" outline="0" fieldPosition="0">
        <references count="2">
          <reference field="0" count="1" selected="0">
            <x v="12"/>
          </reference>
          <reference field="1" count="1">
            <x v="18"/>
          </reference>
        </references>
      </pivotArea>
    </format>
    <format dxfId="188">
      <pivotArea dataOnly="0" labelOnly="1" outline="0" fieldPosition="0">
        <references count="2">
          <reference field="0" count="1" selected="0">
            <x v="22"/>
          </reference>
          <reference field="1" count="1">
            <x v="70"/>
          </reference>
        </references>
      </pivotArea>
    </format>
    <format dxfId="187">
      <pivotArea dataOnly="0" labelOnly="1" outline="0" fieldPosition="0">
        <references count="2">
          <reference field="0" count="1" selected="0">
            <x v="28"/>
          </reference>
          <reference field="1" count="1">
            <x v="71"/>
          </reference>
        </references>
      </pivotArea>
    </format>
    <format dxfId="186">
      <pivotArea dataOnly="0" labelOnly="1" outline="0" fieldPosition="0">
        <references count="2">
          <reference field="0" count="1" selected="0">
            <x v="32"/>
          </reference>
          <reference field="1" count="1">
            <x v="12"/>
          </reference>
        </references>
      </pivotArea>
    </format>
    <format dxfId="185">
      <pivotArea dataOnly="0" labelOnly="1" outline="0" fieldPosition="0">
        <references count="2">
          <reference field="0" count="1" selected="0">
            <x v="38"/>
          </reference>
          <reference field="1" count="1">
            <x v="72"/>
          </reference>
        </references>
      </pivotArea>
    </format>
    <format dxfId="184">
      <pivotArea dataOnly="0" labelOnly="1" outline="0" fieldPosition="0">
        <references count="2">
          <reference field="0" count="1" selected="0">
            <x v="40"/>
          </reference>
          <reference field="1" count="1">
            <x v="73"/>
          </reference>
        </references>
      </pivotArea>
    </format>
    <format dxfId="183">
      <pivotArea dataOnly="0" labelOnly="1" outline="0" fieldPosition="0">
        <references count="2">
          <reference field="0" count="1" selected="0">
            <x v="45"/>
          </reference>
          <reference field="1" count="1">
            <x v="74"/>
          </reference>
        </references>
      </pivotArea>
    </format>
    <format dxfId="182">
      <pivotArea dataOnly="0" labelOnly="1" outline="0" fieldPosition="0">
        <references count="2">
          <reference field="0" count="1" selected="0">
            <x v="46"/>
          </reference>
          <reference field="1" count="1">
            <x v="75"/>
          </reference>
        </references>
      </pivotArea>
    </format>
    <format dxfId="181">
      <pivotArea dataOnly="0" labelOnly="1" outline="0" fieldPosition="0">
        <references count="2">
          <reference field="0" count="1" selected="0">
            <x v="47"/>
          </reference>
          <reference field="1" count="1">
            <x v="9"/>
          </reference>
        </references>
      </pivotArea>
    </format>
    <format dxfId="180">
      <pivotArea dataOnly="0" labelOnly="1" outline="0" fieldPosition="0">
        <references count="2">
          <reference field="0" count="1" selected="0">
            <x v="48"/>
          </reference>
          <reference field="1" count="1">
            <x v="76"/>
          </reference>
        </references>
      </pivotArea>
    </format>
    <format dxfId="179">
      <pivotArea dataOnly="0" labelOnly="1" outline="0" fieldPosition="0">
        <references count="2">
          <reference field="0" count="1" selected="0">
            <x v="49"/>
          </reference>
          <reference field="1" count="1">
            <x v="77"/>
          </reference>
        </references>
      </pivotArea>
    </format>
    <format dxfId="178">
      <pivotArea dataOnly="0" labelOnly="1" outline="0" fieldPosition="0">
        <references count="2">
          <reference field="0" count="1" selected="0">
            <x v="50"/>
          </reference>
          <reference field="1" count="1">
            <x v="78"/>
          </reference>
        </references>
      </pivotArea>
    </format>
    <format dxfId="177">
      <pivotArea dataOnly="0" labelOnly="1" outline="0" fieldPosition="0">
        <references count="2">
          <reference field="0" count="1" selected="0">
            <x v="51"/>
          </reference>
          <reference field="1" count="1">
            <x v="79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52"/>
          </reference>
          <reference field="1" count="1">
            <x v="80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53"/>
          </reference>
          <reference field="1" count="1">
            <x v="4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54"/>
          </reference>
          <reference field="1" count="1">
            <x v="1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55"/>
          </reference>
          <reference field="1" count="1">
            <x v="81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56"/>
          </reference>
          <reference field="1" count="1">
            <x v="82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57"/>
          </reference>
          <reference field="1" count="1">
            <x v="83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58"/>
          </reference>
          <reference field="1" count="1">
            <x v="6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59"/>
          </reference>
          <reference field="1" count="1">
            <x v="15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60"/>
          </reference>
          <reference field="1" count="1">
            <x v="84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61"/>
          </reference>
          <reference field="1" count="1">
            <x v="85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62"/>
          </reference>
          <reference field="1" count="1">
            <x v="19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63"/>
          </reference>
          <reference field="1" count="1">
            <x v="86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64"/>
          </reference>
          <reference field="1" count="1">
            <x v="2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65"/>
          </reference>
          <reference field="1" count="1">
            <x v="87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66"/>
          </reference>
          <reference field="1" count="1">
            <x v="3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67"/>
          </reference>
          <reference field="1" count="1">
            <x v="88"/>
          </reference>
        </references>
      </pivotArea>
    </format>
    <format dxfId="160">
      <pivotArea dataOnly="0" labelOnly="1" outline="0" fieldPosition="0">
        <references count="2">
          <reference field="0" count="1" selected="0">
            <x v="68"/>
          </reference>
          <reference field="1" count="1">
            <x v="89"/>
          </reference>
        </references>
      </pivotArea>
    </format>
    <format dxfId="159">
      <pivotArea dataOnly="0" labelOnly="1" outline="0" fieldPosition="0">
        <references count="2">
          <reference field="0" count="1" selected="0">
            <x v="69"/>
          </reference>
          <reference field="1" count="1">
            <x v="22"/>
          </reference>
        </references>
      </pivotArea>
    </format>
    <format dxfId="158">
      <pivotArea dataOnly="0" labelOnly="1" outline="0" fieldPosition="0">
        <references count="3">
          <reference field="0" count="1" selected="0">
            <x v="0"/>
          </reference>
          <reference field="1" count="1" selected="0">
            <x v="23"/>
          </reference>
          <reference field="3" count="1">
            <x v="15"/>
          </reference>
        </references>
      </pivotArea>
    </format>
    <format dxfId="157">
      <pivotArea dataOnly="0" labelOnly="1" outline="0" fieldPosition="0">
        <references count="3">
          <reference field="0" count="1" selected="0">
            <x v="7"/>
          </reference>
          <reference field="1" count="1" selected="0">
            <x v="69"/>
          </reference>
          <reference field="3" count="1">
            <x v="24"/>
          </reference>
        </references>
      </pivotArea>
    </format>
    <format dxfId="156">
      <pivotArea dataOnly="0" labelOnly="1" outline="0" fieldPosition="0">
        <references count="3">
          <reference field="0" count="1" selected="0">
            <x v="12"/>
          </reference>
          <reference field="1" count="1" selected="0">
            <x v="18"/>
          </reference>
          <reference field="3" count="1">
            <x v="25"/>
          </reference>
        </references>
      </pivotArea>
    </format>
    <format dxfId="155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70"/>
          </reference>
          <reference field="3" count="1">
            <x v="26"/>
          </reference>
        </references>
      </pivotArea>
    </format>
    <format dxfId="154">
      <pivotArea dataOnly="0" labelOnly="1" outline="0" fieldPosition="0">
        <references count="3">
          <reference field="0" count="1" selected="0">
            <x v="28"/>
          </reference>
          <reference field="1" count="1" selected="0">
            <x v="71"/>
          </reference>
          <reference field="3" count="1">
            <x v="27"/>
          </reference>
        </references>
      </pivotArea>
    </format>
    <format dxfId="153">
      <pivotArea dataOnly="0" labelOnly="1" outline="0" fieldPosition="0">
        <references count="3">
          <reference field="0" count="1" selected="0">
            <x v="32"/>
          </reference>
          <reference field="1" count="1" selected="0">
            <x v="12"/>
          </reference>
          <reference field="3" count="1">
            <x v="28"/>
          </reference>
        </references>
      </pivotArea>
    </format>
    <format dxfId="152">
      <pivotArea dataOnly="0" labelOnly="1" outline="0" fieldPosition="0">
        <references count="3">
          <reference field="0" count="1" selected="0">
            <x v="38"/>
          </reference>
          <reference field="1" count="1" selected="0">
            <x v="72"/>
          </reference>
          <reference field="3" count="1">
            <x v="29"/>
          </reference>
        </references>
      </pivotArea>
    </format>
    <format dxfId="151">
      <pivotArea dataOnly="0" labelOnly="1" outline="0" fieldPosition="0">
        <references count="3">
          <reference field="0" count="1" selected="0">
            <x v="40"/>
          </reference>
          <reference field="1" count="1" selected="0">
            <x v="73"/>
          </reference>
          <reference field="3" count="1">
            <x v="30"/>
          </reference>
        </references>
      </pivotArea>
    </format>
    <format dxfId="150">
      <pivotArea dataOnly="0" labelOnly="1" outline="0" fieldPosition="0">
        <references count="3">
          <reference field="0" count="1" selected="0">
            <x v="45"/>
          </reference>
          <reference field="1" count="1" selected="0">
            <x v="74"/>
          </reference>
          <reference field="3" count="1">
            <x v="25"/>
          </reference>
        </references>
      </pivotArea>
    </format>
    <format dxfId="149">
      <pivotArea dataOnly="0" labelOnly="1" outline="0" fieldPosition="0">
        <references count="3">
          <reference field="0" count="1" selected="0">
            <x v="46"/>
          </reference>
          <reference field="1" count="1" selected="0">
            <x v="75"/>
          </reference>
          <reference field="3" count="1">
            <x v="29"/>
          </reference>
        </references>
      </pivotArea>
    </format>
    <format dxfId="148">
      <pivotArea dataOnly="0" labelOnly="1" outline="0" fieldPosition="0">
        <references count="3">
          <reference field="0" count="1" selected="0">
            <x v="48"/>
          </reference>
          <reference field="1" count="1" selected="0">
            <x v="76"/>
          </reference>
          <reference field="3" count="1">
            <x v="31"/>
          </reference>
        </references>
      </pivotArea>
    </format>
    <format dxfId="147">
      <pivotArea dataOnly="0" labelOnly="1" outline="0" fieldPosition="0">
        <references count="3">
          <reference field="0" count="1" selected="0">
            <x v="49"/>
          </reference>
          <reference field="1" count="1" selected="0">
            <x v="77"/>
          </reference>
          <reference field="3" count="1">
            <x v="32"/>
          </reference>
        </references>
      </pivotArea>
    </format>
    <format dxfId="146">
      <pivotArea dataOnly="0" labelOnly="1" outline="0" fieldPosition="0">
        <references count="3">
          <reference field="0" count="1" selected="0">
            <x v="50"/>
          </reference>
          <reference field="1" count="1" selected="0">
            <x v="78"/>
          </reference>
          <reference field="3" count="1">
            <x v="28"/>
          </reference>
        </references>
      </pivotArea>
    </format>
    <format dxfId="145">
      <pivotArea dataOnly="0" labelOnly="1" outline="0" fieldPosition="0">
        <references count="3">
          <reference field="0" count="1" selected="0">
            <x v="51"/>
          </reference>
          <reference field="1" count="1" selected="0">
            <x v="79"/>
          </reference>
          <reference field="3" count="1">
            <x v="33"/>
          </reference>
        </references>
      </pivotArea>
    </format>
    <format dxfId="144">
      <pivotArea dataOnly="0" labelOnly="1" outline="0" fieldPosition="0">
        <references count="3">
          <reference field="0" count="1" selected="0">
            <x v="52"/>
          </reference>
          <reference field="1" count="1" selected="0">
            <x v="80"/>
          </reference>
          <reference field="3" count="1">
            <x v="28"/>
          </reference>
        </references>
      </pivotArea>
    </format>
    <format dxfId="143">
      <pivotArea dataOnly="0" labelOnly="1" outline="0" fieldPosition="0">
        <references count="3">
          <reference field="0" count="1" selected="0">
            <x v="53"/>
          </reference>
          <reference field="1" count="1" selected="0">
            <x v="4"/>
          </reference>
          <reference field="3" count="1">
            <x v="25"/>
          </reference>
        </references>
      </pivotArea>
    </format>
    <format dxfId="142">
      <pivotArea dataOnly="0" labelOnly="1" outline="0" fieldPosition="0">
        <references count="3">
          <reference field="0" count="1" selected="0">
            <x v="54"/>
          </reference>
          <reference field="1" count="1" selected="0">
            <x v="1"/>
          </reference>
          <reference field="3" count="1">
            <x v="31"/>
          </reference>
        </references>
      </pivotArea>
    </format>
    <format dxfId="141">
      <pivotArea dataOnly="0" labelOnly="1" outline="0" fieldPosition="0">
        <references count="3">
          <reference field="0" count="1" selected="0">
            <x v="55"/>
          </reference>
          <reference field="1" count="1" selected="0">
            <x v="81"/>
          </reference>
          <reference field="3" count="1">
            <x v="25"/>
          </reference>
        </references>
      </pivotArea>
    </format>
    <format dxfId="140">
      <pivotArea dataOnly="0" labelOnly="1" outline="0" fieldPosition="0">
        <references count="3">
          <reference field="0" count="1" selected="0">
            <x v="57"/>
          </reference>
          <reference field="1" count="1" selected="0">
            <x v="83"/>
          </reference>
          <reference field="3" count="1">
            <x v="28"/>
          </reference>
        </references>
      </pivotArea>
    </format>
    <format dxfId="139">
      <pivotArea dataOnly="0" labelOnly="1" outline="0" fieldPosition="0">
        <references count="3">
          <reference field="0" count="1" selected="0">
            <x v="61"/>
          </reference>
          <reference field="1" count="1" selected="0">
            <x v="85"/>
          </reference>
          <reference field="3" count="1">
            <x v="34"/>
          </reference>
        </references>
      </pivotArea>
    </format>
    <format dxfId="138">
      <pivotArea dataOnly="0" labelOnly="1" outline="0" fieldPosition="0">
        <references count="3">
          <reference field="0" count="1" selected="0">
            <x v="62"/>
          </reference>
          <reference field="1" count="1" selected="0">
            <x v="19"/>
          </reference>
          <reference field="3" count="1">
            <x v="28"/>
          </reference>
        </references>
      </pivotArea>
    </format>
    <format dxfId="137">
      <pivotArea dataOnly="0" labelOnly="1" outline="0" fieldPosition="0">
        <references count="3">
          <reference field="0" count="1" selected="0">
            <x v="64"/>
          </reference>
          <reference field="1" count="1" selected="0">
            <x v="2"/>
          </reference>
          <reference field="3" count="1">
            <x v="35"/>
          </reference>
        </references>
      </pivotArea>
    </format>
    <format dxfId="136">
      <pivotArea dataOnly="0" labelOnly="1" outline="0" fieldPosition="0">
        <references count="3">
          <reference field="0" count="1" selected="0">
            <x v="65"/>
          </reference>
          <reference field="1" count="1" selected="0">
            <x v="87"/>
          </reference>
          <reference field="3" count="1">
            <x v="33"/>
          </reference>
        </references>
      </pivotArea>
    </format>
    <format dxfId="135">
      <pivotArea dataOnly="0" labelOnly="1" outline="0" fieldPosition="0">
        <references count="3">
          <reference field="0" count="1" selected="0">
            <x v="66"/>
          </reference>
          <reference field="1" count="1" selected="0">
            <x v="3"/>
          </reference>
          <reference field="3" count="1">
            <x v="36"/>
          </reference>
        </references>
      </pivotArea>
    </format>
    <format dxfId="134">
      <pivotArea dataOnly="0" labelOnly="1" outline="0" fieldPosition="0">
        <references count="3">
          <reference field="0" count="1" selected="0">
            <x v="67"/>
          </reference>
          <reference field="1" count="1" selected="0">
            <x v="88"/>
          </reference>
          <reference field="3" count="1">
            <x v="33"/>
          </reference>
        </references>
      </pivotArea>
    </format>
    <format dxfId="133">
      <pivotArea dataOnly="0" labelOnly="1" outline="0" fieldPosition="0">
        <references count="3">
          <reference field="0" count="1" selected="0">
            <x v="69"/>
          </reference>
          <reference field="1" count="1" selected="0">
            <x v="22"/>
          </reference>
          <reference field="3" count="1">
            <x v="37"/>
          </reference>
        </references>
      </pivotArea>
    </format>
    <format dxfId="132">
      <pivotArea dataOnly="0" labelOnly="1" outline="0" fieldPosition="0">
        <references count="4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>
            <x v="42"/>
          </reference>
        </references>
      </pivotArea>
    </format>
    <format dxfId="131">
      <pivotArea dataOnly="0" labelOnly="1" outline="0" fieldPosition="0">
        <references count="4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>
            <x v="22"/>
          </reference>
        </references>
      </pivotArea>
    </format>
    <format dxfId="130">
      <pivotArea dataOnly="0" labelOnly="1" outline="0" fieldPosition="0">
        <references count="4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>
            <x v="23"/>
          </reference>
        </references>
      </pivotArea>
    </format>
    <format dxfId="129">
      <pivotArea dataOnly="0" labelOnly="1" outline="0" fieldPosition="0">
        <references count="4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>
            <x v="24"/>
          </reference>
        </references>
      </pivotArea>
    </format>
    <format dxfId="128">
      <pivotArea dataOnly="0" labelOnly="1" outline="0" fieldPosition="0">
        <references count="4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>
            <x v="25"/>
          </reference>
        </references>
      </pivotArea>
    </format>
    <format dxfId="127">
      <pivotArea dataOnly="0" labelOnly="1" outline="0" fieldPosition="0">
        <references count="4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>
            <x v="26"/>
          </reference>
        </references>
      </pivotArea>
    </format>
    <format dxfId="126">
      <pivotArea dataOnly="0" labelOnly="1" outline="0" fieldPosition="0">
        <references count="4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>
            <x v="27"/>
          </reference>
        </references>
      </pivotArea>
    </format>
    <format dxfId="125">
      <pivotArea dataOnly="0" labelOnly="1" outline="0" fieldPosition="0">
        <references count="4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>
            <x v="18"/>
          </reference>
        </references>
      </pivotArea>
    </format>
    <format dxfId="124">
      <pivotArea dataOnly="0" labelOnly="1" outline="0" fieldPosition="0">
        <references count="4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>
            <x v="28"/>
          </reference>
        </references>
      </pivotArea>
    </format>
    <format dxfId="123">
      <pivotArea dataOnly="0" labelOnly="1" outline="0" fieldPosition="0">
        <references count="4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>
            <x v="29"/>
          </reference>
        </references>
      </pivotArea>
    </format>
    <format dxfId="122">
      <pivotArea dataOnly="0" labelOnly="1" outline="0" fieldPosition="0">
        <references count="4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>
            <x v="43"/>
          </reference>
        </references>
      </pivotArea>
    </format>
    <format dxfId="121">
      <pivotArea dataOnly="0" labelOnly="1" outline="0" fieldPosition="0">
        <references count="4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>
            <x v="20"/>
          </reference>
        </references>
      </pivotArea>
    </format>
    <format dxfId="120">
      <pivotArea dataOnly="0" labelOnly="1" outline="0" fieldPosition="0">
        <references count="4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>
            <x v="30"/>
          </reference>
        </references>
      </pivotArea>
    </format>
    <format dxfId="119">
      <pivotArea dataOnly="0" labelOnly="1" outline="0" fieldPosition="0">
        <references count="4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>
            <x v="20"/>
          </reference>
        </references>
      </pivotArea>
    </format>
    <format dxfId="118">
      <pivotArea dataOnly="0" labelOnly="1" outline="0" fieldPosition="0">
        <references count="4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>
            <x v="31"/>
          </reference>
        </references>
      </pivotArea>
    </format>
    <format dxfId="117">
      <pivotArea dataOnly="0" labelOnly="1" outline="0" fieldPosition="0">
        <references count="4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>
            <x v="21"/>
          </reference>
        </references>
      </pivotArea>
    </format>
    <format dxfId="116">
      <pivotArea dataOnly="0" labelOnly="1" outline="0" fieldPosition="0">
        <references count="4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>
            <x v="32"/>
          </reference>
        </references>
      </pivotArea>
    </format>
    <format dxfId="115">
      <pivotArea dataOnly="0" labelOnly="1" outline="0" fieldPosition="0">
        <references count="4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>
            <x v="33"/>
          </reference>
        </references>
      </pivotArea>
    </format>
    <format dxfId="114">
      <pivotArea dataOnly="0" labelOnly="1" outline="0" fieldPosition="0">
        <references count="4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>
            <x v="34"/>
          </reference>
        </references>
      </pivotArea>
    </format>
    <format dxfId="113">
      <pivotArea dataOnly="0" labelOnly="1" outline="0" fieldPosition="0">
        <references count="4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>
            <x v="44"/>
          </reference>
        </references>
      </pivotArea>
    </format>
    <format dxfId="112">
      <pivotArea dataOnly="0" labelOnly="1" outline="0" fieldPosition="0">
        <references count="4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>
            <x v="35"/>
          </reference>
        </references>
      </pivotArea>
    </format>
    <format dxfId="111">
      <pivotArea dataOnly="0" labelOnly="1" outline="0" fieldPosition="0">
        <references count="4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>
            <x v="36"/>
          </reference>
        </references>
      </pivotArea>
    </format>
    <format dxfId="110">
      <pivotArea dataOnly="0" labelOnly="1" outline="0" fieldPosition="0">
        <references count="4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>
            <x v="45"/>
          </reference>
        </references>
      </pivotArea>
    </format>
    <format dxfId="109">
      <pivotArea dataOnly="0" labelOnly="1" outline="0" fieldPosition="0">
        <references count="5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>
            <x v="5"/>
          </reference>
        </references>
      </pivotArea>
    </format>
    <format dxfId="108">
      <pivotArea dataOnly="0" labelOnly="1" outline="0" fieldPosition="0">
        <references count="5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>
            <x v="3"/>
          </reference>
        </references>
      </pivotArea>
    </format>
    <format dxfId="107">
      <pivotArea dataOnly="0" labelOnly="1" outline="0" fieldPosition="0">
        <references count="5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>
            <x v="1"/>
          </reference>
        </references>
      </pivotArea>
    </format>
    <format dxfId="106">
      <pivotArea dataOnly="0" labelOnly="1" outline="0" fieldPosition="0">
        <references count="5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>
            <x v="3"/>
          </reference>
        </references>
      </pivotArea>
    </format>
    <format dxfId="105">
      <pivotArea dataOnly="0" labelOnly="1" outline="0" fieldPosition="0">
        <references count="5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>
            <x v="0"/>
          </reference>
        </references>
      </pivotArea>
    </format>
    <format dxfId="104">
      <pivotArea dataOnly="0" labelOnly="1" outline="0" fieldPosition="0">
        <references count="5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>
            <x v="1"/>
          </reference>
        </references>
      </pivotArea>
    </format>
    <format dxfId="103">
      <pivotArea dataOnly="0" labelOnly="1" outline="0" fieldPosition="0">
        <references count="5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>
            <x v="5"/>
          </reference>
        </references>
      </pivotArea>
    </format>
    <format dxfId="102">
      <pivotArea dataOnly="0" labelOnly="1" outline="0" fieldPosition="0">
        <references count="5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>
            <x v="1"/>
          </reference>
        </references>
      </pivotArea>
    </format>
    <format dxfId="101">
      <pivotArea dataOnly="0" labelOnly="1" outline="0" fieldPosition="0">
        <references count="5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 selected="0">
            <x v="43"/>
          </reference>
          <reference field="5" count="1">
            <x v="3"/>
          </reference>
        </references>
      </pivotArea>
    </format>
    <format dxfId="100">
      <pivotArea dataOnly="0" labelOnly="1" outline="0" fieldPosition="0">
        <references count="5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>
            <x v="1"/>
          </reference>
        </references>
      </pivotArea>
    </format>
    <format dxfId="99">
      <pivotArea dataOnly="0" labelOnly="1" outline="0" fieldPosition="0">
        <references count="5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>
            <x v="5"/>
          </reference>
        </references>
      </pivotArea>
    </format>
    <format dxfId="98">
      <pivotArea dataOnly="0" labelOnly="1" outline="0" fieldPosition="0">
        <references count="5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>
            <x v="1"/>
          </reference>
        </references>
      </pivotArea>
    </format>
    <format dxfId="97">
      <pivotArea dataOnly="0" labelOnly="1" outline="0" fieldPosition="0">
        <references count="5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 selected="0">
            <x v="31"/>
          </reference>
          <reference field="5" count="1">
            <x v="5"/>
          </reference>
        </references>
      </pivotArea>
    </format>
    <format dxfId="96">
      <pivotArea dataOnly="0" labelOnly="1" outline="0" fieldPosition="0">
        <references count="5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>
            <x v="6"/>
          </reference>
        </references>
      </pivotArea>
    </format>
    <format dxfId="95">
      <pivotArea dataOnly="0" labelOnly="1" outline="0" fieldPosition="0">
        <references count="5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>
            <x v="1"/>
          </reference>
        </references>
      </pivotArea>
    </format>
    <format dxfId="94">
      <pivotArea dataOnly="0" labelOnly="1" outline="0" fieldPosition="0">
        <references count="5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 selected="0">
            <x v="34"/>
          </reference>
          <reference field="5" count="1">
            <x v="3"/>
          </reference>
        </references>
      </pivotArea>
    </format>
    <format dxfId="93">
      <pivotArea dataOnly="0" labelOnly="1" outline="0" fieldPosition="0">
        <references count="5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>
            <x v="1"/>
          </reference>
        </references>
      </pivotArea>
    </format>
    <format dxfId="92">
      <pivotArea dataOnly="0" labelOnly="1" outline="0" fieldPosition="0">
        <references count="5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 selected="0">
            <x v="44"/>
          </reference>
          <reference field="5" count="1">
            <x v="3"/>
          </reference>
        </references>
      </pivotArea>
    </format>
    <format dxfId="91">
      <pivotArea dataOnly="0" labelOnly="1" outline="0" fieldPosition="0">
        <references count="5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>
            <x v="1"/>
          </reference>
        </references>
      </pivotArea>
    </format>
    <format dxfId="90">
      <pivotArea dataOnly="0" labelOnly="1" outline="0" fieldPosition="0">
        <references count="5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 selected="0">
            <x v="36"/>
          </reference>
          <reference field="5" count="1">
            <x v="3"/>
          </reference>
        </references>
      </pivotArea>
    </format>
    <format dxfId="89">
      <pivotArea dataOnly="0" labelOnly="1" outline="0" fieldPosition="0">
        <references count="5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>
            <x v="1"/>
          </reference>
        </references>
      </pivotArea>
    </format>
    <format dxfId="88">
      <pivotArea dataOnly="0" labelOnly="1" outline="0" fieldPosition="0">
        <references count="5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>
            <x v="5"/>
          </reference>
        </references>
      </pivotArea>
    </format>
    <format dxfId="87">
      <pivotArea dataOnly="0" labelOnly="1" outline="0" fieldPosition="0">
        <references count="6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>
            <x v="10"/>
          </reference>
        </references>
      </pivotArea>
    </format>
    <format dxfId="86">
      <pivotArea dataOnly="0" labelOnly="1" outline="0" fieldPosition="0">
        <references count="6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 selected="0">
            <x v="22"/>
          </reference>
          <reference field="5" count="1" selected="0">
            <x v="5"/>
          </reference>
          <reference field="6" count="1">
            <x v="39"/>
          </reference>
        </references>
      </pivotArea>
    </format>
    <format dxfId="85">
      <pivotArea dataOnly="0" labelOnly="1" outline="0" fieldPosition="0">
        <references count="6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 selected="0">
            <x v="3"/>
          </reference>
          <reference field="6" count="1">
            <x v="40"/>
          </reference>
        </references>
      </pivotArea>
    </format>
    <format dxfId="84">
      <pivotArea dataOnly="0" labelOnly="1" outline="0" fieldPosition="0">
        <references count="6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>
            <x v="25"/>
          </reference>
        </references>
      </pivotArea>
    </format>
    <format dxfId="83">
      <pivotArea dataOnly="0" labelOnly="1" outline="0" fieldPosition="0">
        <references count="6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>
            <x v="41"/>
          </reference>
        </references>
      </pivotArea>
    </format>
    <format dxfId="82">
      <pivotArea dataOnly="0" labelOnly="1" outline="0" fieldPosition="0">
        <references count="6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>
            <x v="28"/>
          </reference>
        </references>
      </pivotArea>
    </format>
    <format dxfId="81">
      <pivotArea dataOnly="0" labelOnly="1" outline="0" fieldPosition="0">
        <references count="6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>
            <x v="41"/>
          </reference>
        </references>
      </pivotArea>
    </format>
    <format dxfId="80">
      <pivotArea dataOnly="0" labelOnly="1" outline="0" fieldPosition="0">
        <references count="6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>
            <x v="26"/>
          </reference>
        </references>
      </pivotArea>
    </format>
    <format dxfId="79">
      <pivotArea dataOnly="0" labelOnly="1" outline="0" fieldPosition="0">
        <references count="6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 selected="0">
            <x v="1"/>
          </reference>
          <reference field="6" count="1">
            <x v="29"/>
          </reference>
        </references>
      </pivotArea>
    </format>
    <format dxfId="78">
      <pivotArea dataOnly="0" labelOnly="1" outline="0" fieldPosition="0">
        <references count="6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>
            <x v="30"/>
          </reference>
        </references>
      </pivotArea>
    </format>
    <format dxfId="77">
      <pivotArea dataOnly="0" labelOnly="1" outline="0" fieldPosition="0">
        <references count="6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 selected="0">
            <x v="5"/>
          </reference>
          <reference field="6" count="1">
            <x v="29"/>
          </reference>
        </references>
      </pivotArea>
    </format>
    <format dxfId="76">
      <pivotArea dataOnly="0" labelOnly="1" outline="0" fieldPosition="0">
        <references count="6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>
            <x v="30"/>
          </reference>
        </references>
      </pivotArea>
    </format>
    <format dxfId="75">
      <pivotArea dataOnly="0" labelOnly="1" outline="0" fieldPosition="0">
        <references count="6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 selected="0">
            <x v="21"/>
          </reference>
          <reference field="5" count="1" selected="0">
            <x v="5"/>
          </reference>
          <reference field="6" count="1">
            <x v="31"/>
          </reference>
        </references>
      </pivotArea>
    </format>
    <format dxfId="74">
      <pivotArea dataOnly="0" labelOnly="1" outline="0" fieldPosition="0">
        <references count="6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 selected="0">
            <x v="32"/>
          </reference>
          <reference field="5" count="1" selected="0">
            <x v="5"/>
          </reference>
          <reference field="6" count="1">
            <x v="42"/>
          </reference>
        </references>
      </pivotArea>
    </format>
    <format dxfId="73">
      <pivotArea dataOnly="0" labelOnly="1" outline="0" fieldPosition="0">
        <references count="6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6"/>
          </reference>
          <reference field="6" count="1">
            <x v="43"/>
          </reference>
        </references>
      </pivotArea>
    </format>
    <format dxfId="72">
      <pivotArea dataOnly="0" labelOnly="1" outline="0" fieldPosition="0">
        <references count="6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1"/>
          </reference>
          <reference field="6" count="1">
            <x v="33"/>
          </reference>
        </references>
      </pivotArea>
    </format>
    <format dxfId="71">
      <pivotArea dataOnly="0" labelOnly="1" outline="0" fieldPosition="0">
        <references count="6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1"/>
          </reference>
          <reference field="6" count="1">
            <x v="34"/>
          </reference>
        </references>
      </pivotArea>
    </format>
    <format dxfId="70">
      <pivotArea dataOnly="0" labelOnly="1" outline="0" fieldPosition="0">
        <references count="6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 selected="0">
            <x v="1"/>
          </reference>
          <reference field="6" count="1">
            <x v="43"/>
          </reference>
        </references>
      </pivotArea>
    </format>
    <format dxfId="69">
      <pivotArea dataOnly="0" labelOnly="1" outline="0" fieldPosition="0">
        <references count="6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1"/>
          </reference>
          <reference field="6" count="1">
            <x v="44"/>
          </reference>
        </references>
      </pivotArea>
    </format>
    <format dxfId="68">
      <pivotArea dataOnly="0" labelOnly="1" outline="0" fieldPosition="0">
        <references count="6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 selected="0">
            <x v="5"/>
          </reference>
          <reference field="6" count="1">
            <x v="36"/>
          </reference>
        </references>
      </pivotArea>
    </format>
    <format dxfId="67">
      <pivotArea dataOnly="0" labelOnly="1" outline="0" fieldPosition="0">
        <references count="7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 selected="0">
            <x v="10"/>
          </reference>
          <reference field="7" count="1">
            <x v="1"/>
          </reference>
        </references>
      </pivotArea>
    </format>
    <format dxfId="66">
      <pivotArea dataOnly="0" labelOnly="1" outline="0" fieldPosition="0">
        <references count="7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 selected="0">
            <x v="25"/>
          </reference>
          <reference field="7" count="1">
            <x v="0"/>
          </reference>
        </references>
      </pivotArea>
    </format>
    <format dxfId="65">
      <pivotArea dataOnly="0" labelOnly="1" outline="0" fieldPosition="0">
        <references count="7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 selected="0">
            <x v="3"/>
          </reference>
          <reference field="6" count="1" selected="0">
            <x v="25"/>
          </reference>
          <reference field="7" count="1">
            <x v="1"/>
          </reference>
        </references>
      </pivotArea>
    </format>
    <format dxfId="64">
      <pivotArea dataOnly="0" labelOnly="1" outline="0" fieldPosition="0">
        <references count="7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 selected="0">
            <x v="41"/>
          </reference>
          <reference field="7" count="1">
            <x v="4"/>
          </reference>
        </references>
      </pivotArea>
    </format>
    <format dxfId="63">
      <pivotArea dataOnly="0" labelOnly="1" outline="0" fieldPosition="0">
        <references count="7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 selected="0">
            <x v="28"/>
          </reference>
          <reference field="7" count="1">
            <x v="0"/>
          </reference>
        </references>
      </pivotArea>
    </format>
    <format dxfId="62">
      <pivotArea dataOnly="0" labelOnly="1" outline="0" fieldPosition="0">
        <references count="7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 selected="0">
            <x v="41"/>
          </reference>
          <reference field="7" count="1">
            <x v="1"/>
          </reference>
        </references>
      </pivotArea>
    </format>
    <format dxfId="61">
      <pivotArea dataOnly="0" labelOnly="1" outline="0" fieldPosition="0">
        <references count="7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>
            <x v="2"/>
          </reference>
        </references>
      </pivotArea>
    </format>
    <format dxfId="60">
      <pivotArea dataOnly="0" labelOnly="1" outline="0" fieldPosition="0">
        <references count="8">
          <reference field="0" count="1" selected="0">
            <x v="0"/>
          </reference>
          <reference field="1" count="1" selected="0">
            <x v="23"/>
          </reference>
          <reference field="3" count="1" selected="0">
            <x v="15"/>
          </reference>
          <reference field="4" count="1" selected="0">
            <x v="42"/>
          </reference>
          <reference field="5" count="1" selected="0">
            <x v="5"/>
          </reference>
          <reference field="6" count="1" selected="0">
            <x v="10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59">
      <pivotArea dataOnly="0" labelOnly="1" outline="0" fieldPosition="0">
        <references count="8">
          <reference field="0" count="1" selected="0">
            <x v="7"/>
          </reference>
          <reference field="1" count="1" selected="0">
            <x v="69"/>
          </reference>
          <reference field="3" count="1" selected="0">
            <x v="24"/>
          </reference>
          <reference field="4" count="1" selected="0">
            <x v="22"/>
          </reference>
          <reference field="5" count="1" selected="0">
            <x v="5"/>
          </reference>
          <reference field="6" count="1" selected="0">
            <x v="3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58">
      <pivotArea dataOnly="0" labelOnly="1" outline="0" fieldPosition="0">
        <references count="8">
          <reference field="0" count="1" selected="0">
            <x v="12"/>
          </reference>
          <reference field="1" count="1" selected="0">
            <x v="18"/>
          </reference>
          <reference field="3" count="1" selected="0">
            <x v="25"/>
          </reference>
          <reference field="4" count="1" selected="0">
            <x v="23"/>
          </reference>
          <reference field="5" count="1" selected="0">
            <x v="3"/>
          </reference>
          <reference field="6" count="1" selected="0">
            <x v="40"/>
          </reference>
          <reference field="7" count="1" selected="0">
            <x v="1"/>
          </reference>
          <reference field="8" count="1">
            <x v="8"/>
          </reference>
        </references>
      </pivotArea>
    </format>
    <format dxfId="57">
      <pivotArea dataOnly="0" labelOnly="1" outline="0" fieldPosition="0">
        <references count="8">
          <reference field="0" count="1" selected="0">
            <x v="22"/>
          </reference>
          <reference field="1" count="1" selected="0">
            <x v="70"/>
          </reference>
          <reference field="3" count="1" selected="0">
            <x v="26"/>
          </reference>
          <reference field="4" count="1" selected="0">
            <x v="24"/>
          </reference>
          <reference field="5" count="1" selected="0">
            <x v="1"/>
          </reference>
          <reference field="6" count="1" selected="0">
            <x v="25"/>
          </reference>
          <reference field="7" count="1" selected="0">
            <x v="0"/>
          </reference>
          <reference field="8" count="1">
            <x v="5"/>
          </reference>
        </references>
      </pivotArea>
    </format>
    <format dxfId="56">
      <pivotArea dataOnly="0" labelOnly="1" outline="0" fieldPosition="0">
        <references count="8">
          <reference field="0" count="1" selected="0">
            <x v="28"/>
          </reference>
          <reference field="1" count="1" selected="0">
            <x v="71"/>
          </reference>
          <reference field="3" count="1" selected="0">
            <x v="27"/>
          </reference>
          <reference field="4" count="1" selected="0">
            <x v="25"/>
          </reference>
          <reference field="5" count="1" selected="0">
            <x v="3"/>
          </reference>
          <reference field="6" count="1" selected="0">
            <x v="25"/>
          </reference>
          <reference field="7" count="1" selected="0">
            <x v="1"/>
          </reference>
          <reference field="8" count="1">
            <x v="8"/>
          </reference>
        </references>
      </pivotArea>
    </format>
    <format dxfId="55">
      <pivotArea dataOnly="0" labelOnly="1" outline="0" fieldPosition="0">
        <references count="8">
          <reference field="0" count="1" selected="0">
            <x v="32"/>
          </reference>
          <reference field="1" count="1" selected="0">
            <x v="12"/>
          </reference>
          <reference field="3" count="1" selected="0">
            <x v="28"/>
          </reference>
          <reference field="4" count="1" selected="0">
            <x v="26"/>
          </reference>
          <reference field="5" count="1" selected="0">
            <x v="0"/>
          </reference>
          <reference field="6" count="1" selected="0">
            <x v="41"/>
          </reference>
          <reference field="7" count="1" selected="0">
            <x v="4"/>
          </reference>
          <reference field="8" count="1">
            <x v="7"/>
          </reference>
        </references>
      </pivotArea>
    </format>
    <format dxfId="54">
      <pivotArea dataOnly="0" labelOnly="1" outline="0" fieldPosition="0">
        <references count="8">
          <reference field="0" count="1" selected="0">
            <x v="38"/>
          </reference>
          <reference field="1" count="1" selected="0">
            <x v="72"/>
          </reference>
          <reference field="3" count="1" selected="0">
            <x v="29"/>
          </reference>
          <reference field="4" count="1" selected="0">
            <x v="27"/>
          </reference>
          <reference field="5" count="1" selected="0">
            <x v="0"/>
          </reference>
          <reference field="6" count="1" selected="0">
            <x v="28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53">
      <pivotArea dataOnly="0" labelOnly="1" outline="0" fieldPosition="0">
        <references count="8">
          <reference field="0" count="1" selected="0">
            <x v="40"/>
          </reference>
          <reference field="1" count="1" selected="0">
            <x v="73"/>
          </reference>
          <reference field="3" count="1" selected="0">
            <x v="30"/>
          </reference>
          <reference field="4" count="1" selected="0">
            <x v="18"/>
          </reference>
          <reference field="5" count="1" selected="0">
            <x v="1"/>
          </reference>
          <reference field="6" count="1" selected="0">
            <x v="41"/>
          </reference>
          <reference field="7" count="1" selected="0">
            <x v="1"/>
          </reference>
          <reference field="8" count="1">
            <x v="2"/>
          </reference>
        </references>
      </pivotArea>
    </format>
    <format dxfId="52">
      <pivotArea dataOnly="0" labelOnly="1" outline="0" fieldPosition="0">
        <references count="8">
          <reference field="0" count="1" selected="0">
            <x v="45"/>
          </reference>
          <reference field="1" count="1" selected="0">
            <x v="74"/>
          </reference>
          <reference field="3" count="1" selected="0">
            <x v="25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51">
      <pivotArea dataOnly="0" labelOnly="1" outline="0" fieldPosition="0">
        <references count="8">
          <reference field="0" count="1" selected="0">
            <x v="46"/>
          </reference>
          <reference field="1" count="1" selected="0">
            <x v="75"/>
          </reference>
          <reference field="3" count="1" selected="0">
            <x v="29"/>
          </reference>
          <reference field="4" count="1" selected="0">
            <x v="28"/>
          </reference>
          <reference field="5" count="1" selected="0">
            <x v="5"/>
          </reference>
          <reference field="6" count="1" selected="0">
            <x v="2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50">
      <pivotArea dataOnly="0" labelOnly="1" outline="0" fieldPosition="0">
        <references count="8">
          <reference field="0" count="1" selected="0">
            <x v="47"/>
          </reference>
          <reference field="1" count="1" selected="0">
            <x v="9"/>
          </reference>
          <reference field="3" count="1" selected="0">
            <x v="29"/>
          </reference>
          <reference field="4" count="1" selected="0">
            <x v="29"/>
          </reference>
          <reference field="5" count="1" selected="0">
            <x v="1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9">
      <pivotArea dataOnly="0" labelOnly="1" outline="0" fieldPosition="0">
        <references count="8">
          <reference field="0" count="1" selected="0">
            <x v="48"/>
          </reference>
          <reference field="1" count="1" selected="0">
            <x v="76"/>
          </reference>
          <reference field="3" count="1" selected="0">
            <x v="31"/>
          </reference>
          <reference field="4" count="1" selected="0">
            <x v="29"/>
          </reference>
          <reference field="5" count="1" selected="0">
            <x v="1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8">
      <pivotArea dataOnly="0" labelOnly="1" outline="0" fieldPosition="0">
        <references count="8">
          <reference field="0" count="1" selected="0">
            <x v="49"/>
          </reference>
          <reference field="1" count="1" selected="0">
            <x v="77"/>
          </reference>
          <reference field="3" count="1" selected="0">
            <x v="32"/>
          </reference>
          <reference field="4" count="1" selected="0">
            <x v="43"/>
          </reference>
          <reference field="5" count="1" selected="0">
            <x v="3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7">
      <pivotArea dataOnly="0" labelOnly="1" outline="0" fieldPosition="0">
        <references count="8">
          <reference field="0" count="1" selected="0">
            <x v="50"/>
          </reference>
          <reference field="1" count="1" selected="0">
            <x v="78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6">
      <pivotArea dataOnly="0" labelOnly="1" outline="0" fieldPosition="0">
        <references count="8">
          <reference field="0" count="1" selected="0">
            <x v="51"/>
          </reference>
          <reference field="1" count="1" selected="0">
            <x v="79"/>
          </reference>
          <reference field="3" count="1" selected="0">
            <x v="33"/>
          </reference>
          <reference field="4" count="1" selected="0">
            <x v="30"/>
          </reference>
          <reference field="5" count="1" selected="0">
            <x v="5"/>
          </reference>
          <reference field="6" count="1" selected="0">
            <x v="29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5">
      <pivotArea dataOnly="0" labelOnly="1" outline="0" fieldPosition="0">
        <references count="8">
          <reference field="0" count="1" selected="0">
            <x v="52"/>
          </reference>
          <reference field="1" count="1" selected="0">
            <x v="80"/>
          </reference>
          <reference field="3" count="1" selected="0">
            <x v="28"/>
          </reference>
          <reference field="4" count="1" selected="0">
            <x v="20"/>
          </reference>
          <reference field="5" count="1" selected="0">
            <x v="1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4">
      <pivotArea dataOnly="0" labelOnly="1" outline="0" fieldPosition="0">
        <references count="8">
          <reference field="0" count="1" selected="0">
            <x v="53"/>
          </reference>
          <reference field="1" count="1" selected="0">
            <x v="4"/>
          </reference>
          <reference field="3" count="1" selected="0">
            <x v="25"/>
          </reference>
          <reference field="4" count="1" selected="0">
            <x v="31"/>
          </reference>
          <reference field="5" count="1" selected="0">
            <x v="5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3">
      <pivotArea dataOnly="0" labelOnly="1" outline="0" fieldPosition="0">
        <references count="8">
          <reference field="0" count="1" selected="0">
            <x v="54"/>
          </reference>
          <reference field="1" count="1" selected="0">
            <x v="1"/>
          </reference>
          <reference field="3" count="1" selected="0">
            <x v="31"/>
          </reference>
          <reference field="4" count="1" selected="0">
            <x v="31"/>
          </reference>
          <reference field="5" count="1" selected="0">
            <x v="5"/>
          </reference>
          <reference field="6" count="1" selected="0">
            <x v="30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2">
      <pivotArea dataOnly="0" labelOnly="1" outline="0" fieldPosition="0">
        <references count="8">
          <reference field="0" count="1" selected="0">
            <x v="55"/>
          </reference>
          <reference field="1" count="1" selected="0">
            <x v="81"/>
          </reference>
          <reference field="3" count="1" selected="0">
            <x v="25"/>
          </reference>
          <reference field="4" count="1" selected="0">
            <x v="21"/>
          </reference>
          <reference field="5" count="1" selected="0">
            <x v="5"/>
          </reference>
          <reference field="6" count="1" selected="0">
            <x v="31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1">
      <pivotArea dataOnly="0" labelOnly="1" outline="0" fieldPosition="0">
        <references count="8">
          <reference field="0" count="1" selected="0">
            <x v="56"/>
          </reference>
          <reference field="1" count="1" selected="0">
            <x v="82"/>
          </reference>
          <reference field="3" count="1" selected="0">
            <x v="25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40">
      <pivotArea dataOnly="0" labelOnly="1" outline="0" fieldPosition="0">
        <references count="8">
          <reference field="0" count="1" selected="0">
            <x v="57"/>
          </reference>
          <reference field="1" count="1" selected="0">
            <x v="83"/>
          </reference>
          <reference field="3" count="1" selected="0">
            <x v="28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9">
      <pivotArea dataOnly="0" labelOnly="1" outline="0" fieldPosition="0">
        <references count="8">
          <reference field="0" count="1" selected="0">
            <x v="58"/>
          </reference>
          <reference field="1" count="1" selected="0">
            <x v="6"/>
          </reference>
          <reference field="3" count="1" selected="0">
            <x v="28"/>
          </reference>
          <reference field="4" count="1" selected="0">
            <x v="32"/>
          </reference>
          <reference field="5" count="1" selected="0">
            <x v="5"/>
          </reference>
          <reference field="6" count="1" selected="0">
            <x v="42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8">
      <pivotArea dataOnly="0" labelOnly="1" outline="0" fieldPosition="0">
        <references count="8">
          <reference field="0" count="1" selected="0">
            <x v="59"/>
          </reference>
          <reference field="1" count="1" selected="0">
            <x v="15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6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8">
          <reference field="0" count="1" selected="0">
            <x v="60"/>
          </reference>
          <reference field="1" count="1" selected="0">
            <x v="84"/>
          </reference>
          <reference field="3" count="1" selected="0">
            <x v="28"/>
          </reference>
          <reference field="4" count="1" selected="0">
            <x v="33"/>
          </reference>
          <reference field="5" count="1" selected="0">
            <x v="1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6">
      <pivotArea dataOnly="0" labelOnly="1" outline="0" fieldPosition="0">
        <references count="8">
          <reference field="0" count="1" selected="0">
            <x v="61"/>
          </reference>
          <reference field="1" count="1" selected="0">
            <x v="85"/>
          </reference>
          <reference field="3" count="1" selected="0">
            <x v="34"/>
          </reference>
          <reference field="4" count="1" selected="0">
            <x v="33"/>
          </reference>
          <reference field="5" count="1" selected="0">
            <x v="1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5">
      <pivotArea dataOnly="0" labelOnly="1" outline="0" fieldPosition="0">
        <references count="8">
          <reference field="0" count="1" selected="0">
            <x v="62"/>
          </reference>
          <reference field="1" count="1" selected="0">
            <x v="19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3"/>
          </reference>
          <reference field="6" count="1" selected="0">
            <x v="3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4">
      <pivotArea dataOnly="0" labelOnly="1" outline="0" fieldPosition="0">
        <references count="8">
          <reference field="0" count="1" selected="0">
            <x v="63"/>
          </reference>
          <reference field="1" count="1" selected="0">
            <x v="86"/>
          </reference>
          <reference field="3" count="1" selected="0">
            <x v="28"/>
          </reference>
          <reference field="4" count="1" selected="0">
            <x v="34"/>
          </reference>
          <reference field="5" count="1" selected="0">
            <x v="1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3">
      <pivotArea dataOnly="0" labelOnly="1" outline="0" fieldPosition="0">
        <references count="8">
          <reference field="0" count="1" selected="0">
            <x v="64"/>
          </reference>
          <reference field="1" count="1" selected="0">
            <x v="2"/>
          </reference>
          <reference field="3" count="1" selected="0">
            <x v="35"/>
          </reference>
          <reference field="4" count="1" selected="0">
            <x v="34"/>
          </reference>
          <reference field="5" count="1" selected="0">
            <x v="1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2">
      <pivotArea dataOnly="0" labelOnly="1" outline="0" fieldPosition="0">
        <references count="8">
          <reference field="0" count="1" selected="0">
            <x v="65"/>
          </reference>
          <reference field="1" count="1" selected="0">
            <x v="87"/>
          </reference>
          <reference field="3" count="1" selected="0">
            <x v="33"/>
          </reference>
          <reference field="4" count="1" selected="0">
            <x v="44"/>
          </reference>
          <reference field="5" count="1" selected="0">
            <x v="3"/>
          </reference>
          <reference field="6" count="1" selected="0">
            <x v="3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1">
      <pivotArea dataOnly="0" labelOnly="1" outline="0" fieldPosition="0">
        <references count="8">
          <reference field="0" count="1" selected="0">
            <x v="66"/>
          </reference>
          <reference field="1" count="1" selected="0">
            <x v="3"/>
          </reference>
          <reference field="3" count="1" selected="0">
            <x v="36"/>
          </reference>
          <reference field="4" count="1" selected="0">
            <x v="35"/>
          </reference>
          <reference field="5" count="1" selected="0">
            <x v="1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30">
      <pivotArea dataOnly="0" labelOnly="1" outline="0" fieldPosition="0">
        <references count="8">
          <reference field="0" count="1" selected="0">
            <x v="67"/>
          </reference>
          <reference field="1" count="1" selected="0">
            <x v="88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3"/>
          </reference>
          <reference field="6" count="1" selected="0">
            <x v="43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9">
      <pivotArea dataOnly="0" labelOnly="1" outline="0" fieldPosition="0">
        <references count="8">
          <reference field="0" count="1" selected="0">
            <x v="68"/>
          </reference>
          <reference field="1" count="1" selected="0">
            <x v="89"/>
          </reference>
          <reference field="3" count="1" selected="0">
            <x v="33"/>
          </reference>
          <reference field="4" count="1" selected="0">
            <x v="36"/>
          </reference>
          <reference field="5" count="1" selected="0">
            <x v="1"/>
          </reference>
          <reference field="6" count="1" selected="0">
            <x v="44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8">
      <pivotArea dataOnly="0" labelOnly="1" outline="0" fieldPosition="0">
        <references count="8">
          <reference field="0" count="1" selected="0">
            <x v="69"/>
          </reference>
          <reference field="1" count="1" selected="0">
            <x v="22"/>
          </reference>
          <reference field="3" count="1" selected="0">
            <x v="37"/>
          </reference>
          <reference field="4" count="1" selected="0">
            <x v="45"/>
          </reference>
          <reference field="5" count="1" selected="0">
            <x v="5"/>
          </reference>
          <reference field="6" count="1" selected="0">
            <x v="36"/>
          </reference>
          <reference field="7" count="1" selected="0">
            <x v="2"/>
          </reference>
          <reference field="8" count="1">
            <x v="0"/>
          </reference>
        </references>
      </pivotArea>
    </format>
    <format dxfId="27">
      <pivotArea dataOnly="0" labelOnly="1" outline="0" fieldPosition="0">
        <references count="3">
          <reference field="0" count="1" selected="0">
            <x v="22"/>
          </reference>
          <reference field="1" count="1" selected="0">
            <x v="70"/>
          </reference>
          <reference field="3" count="1">
            <x v="26"/>
          </reference>
        </references>
      </pivotArea>
    </format>
  </formats>
  <pivotTableStyleInfo name="PivotStyleLight16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B3FC2-87C4-469D-8802-B4CEEA42C620}" name="TaskStatus" cacheId="7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 rowHeaderCaption="Task Status">
  <location ref="E13:F18" firstHeaderRow="1" firstDataRow="1" firstDataCol="1"/>
  <pivotFields count="2">
    <pivotField axis="axisRow" showAll="0" defaultSubtotal="0">
      <items count="5">
        <item x="4"/>
        <item x="2"/>
        <item x="3"/>
        <item x="0"/>
        <item x="1"/>
      </items>
    </pivotField>
    <pivotField dataField="1" showAll="0" defaultSubtota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ask Progress" fld="1" baseField="0" baseItem="0"/>
  </dataFields>
  <formats count="4">
    <format dxfId="17">
      <pivotArea field="0" type="button" dataOnly="0" labelOnly="1" outline="0" axis="axisRow" fieldPosition="0"/>
    </format>
    <format dxfId="16">
      <pivotArea dataOnly="0" labelOnly="1" outline="0" axis="axisValues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</format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5CF9F-1649-4CD5-9F5D-54DAFAADA308}" name="NumberOfTasks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6:B7" firstHeaderRow="1" firstDataRow="1" firstDataCol="0"/>
  <pivotFields count="9">
    <pivotField dataField="1" numFmtId="1" showAll="0"/>
    <pivotField showAll="0"/>
    <pivotField showAll="0"/>
    <pivotField showAll="0"/>
    <pivotField numFmtId="14" showAll="0"/>
    <pivotField numFmtId="1" showAll="0"/>
    <pivotField numFmtId="14" showAll="0"/>
    <pivotField numFmtId="1" showAll="0"/>
    <pivotField numFmtId="10" showAll="0"/>
  </pivotFields>
  <rowItems count="1">
    <i/>
  </rowItems>
  <colItems count="1">
    <i/>
  </colItems>
  <dataFields count="1">
    <dataField name="Count of  REF" fld="0" subtotal="count" baseField="0" baseItem="0"/>
  </dataFields>
  <formats count="3">
    <format dxfId="20">
      <pivotArea dataOnly="0" labelOnly="1" outline="0" axis="axisValues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</formats>
  <chartFormats count="2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A5516-F663-48D5-B8C4-E4CB76C5CBBE}" name="PivotTable7" cacheId="9" dataOnRows="1" applyNumberFormats="0" applyBorderFormats="0" applyFontFormats="0" applyPatternFormats="0" applyAlignmentFormats="0" applyWidthHeightFormats="1" dataCaption="Project Days" updatedVersion="6" minRefreshableVersion="3" useAutoFormatting="1" itemPrintTitles="1" createdVersion="6" indent="0" outline="1" outlineData="1" multipleFieldFilters="0" chartFormat="3">
  <location ref="I6:J8" firstHeaderRow="1" firstDataRow="1" firstDataCol="1"/>
  <pivotFields count="9">
    <pivotField numFmtId="1" showAll="0"/>
    <pivotField showAll="0"/>
    <pivotField showAll="0"/>
    <pivotField showAll="0"/>
    <pivotField numFmtId="14" showAll="0"/>
    <pivotField dataField="1" numFmtId="1" showAll="0"/>
    <pivotField numFmtId="14" showAll="0"/>
    <pivotField dataField="1" numFmtId="1" showAll="0"/>
    <pivotField numFmtId="10" showAll="0"/>
  </pivotFields>
  <rowFields count="1">
    <field x="-2"/>
  </rowFields>
  <rowItems count="2">
    <i>
      <x/>
    </i>
    <i i="1">
      <x v="1"/>
    </i>
  </rowItems>
  <colItems count="1">
    <i/>
  </colItems>
  <dataFields count="2">
    <dataField name="Completed Work Days" fld="7" baseField="0" baseItem="0"/>
    <dataField name="Total Work Days" fld="5" baseField="0" baseItem="0"/>
  </dataFields>
  <formats count="6">
    <format dxfId="26">
      <pivotArea field="-2" type="button" dataOnly="0" labelOnly="1" outline="0" axis="axisRow" fieldPosition="0"/>
    </format>
    <format dxfId="25">
      <pivotArea dataOnly="0" labelOnly="1" grandCol="1" outline="0" axis="axisCol" fieldPosition="0"/>
    </format>
    <format dxfId="24">
      <pivotArea field="-2" type="button" dataOnly="0" labelOnly="1" outline="0" axis="axisRow" fieldPosition="0"/>
    </format>
    <format dxfId="23">
      <pivotArea dataOnly="0" labelOnly="1" grandCol="1" outline="0" axis="axisCol" fieldPosition="0"/>
    </format>
    <format dxfId="22">
      <pivotArea field="-2" type="button" dataOnly="0" labelOnly="1" outline="0" axis="axisRow" fieldPosition="0"/>
    </format>
    <format dxfId="21">
      <pivotArea dataOnly="0" labelOnly="1" grandCol="1" outline="0" axis="axisCol" fieldPosition="0"/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8E36B-EE77-4E10-B09C-7C443499FB45}" name="PivotTable12" cacheId="8" dataOnRows="1" applyNumberFormats="0" applyBorderFormats="0" applyFontFormats="0" applyPatternFormats="0" applyAlignmentFormats="0" applyWidthHeightFormats="1" dataCaption="Values" updatedVersion="6" minRefreshableVersion="3" showDrill="0" useAutoFormatting="1" rowGrandTotals="0" colGrandTotals="0" itemPrintTitles="1" createdVersion="6" indent="0" compact="0" compactData="0" multipleFieldFilters="0" chartFormat="3">
  <location ref="L6:M9" firstHeaderRow="1" firstDataRow="1" firstDataCol="1"/>
  <pivotFields count="4">
    <pivotField compact="0" outline="0" subtotalTop="0" showAll="0" defaultSubtotal="0"/>
    <pivotField dataField="1" compact="0" numFmtId="165" outline="0" showAll="0" defaultSubtotal="0"/>
    <pivotField dataField="1" compact="0" numFmtId="165" outline="0" showAll="0" defaultSubtotal="0"/>
    <pivotField dataField="1" compact="0" numFmtId="165" outline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pent to date " fld="2" baseField="0" baseItem="110621384" numFmtId="3"/>
    <dataField name="Budget remaining " fld="3" baseField="0" baseItem="450874296" numFmtId="3"/>
    <dataField name="Budget " fld="1" baseField="0" baseItem="943968072" numFmtId="3"/>
  </dataFields>
  <formats count="4">
    <format dxfId="3">
      <pivotArea field="-2" type="button" dataOnly="0" labelOnly="1" outline="0" axis="axisRow" fieldPosition="0"/>
    </format>
    <format dxfId="2">
      <pivotArea dataOnly="0" labelOnly="1" grandCol="1" outline="0" axis="axisCol" fieldPosition="0"/>
    </format>
    <format dxfId="1">
      <pivotArea field="-2" type="button" dataOnly="0" labelOnly="1" outline="0" axis="axisRow" fieldPosition="0"/>
    </format>
    <format dxfId="0">
      <pivotArea dataOnly="0" labelOnly="1" grandCol="1" outline="0" axis="axisCol" fieldPosition="0"/>
    </format>
  </formats>
  <chartFormats count="4"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5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6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33D1E-F447-4293-9602-BF8DE99B6152}" name="PivotTable1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6">
  <location ref="B6:E18" firstHeaderRow="0" firstDataRow="1" firstDataCol="1"/>
  <pivotFields count="4">
    <pivotField axis="axisRow" compact="0" outline="0" subtotalTop="0" showAll="0" defaultSubtotal="0">
      <items count="11">
        <item x="10"/>
        <item x="4"/>
        <item x="3"/>
        <item x="7"/>
        <item x="9"/>
        <item x="0"/>
        <item x="8"/>
        <item x="5"/>
        <item x="6"/>
        <item x="1"/>
        <item x="2"/>
      </items>
    </pivotField>
    <pivotField dataField="1" compact="0" numFmtId="166" outline="0" showAll="0" defaultSubtotal="0"/>
    <pivotField dataField="1" compact="0" numFmtId="166" outline="0" showAll="0" defaultSubtotal="0"/>
    <pivotField dataField="1" compact="0" numFmtId="166" outline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udget " fld="1" baseField="0" baseItem="0" numFmtId="3"/>
    <dataField name="Spent to date " fld="2" baseField="0" baseItem="0" numFmtId="3"/>
    <dataField name="Budget remaining " fld="3" baseField="0" baseItem="0" numFmtId="3"/>
  </dataFields>
  <formats count="10"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outline="0" fieldPosition="0">
        <references count="1">
          <reference field="4294967294" count="1">
            <x v="1"/>
          </reference>
        </references>
      </pivotArea>
    </format>
    <format dxfId="6">
      <pivotArea outline="0" fieldPosition="0">
        <references count="1">
          <reference field="4294967294" count="1">
            <x v="2"/>
          </reference>
        </references>
      </pivotArea>
    </format>
    <format dxfId="5">
      <pivotArea field="0" type="button" dataOnly="0" labelOnly="1" outline="0" axis="axisRow" fieldPosition="0"/>
    </format>
    <format dxfId="4">
      <pivotArea field="0" type="button" dataOnly="0" labelOnly="1" outline="0" axis="axisRow" fieldPosition="0"/>
    </format>
  </formats>
  <chartFormats count="6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2C7580-6677-40FD-A0BF-2C74AEC4AA3E}" name="ProjectPlanData" displayName="ProjectPlanData" ref="B10:J34" totalsRowShown="0" headerRowDxfId="750" dataDxfId="749">
  <autoFilter ref="B10:J34" xr:uid="{B6CD7F43-E483-461B-8FBF-0DF998169B1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02E2523-2AA2-4DFB-A7C5-220AB4B9BC0A}" name=" REF" dataDxfId="748"/>
    <tableColumn id="2" xr3:uid="{F63E9144-CB38-4126-B492-CD1DA2E6F67B}" name="TASK" dataDxfId="747"/>
    <tableColumn id="3" xr3:uid="{39AB1CF2-AC8A-48E2-B8B8-283075FD5EBB}" name="MAIN ISO22301 REF" dataDxfId="746"/>
    <tableColumn id="10" xr3:uid="{5E24BA99-44F2-47BC-BDB2-1897C4B6CD12}" name="RESOURCE" dataDxfId="745"/>
    <tableColumn id="8" xr3:uid="{FBDEB295-9C3D-424C-B7B0-16E2C61840D7}" name="START DATE" dataDxfId="744"/>
    <tableColumn id="4" xr3:uid="{95F48215-FB66-42F7-A762-5A0394AA51F3}" name="WORK DAYS" dataDxfId="743"/>
    <tableColumn id="9" xr3:uid="{B2DD0A9A-70D6-456F-9940-FF22CCF052E9}" name="END DATE" dataDxfId="742">
      <calculatedColumnFormula>IFERROR(WORKDAY.INTL(ProjectPlanData[[#This Row],[START DATE]]-1,ProjectPlanData[[#This Row],[WORK DAYS]],1),"")</calculatedColumnFormula>
    </tableColumn>
    <tableColumn id="11" xr3:uid="{9AFDFD6D-D03F-42F4-8868-91133521F069}" name="COMPLETED DAYS" dataDxfId="741"/>
    <tableColumn id="6" xr3:uid="{180F30C5-809A-4091-A2CA-C4FC46B50D12}" name="PROGRESS" dataDxfId="740">
      <calculatedColumnFormula>IFERROR(ProjectPlanData[[#This Row],[COMPLETED DAYS]]/ProjectPlanData[[#This Row],[WORK DAYS]],"")</calculatedColumnFormula>
    </tableColumn>
  </tableColumns>
  <tableStyleInfo name="CertiKit table style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0ED2DD9-CADC-4E6F-92FE-E3ABA179791C}" name="ProjectBudget" displayName="ProjectBudget" ref="B10:E22" totalsRowCount="1" headerRowDxfId="739" totalsRowDxfId="738">
  <autoFilter ref="B10:E21" xr:uid="{BF97683D-990F-4494-A90D-6B01DCD8A719}">
    <filterColumn colId="0" hiddenButton="1"/>
    <filterColumn colId="1" hiddenButton="1"/>
    <filterColumn colId="2" hiddenButton="1"/>
    <filterColumn colId="3" hiddenButton="1"/>
  </autoFilter>
  <tableColumns count="4">
    <tableColumn id="1" xr3:uid="{7E689CCC-AA98-4CFE-B1C6-3DC201328D61}" name="ITEM" totalsRowLabel="Total" dataDxfId="737" totalsRowDxfId="736"/>
    <tableColumn id="2" xr3:uid="{A9644E9B-F462-444E-BD5F-F98CA12D0F5C}" name="BUDGET" totalsRowFunction="sum" dataDxfId="735" totalsRowDxfId="734" dataCellStyle="Comma" totalsRowCellStyle="Comma"/>
    <tableColumn id="3" xr3:uid="{95691FFB-EF23-4032-AD05-F405A6F593A2}" name="SPENT TO DATE" totalsRowFunction="sum" dataDxfId="733" totalsRowDxfId="732" dataCellStyle="Comma" totalsRowCellStyle="Comma"/>
    <tableColumn id="4" xr3:uid="{85A76705-F68E-4EA7-8ECD-6946678A1A2E}" name="BUDGET REMAINING" totalsRowFunction="sum" dataDxfId="731" totalsRowDxfId="730" dataCellStyle="Comma" totalsRowCellStyle="Comma">
      <calculatedColumnFormula>+ProjectBudget[[#This Row],[BUDGET]]-ProjectBudget[[#This Row],[SPENT TO DATE]]</calculatedColumnFormula>
    </tableColumn>
  </tableColumns>
  <tableStyleInfo name="CertiKit table style" showFirstColumn="0" showLastColumn="0" showRowStripes="1" showColumnStripes="0"/>
</table>
</file>

<file path=xl/theme/theme1.xml><?xml version="1.0" encoding="utf-8"?>
<a:theme xmlns:a="http://schemas.openxmlformats.org/drawingml/2006/main" name="CertiKit Theme">
  <a:themeElements>
    <a:clrScheme name="CertiKit Excel Colours">
      <a:dk1>
        <a:srgbClr val="444444"/>
      </a:dk1>
      <a:lt1>
        <a:sysClr val="window" lastClr="FFFFFF"/>
      </a:lt1>
      <a:dk2>
        <a:srgbClr val="CCC900"/>
      </a:dk2>
      <a:lt2>
        <a:srgbClr val="D0EAEB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10DC-A629-4296-81D8-97D7450DC101}">
  <sheetPr>
    <pageSetUpPr fitToPage="1"/>
  </sheetPr>
  <dimension ref="B1:Q34"/>
  <sheetViews>
    <sheetView showGridLines="0" tabSelected="1" zoomScaleNormal="100" workbookViewId="0"/>
  </sheetViews>
  <sheetFormatPr defaultRowHeight="15" x14ac:dyDescent="0.25"/>
  <cols>
    <col min="1" max="1" width="2.85546875" style="12" customWidth="1"/>
    <col min="2" max="2" width="4.5703125" style="12" customWidth="1"/>
    <col min="3" max="3" width="65" style="12" bestFit="1" customWidth="1"/>
    <col min="4" max="4" width="68.28515625" style="12" bestFit="1" customWidth="1"/>
    <col min="5" max="5" width="48.42578125" style="12" bestFit="1" customWidth="1"/>
    <col min="6" max="6" width="12.7109375" style="12" customWidth="1"/>
    <col min="7" max="7" width="11.85546875" style="12" bestFit="1" customWidth="1"/>
    <col min="8" max="9" width="12.7109375" style="23" customWidth="1"/>
    <col min="10" max="10" width="11" style="68" customWidth="1"/>
    <col min="11" max="11" width="9.140625" style="23"/>
    <col min="12" max="12" width="13.5703125" style="12" customWidth="1"/>
    <col min="13" max="13" width="11.140625" style="12" customWidth="1"/>
    <col min="14" max="14" width="15" style="12" customWidth="1"/>
    <col min="15" max="15" width="17.28515625" style="12" customWidth="1"/>
    <col min="16" max="16" width="18.85546875" style="12" customWidth="1"/>
    <col min="17" max="17" width="9.85546875" style="12" customWidth="1"/>
    <col min="18" max="18" width="38.140625" style="12" customWidth="1"/>
    <col min="19" max="16384" width="9.140625" style="12"/>
  </cols>
  <sheetData>
    <row r="1" spans="2:17" x14ac:dyDescent="0.25">
      <c r="H1" s="12"/>
      <c r="I1" s="12"/>
      <c r="K1" s="12"/>
    </row>
    <row r="2" spans="2:17" ht="23.25" x14ac:dyDescent="0.25">
      <c r="G2" s="13"/>
      <c r="H2" s="12"/>
      <c r="I2" s="12"/>
      <c r="K2" s="12"/>
    </row>
    <row r="3" spans="2:17" x14ac:dyDescent="0.25">
      <c r="H3" s="12"/>
      <c r="I3" s="12"/>
      <c r="K3" s="12"/>
    </row>
    <row r="4" spans="2:17" x14ac:dyDescent="0.25">
      <c r="H4" s="12"/>
      <c r="I4" s="12"/>
      <c r="K4" s="12"/>
    </row>
    <row r="5" spans="2:17" x14ac:dyDescent="0.25">
      <c r="H5" s="12"/>
      <c r="I5" s="12"/>
      <c r="K5" s="12"/>
    </row>
    <row r="6" spans="2:17" x14ac:dyDescent="0.25">
      <c r="H6" s="12"/>
      <c r="I6" s="12"/>
      <c r="K6" s="12"/>
      <c r="N6" s="14"/>
    </row>
    <row r="7" spans="2:17" x14ac:dyDescent="0.25">
      <c r="H7" s="12"/>
      <c r="I7" s="12"/>
      <c r="K7" s="12"/>
      <c r="N7" s="14"/>
    </row>
    <row r="8" spans="2:17" x14ac:dyDescent="0.25">
      <c r="B8" s="15" t="s">
        <v>113</v>
      </c>
      <c r="H8" s="12"/>
      <c r="I8" s="12"/>
      <c r="K8" s="12"/>
      <c r="N8" s="14"/>
    </row>
    <row r="9" spans="2:17" x14ac:dyDescent="0.25">
      <c r="B9" s="14"/>
      <c r="C9" s="16"/>
      <c r="D9" s="16"/>
      <c r="E9" s="16"/>
      <c r="F9" s="17"/>
      <c r="G9" s="16"/>
      <c r="H9" s="17"/>
      <c r="I9" s="17"/>
      <c r="J9" s="19"/>
      <c r="K9" s="17"/>
      <c r="L9" s="16"/>
      <c r="M9" s="16"/>
      <c r="N9" s="14"/>
      <c r="O9" s="17"/>
      <c r="P9" s="16"/>
      <c r="Q9" s="16"/>
    </row>
    <row r="10" spans="2:17" ht="30" x14ac:dyDescent="0.25">
      <c r="B10" s="17" t="s">
        <v>6</v>
      </c>
      <c r="C10" s="17" t="s">
        <v>0</v>
      </c>
      <c r="D10" s="17" t="s">
        <v>69</v>
      </c>
      <c r="E10" s="17" t="s">
        <v>2</v>
      </c>
      <c r="F10" s="17" t="s">
        <v>4</v>
      </c>
      <c r="G10" s="17" t="s">
        <v>1</v>
      </c>
      <c r="H10" s="17" t="s">
        <v>5</v>
      </c>
      <c r="I10" s="17" t="s">
        <v>10</v>
      </c>
      <c r="J10" s="69" t="s">
        <v>3</v>
      </c>
      <c r="K10" s="14"/>
      <c r="L10" s="18"/>
      <c r="M10" s="19"/>
      <c r="N10" s="19"/>
    </row>
    <row r="11" spans="2:17" x14ac:dyDescent="0.25">
      <c r="B11" s="76">
        <v>1</v>
      </c>
      <c r="C11" s="89" t="s">
        <v>59</v>
      </c>
      <c r="D11" s="90" t="s">
        <v>70</v>
      </c>
      <c r="E11" s="90" t="s">
        <v>71</v>
      </c>
      <c r="F11" s="21">
        <v>43984</v>
      </c>
      <c r="G11" s="29">
        <v>5</v>
      </c>
      <c r="H11" s="27">
        <f>IFERROR(WORKDAY.INTL(ProjectPlanData[[#This Row],[START DATE]]-1,ProjectPlanData[[#This Row],[WORK DAYS]],1),"")</f>
        <v>43990</v>
      </c>
      <c r="I11" s="29">
        <v>1</v>
      </c>
      <c r="J11" s="94">
        <f>IFERROR(ProjectPlanData[[#This Row],[COMPLETED DAYS]]/ProjectPlanData[[#This Row],[WORK DAYS]],"")</f>
        <v>0.2</v>
      </c>
      <c r="K11" s="14"/>
      <c r="L11" s="22"/>
      <c r="M11" s="23"/>
      <c r="N11" s="23"/>
    </row>
    <row r="12" spans="2:17" x14ac:dyDescent="0.25">
      <c r="B12" s="76">
        <v>2</v>
      </c>
      <c r="C12" s="89" t="s">
        <v>72</v>
      </c>
      <c r="D12" s="91" t="s">
        <v>73</v>
      </c>
      <c r="E12" s="90" t="s">
        <v>74</v>
      </c>
      <c r="F12" s="21">
        <v>43985</v>
      </c>
      <c r="G12" s="29">
        <v>3</v>
      </c>
      <c r="H12" s="27">
        <f>IFERROR(WORKDAY.INTL(ProjectPlanData[[#This Row],[START DATE]]-1,ProjectPlanData[[#This Row],[WORK DAYS]],1),"")</f>
        <v>43987</v>
      </c>
      <c r="I12" s="29">
        <v>1</v>
      </c>
      <c r="J12" s="94">
        <f>IFERROR(ProjectPlanData[[#This Row],[COMPLETED DAYS]]/ProjectPlanData[[#This Row],[WORK DAYS]],"")</f>
        <v>0.33333333333333331</v>
      </c>
      <c r="K12" s="14"/>
      <c r="L12" s="22"/>
      <c r="M12" s="23"/>
      <c r="N12" s="23"/>
    </row>
    <row r="13" spans="2:17" x14ac:dyDescent="0.25">
      <c r="B13" s="76">
        <v>3</v>
      </c>
      <c r="C13" s="89" t="s">
        <v>7</v>
      </c>
      <c r="D13" s="90" t="s">
        <v>70</v>
      </c>
      <c r="E13" s="90" t="s">
        <v>75</v>
      </c>
      <c r="F13" s="21">
        <v>43986</v>
      </c>
      <c r="G13" s="30">
        <v>1</v>
      </c>
      <c r="H13" s="28">
        <f>IFERROR(WORKDAY.INTL(ProjectPlanData[[#This Row],[START DATE]]-1,ProjectPlanData[[#This Row],[WORK DAYS]],1),"")</f>
        <v>43986</v>
      </c>
      <c r="I13" s="29">
        <v>1</v>
      </c>
      <c r="J13" s="94">
        <f>IFERROR(ProjectPlanData[[#This Row],[COMPLETED DAYS]]/ProjectPlanData[[#This Row],[WORK DAYS]],"")</f>
        <v>1</v>
      </c>
      <c r="K13" s="14"/>
      <c r="L13" s="22"/>
      <c r="M13" s="23"/>
      <c r="N13" s="23"/>
    </row>
    <row r="14" spans="2:17" x14ac:dyDescent="0.25">
      <c r="B14" s="76">
        <v>4</v>
      </c>
      <c r="C14" s="89" t="s">
        <v>76</v>
      </c>
      <c r="D14" s="91" t="s">
        <v>77</v>
      </c>
      <c r="E14" s="90" t="s">
        <v>78</v>
      </c>
      <c r="F14" s="21">
        <v>43987</v>
      </c>
      <c r="G14" s="30">
        <v>10</v>
      </c>
      <c r="H14" s="28">
        <f>IFERROR(WORKDAY.INTL(ProjectPlanData[[#This Row],[START DATE]]-1,ProjectPlanData[[#This Row],[WORK DAYS]],1),"")</f>
        <v>44000</v>
      </c>
      <c r="I14" s="29">
        <v>1</v>
      </c>
      <c r="J14" s="94">
        <f>IFERROR(ProjectPlanData[[#This Row],[COMPLETED DAYS]]/ProjectPlanData[[#This Row],[WORK DAYS]],"")</f>
        <v>0.1</v>
      </c>
      <c r="K14" s="14"/>
      <c r="L14" s="22"/>
      <c r="M14" s="23"/>
      <c r="N14" s="23"/>
    </row>
    <row r="15" spans="2:17" x14ac:dyDescent="0.25">
      <c r="B15" s="76">
        <v>5</v>
      </c>
      <c r="C15" s="89" t="s">
        <v>79</v>
      </c>
      <c r="D15" s="92" t="s">
        <v>80</v>
      </c>
      <c r="E15" s="90" t="s">
        <v>81</v>
      </c>
      <c r="F15" s="21">
        <v>43988</v>
      </c>
      <c r="G15" s="30">
        <v>6</v>
      </c>
      <c r="H15" s="28">
        <f>IFERROR(WORKDAY.INTL(ProjectPlanData[[#This Row],[START DATE]]-1,ProjectPlanData[[#This Row],[WORK DAYS]],1),"")</f>
        <v>43997</v>
      </c>
      <c r="I15" s="29">
        <v>5</v>
      </c>
      <c r="J15" s="94">
        <f>IFERROR(ProjectPlanData[[#This Row],[COMPLETED DAYS]]/ProjectPlanData[[#This Row],[WORK DAYS]],"")</f>
        <v>0.83333333333333337</v>
      </c>
      <c r="K15" s="12"/>
      <c r="L15" s="22"/>
      <c r="M15" s="23"/>
      <c r="N15" s="23"/>
    </row>
    <row r="16" spans="2:17" x14ac:dyDescent="0.25">
      <c r="B16" s="76">
        <v>6</v>
      </c>
      <c r="C16" s="89" t="s">
        <v>82</v>
      </c>
      <c r="D16" s="92" t="s">
        <v>83</v>
      </c>
      <c r="E16" s="90" t="s">
        <v>84</v>
      </c>
      <c r="F16" s="21">
        <v>43989</v>
      </c>
      <c r="G16" s="30">
        <v>8</v>
      </c>
      <c r="H16" s="28">
        <f>IFERROR(WORKDAY.INTL(ProjectPlanData[[#This Row],[START DATE]]-1,ProjectPlanData[[#This Row],[WORK DAYS]],1),"")</f>
        <v>43999</v>
      </c>
      <c r="I16" s="29">
        <v>2</v>
      </c>
      <c r="J16" s="94">
        <f>IFERROR(ProjectPlanData[[#This Row],[COMPLETED DAYS]]/ProjectPlanData[[#This Row],[WORK DAYS]],"")</f>
        <v>0.25</v>
      </c>
      <c r="K16" s="12"/>
      <c r="L16" s="22"/>
      <c r="M16" s="23"/>
      <c r="N16" s="23"/>
    </row>
    <row r="17" spans="2:17" x14ac:dyDescent="0.25">
      <c r="B17" s="76">
        <v>7</v>
      </c>
      <c r="C17" s="89" t="s">
        <v>60</v>
      </c>
      <c r="D17" s="92" t="s">
        <v>85</v>
      </c>
      <c r="E17" s="90" t="s">
        <v>84</v>
      </c>
      <c r="F17" s="21">
        <v>43990</v>
      </c>
      <c r="G17" s="30">
        <v>5</v>
      </c>
      <c r="H17" s="28">
        <f>IFERROR(WORKDAY.INTL(ProjectPlanData[[#This Row],[START DATE]]-1,ProjectPlanData[[#This Row],[WORK DAYS]],1),"")</f>
        <v>43994</v>
      </c>
      <c r="I17" s="29">
        <v>2</v>
      </c>
      <c r="J17" s="94">
        <f>IFERROR(ProjectPlanData[[#This Row],[COMPLETED DAYS]]/ProjectPlanData[[#This Row],[WORK DAYS]],"")</f>
        <v>0.4</v>
      </c>
      <c r="K17" s="12"/>
      <c r="L17" s="22"/>
      <c r="M17" s="24"/>
      <c r="N17" s="23"/>
    </row>
    <row r="18" spans="2:17" x14ac:dyDescent="0.25">
      <c r="B18" s="76">
        <v>8</v>
      </c>
      <c r="C18" s="89" t="s">
        <v>86</v>
      </c>
      <c r="D18" s="91" t="s">
        <v>87</v>
      </c>
      <c r="E18" s="90" t="s">
        <v>84</v>
      </c>
      <c r="F18" s="21">
        <v>43991</v>
      </c>
      <c r="G18" s="30">
        <v>10</v>
      </c>
      <c r="H18" s="28">
        <f>IFERROR(WORKDAY.INTL(ProjectPlanData[[#This Row],[START DATE]]-1,ProjectPlanData[[#This Row],[WORK DAYS]],1),"")</f>
        <v>44004</v>
      </c>
      <c r="I18" s="29">
        <v>2</v>
      </c>
      <c r="J18" s="94">
        <f>IFERROR(ProjectPlanData[[#This Row],[COMPLETED DAYS]]/ProjectPlanData[[#This Row],[WORK DAYS]],"")</f>
        <v>0.2</v>
      </c>
      <c r="K18" s="12"/>
      <c r="L18" s="22"/>
      <c r="M18" s="24"/>
      <c r="N18" s="23"/>
    </row>
    <row r="19" spans="2:17" x14ac:dyDescent="0.25">
      <c r="B19" s="76">
        <v>9</v>
      </c>
      <c r="C19" s="89" t="s">
        <v>61</v>
      </c>
      <c r="D19" s="91" t="s">
        <v>88</v>
      </c>
      <c r="E19" s="90" t="s">
        <v>84</v>
      </c>
      <c r="F19" s="21">
        <v>43992</v>
      </c>
      <c r="G19" s="30">
        <v>6</v>
      </c>
      <c r="H19" s="28">
        <f>IFERROR(WORKDAY.INTL(ProjectPlanData[[#This Row],[START DATE]]-1,ProjectPlanData[[#This Row],[WORK DAYS]],1),"")</f>
        <v>43999</v>
      </c>
      <c r="I19" s="29">
        <v>2</v>
      </c>
      <c r="J19" s="94">
        <f>IFERROR(ProjectPlanData[[#This Row],[COMPLETED DAYS]]/ProjectPlanData[[#This Row],[WORK DAYS]],"")</f>
        <v>0.33333333333333331</v>
      </c>
      <c r="K19" s="12"/>
      <c r="L19" s="22"/>
      <c r="M19" s="24"/>
      <c r="N19" s="23"/>
    </row>
    <row r="20" spans="2:17" x14ac:dyDescent="0.25">
      <c r="B20" s="76">
        <v>10</v>
      </c>
      <c r="C20" s="89" t="s">
        <v>62</v>
      </c>
      <c r="D20" s="91" t="s">
        <v>89</v>
      </c>
      <c r="E20" s="90" t="s">
        <v>75</v>
      </c>
      <c r="F20" s="21">
        <v>43993</v>
      </c>
      <c r="G20" s="30">
        <v>12</v>
      </c>
      <c r="H20" s="28">
        <f>IFERROR(WORKDAY.INTL(ProjectPlanData[[#This Row],[START DATE]]-1,ProjectPlanData[[#This Row],[WORK DAYS]],1),"")</f>
        <v>44008</v>
      </c>
      <c r="I20" s="29">
        <v>2</v>
      </c>
      <c r="J20" s="94">
        <f>IFERROR(ProjectPlanData[[#This Row],[COMPLETED DAYS]]/ProjectPlanData[[#This Row],[WORK DAYS]],"")</f>
        <v>0.16666666666666666</v>
      </c>
      <c r="K20" s="12"/>
      <c r="L20" s="18"/>
      <c r="M20" s="24"/>
      <c r="N20" s="25"/>
    </row>
    <row r="21" spans="2:17" x14ac:dyDescent="0.25">
      <c r="B21" s="76">
        <v>11</v>
      </c>
      <c r="C21" s="89" t="s">
        <v>90</v>
      </c>
      <c r="D21" s="91" t="s">
        <v>91</v>
      </c>
      <c r="E21" s="90" t="s">
        <v>92</v>
      </c>
      <c r="F21" s="21">
        <v>43994</v>
      </c>
      <c r="G21" s="30">
        <v>1</v>
      </c>
      <c r="H21" s="28">
        <f>IFERROR(WORKDAY.INTL(ProjectPlanData[[#This Row],[START DATE]]-1,ProjectPlanData[[#This Row],[WORK DAYS]],1),"")</f>
        <v>43994</v>
      </c>
      <c r="I21" s="29">
        <v>1</v>
      </c>
      <c r="J21" s="94">
        <f>IFERROR(ProjectPlanData[[#This Row],[COMPLETED DAYS]]/ProjectPlanData[[#This Row],[WORK DAYS]],"")</f>
        <v>1</v>
      </c>
      <c r="K21" s="12"/>
      <c r="L21" s="18"/>
      <c r="M21" s="24"/>
      <c r="N21" s="25"/>
      <c r="O21" s="20"/>
      <c r="P21" s="14"/>
      <c r="Q21" s="14"/>
    </row>
    <row r="22" spans="2:17" x14ac:dyDescent="0.25">
      <c r="B22" s="76">
        <v>12</v>
      </c>
      <c r="C22" s="89" t="s">
        <v>93</v>
      </c>
      <c r="D22" s="91" t="s">
        <v>91</v>
      </c>
      <c r="E22" s="90" t="s">
        <v>94</v>
      </c>
      <c r="F22" s="21">
        <v>43995</v>
      </c>
      <c r="G22" s="30">
        <v>2</v>
      </c>
      <c r="H22" s="28">
        <f>IFERROR(WORKDAY.INTL(ProjectPlanData[[#This Row],[START DATE]]-1,ProjectPlanData[[#This Row],[WORK DAYS]],1),"")</f>
        <v>43998</v>
      </c>
      <c r="I22" s="29">
        <v>2</v>
      </c>
      <c r="J22" s="94">
        <f>IFERROR(ProjectPlanData[[#This Row],[COMPLETED DAYS]]/ProjectPlanData[[#This Row],[WORK DAYS]],"")</f>
        <v>1</v>
      </c>
      <c r="K22" s="20"/>
      <c r="L22" s="18"/>
      <c r="M22" s="24"/>
      <c r="N22" s="25"/>
      <c r="O22" s="20"/>
      <c r="P22" s="14"/>
      <c r="Q22" s="14"/>
    </row>
    <row r="23" spans="2:17" x14ac:dyDescent="0.25">
      <c r="B23" s="76">
        <v>13</v>
      </c>
      <c r="C23" s="89" t="s">
        <v>95</v>
      </c>
      <c r="D23" s="91" t="s">
        <v>96</v>
      </c>
      <c r="E23" s="90" t="s">
        <v>94</v>
      </c>
      <c r="F23" s="21">
        <v>43996</v>
      </c>
      <c r="G23" s="30">
        <v>3</v>
      </c>
      <c r="H23" s="28">
        <f>IFERROR(WORKDAY.INTL(ProjectPlanData[[#This Row],[START DATE]]-1,ProjectPlanData[[#This Row],[WORK DAYS]],1),"")</f>
        <v>43999</v>
      </c>
      <c r="I23" s="29">
        <v>2</v>
      </c>
      <c r="J23" s="94">
        <f>IFERROR(ProjectPlanData[[#This Row],[COMPLETED DAYS]]/ProjectPlanData[[#This Row],[WORK DAYS]],"")</f>
        <v>0.66666666666666663</v>
      </c>
      <c r="K23" s="20"/>
      <c r="L23" s="20"/>
      <c r="M23" s="24"/>
      <c r="N23" s="20"/>
      <c r="O23" s="20"/>
      <c r="P23" s="14"/>
      <c r="Q23" s="14"/>
    </row>
    <row r="24" spans="2:17" x14ac:dyDescent="0.25">
      <c r="B24" s="76">
        <v>14</v>
      </c>
      <c r="C24" s="89" t="s">
        <v>97</v>
      </c>
      <c r="D24" s="91" t="s">
        <v>98</v>
      </c>
      <c r="E24" s="90" t="s">
        <v>92</v>
      </c>
      <c r="F24" s="21">
        <v>43997</v>
      </c>
      <c r="G24" s="30">
        <v>5</v>
      </c>
      <c r="H24" s="28">
        <f>IFERROR(WORKDAY.INTL(ProjectPlanData[[#This Row],[START DATE]]-1,ProjectPlanData[[#This Row],[WORK DAYS]],1),"")</f>
        <v>44001</v>
      </c>
      <c r="I24" s="29">
        <v>2</v>
      </c>
      <c r="J24" s="94">
        <f>IFERROR(ProjectPlanData[[#This Row],[COMPLETED DAYS]]/ProjectPlanData[[#This Row],[WORK DAYS]],"")</f>
        <v>0.4</v>
      </c>
      <c r="K24" s="20"/>
      <c r="L24" s="20"/>
      <c r="M24" s="24"/>
      <c r="N24" s="20"/>
      <c r="O24" s="20"/>
      <c r="P24" s="14"/>
      <c r="Q24" s="14"/>
    </row>
    <row r="25" spans="2:17" x14ac:dyDescent="0.25">
      <c r="B25" s="76">
        <v>15</v>
      </c>
      <c r="C25" s="89" t="s">
        <v>99</v>
      </c>
      <c r="D25" s="91" t="s">
        <v>100</v>
      </c>
      <c r="E25" s="90" t="s">
        <v>101</v>
      </c>
      <c r="F25" s="21">
        <v>43998</v>
      </c>
      <c r="G25" s="30">
        <v>8</v>
      </c>
      <c r="H25" s="28">
        <f>IFERROR(WORKDAY.INTL(ProjectPlanData[[#This Row],[START DATE]]-1,ProjectPlanData[[#This Row],[WORK DAYS]],1),"")</f>
        <v>44007</v>
      </c>
      <c r="I25" s="29">
        <v>6</v>
      </c>
      <c r="J25" s="94">
        <f>IFERROR(ProjectPlanData[[#This Row],[COMPLETED DAYS]]/ProjectPlanData[[#This Row],[WORK DAYS]],"")</f>
        <v>0.75</v>
      </c>
      <c r="K25" s="20"/>
      <c r="L25" s="20"/>
      <c r="M25" s="24"/>
      <c r="N25" s="20"/>
      <c r="O25" s="20"/>
      <c r="P25" s="14"/>
      <c r="Q25" s="14"/>
    </row>
    <row r="26" spans="2:17" x14ac:dyDescent="0.25">
      <c r="B26" s="76">
        <v>16</v>
      </c>
      <c r="C26" s="89" t="s">
        <v>102</v>
      </c>
      <c r="D26" s="91" t="s">
        <v>98</v>
      </c>
      <c r="E26" s="90" t="s">
        <v>75</v>
      </c>
      <c r="F26" s="21">
        <v>43999</v>
      </c>
      <c r="G26" s="30">
        <v>1</v>
      </c>
      <c r="H26" s="28">
        <f>IFERROR(WORKDAY.INTL(ProjectPlanData[[#This Row],[START DATE]]-1,ProjectPlanData[[#This Row],[WORK DAYS]],1),"")</f>
        <v>43999</v>
      </c>
      <c r="I26" s="29">
        <v>0</v>
      </c>
      <c r="J26" s="94">
        <f>IFERROR(ProjectPlanData[[#This Row],[COMPLETED DAYS]]/ProjectPlanData[[#This Row],[WORK DAYS]],"")</f>
        <v>0</v>
      </c>
      <c r="K26" s="14"/>
      <c r="L26" s="14"/>
      <c r="M26" s="24"/>
      <c r="N26" s="14"/>
      <c r="O26" s="20"/>
      <c r="P26" s="14"/>
      <c r="Q26" s="14"/>
    </row>
    <row r="27" spans="2:17" x14ac:dyDescent="0.25">
      <c r="B27" s="76">
        <v>17</v>
      </c>
      <c r="C27" s="93" t="s">
        <v>63</v>
      </c>
      <c r="D27" s="91" t="s">
        <v>103</v>
      </c>
      <c r="E27" s="90" t="s">
        <v>84</v>
      </c>
      <c r="F27" s="21">
        <v>44000</v>
      </c>
      <c r="G27" s="30">
        <v>1</v>
      </c>
      <c r="H27" s="28">
        <f>IFERROR(WORKDAY.INTL(ProjectPlanData[[#This Row],[START DATE]]-1,ProjectPlanData[[#This Row],[WORK DAYS]],1),"")</f>
        <v>44000</v>
      </c>
      <c r="I27" s="29">
        <v>1</v>
      </c>
      <c r="J27" s="94">
        <f>IFERROR(ProjectPlanData[[#This Row],[COMPLETED DAYS]]/ProjectPlanData[[#This Row],[WORK DAYS]],"")</f>
        <v>1</v>
      </c>
      <c r="K27" s="26"/>
      <c r="L27" s="26"/>
      <c r="M27" s="26"/>
    </row>
    <row r="28" spans="2:17" x14ac:dyDescent="0.25">
      <c r="B28" s="76">
        <v>18</v>
      </c>
      <c r="C28" s="89" t="s">
        <v>8</v>
      </c>
      <c r="D28" s="92" t="s">
        <v>104</v>
      </c>
      <c r="E28" s="90" t="s">
        <v>75</v>
      </c>
      <c r="F28" s="21">
        <v>44001</v>
      </c>
      <c r="G28" s="30">
        <v>1</v>
      </c>
      <c r="H28" s="28">
        <f>IFERROR(WORKDAY.INTL(ProjectPlanData[[#This Row],[START DATE]]-1,ProjectPlanData[[#This Row],[WORK DAYS]],1),"")</f>
        <v>44001</v>
      </c>
      <c r="I28" s="29">
        <v>0</v>
      </c>
      <c r="J28" s="94">
        <f>IFERROR(ProjectPlanData[[#This Row],[COMPLETED DAYS]]/ProjectPlanData[[#This Row],[WORK DAYS]],"")</f>
        <v>0</v>
      </c>
      <c r="K28" s="26"/>
      <c r="L28" s="26"/>
      <c r="M28" s="26"/>
    </row>
    <row r="29" spans="2:17" x14ac:dyDescent="0.25">
      <c r="B29" s="76">
        <v>19</v>
      </c>
      <c r="C29" s="93" t="s">
        <v>64</v>
      </c>
      <c r="D29" s="91" t="s">
        <v>105</v>
      </c>
      <c r="E29" s="90" t="s">
        <v>84</v>
      </c>
      <c r="F29" s="21">
        <v>44002</v>
      </c>
      <c r="G29" s="30">
        <v>2</v>
      </c>
      <c r="H29" s="28">
        <f>IFERROR(WORKDAY.INTL(ProjectPlanData[[#This Row],[START DATE]]-1,ProjectPlanData[[#This Row],[WORK DAYS]],1),"")</f>
        <v>44005</v>
      </c>
      <c r="I29" s="29">
        <v>1</v>
      </c>
      <c r="J29" s="94">
        <f>IFERROR(ProjectPlanData[[#This Row],[COMPLETED DAYS]]/ProjectPlanData[[#This Row],[WORK DAYS]],"")</f>
        <v>0.5</v>
      </c>
      <c r="K29" s="26"/>
      <c r="L29" s="26"/>
      <c r="M29" s="26"/>
    </row>
    <row r="30" spans="2:17" x14ac:dyDescent="0.25">
      <c r="B30" s="76">
        <v>20</v>
      </c>
      <c r="C30" s="93" t="s">
        <v>106</v>
      </c>
      <c r="D30" s="91" t="s">
        <v>107</v>
      </c>
      <c r="E30" s="90" t="s">
        <v>108</v>
      </c>
      <c r="F30" s="21">
        <v>44003</v>
      </c>
      <c r="G30" s="30">
        <v>6</v>
      </c>
      <c r="H30" s="28">
        <f>IFERROR(WORKDAY.INTL(ProjectPlanData[[#This Row],[START DATE]]-1,ProjectPlanData[[#This Row],[WORK DAYS]],1),"")</f>
        <v>44011</v>
      </c>
      <c r="I30" s="29">
        <v>3</v>
      </c>
      <c r="J30" s="94">
        <f>IFERROR(ProjectPlanData[[#This Row],[COMPLETED DAYS]]/ProjectPlanData[[#This Row],[WORK DAYS]],"")</f>
        <v>0.5</v>
      </c>
      <c r="K30" s="26"/>
      <c r="L30" s="26"/>
      <c r="M30" s="26"/>
    </row>
    <row r="31" spans="2:17" x14ac:dyDescent="0.25">
      <c r="B31" s="76">
        <v>21</v>
      </c>
      <c r="C31" s="89" t="s">
        <v>65</v>
      </c>
      <c r="D31" s="92" t="s">
        <v>109</v>
      </c>
      <c r="E31" s="90" t="s">
        <v>84</v>
      </c>
      <c r="F31" s="21">
        <v>44004</v>
      </c>
      <c r="G31" s="30">
        <v>5</v>
      </c>
      <c r="H31" s="28">
        <f>IFERROR(WORKDAY.INTL(ProjectPlanData[[#This Row],[START DATE]]-1,ProjectPlanData[[#This Row],[WORK DAYS]],1),"")</f>
        <v>44008</v>
      </c>
      <c r="I31" s="29">
        <v>0</v>
      </c>
      <c r="J31" s="94">
        <f>IFERROR(ProjectPlanData[[#This Row],[COMPLETED DAYS]]/ProjectPlanData[[#This Row],[WORK DAYS]],"")</f>
        <v>0</v>
      </c>
      <c r="K31" s="26"/>
      <c r="L31" s="26"/>
      <c r="M31" s="26"/>
    </row>
    <row r="32" spans="2:17" x14ac:dyDescent="0.25">
      <c r="B32" s="76">
        <v>22</v>
      </c>
      <c r="C32" s="89" t="s">
        <v>66</v>
      </c>
      <c r="D32" s="91" t="s">
        <v>70</v>
      </c>
      <c r="E32" s="90" t="s">
        <v>110</v>
      </c>
      <c r="F32" s="21">
        <v>44005</v>
      </c>
      <c r="G32" s="30">
        <v>8</v>
      </c>
      <c r="H32" s="28">
        <f>IFERROR(WORKDAY.INTL(ProjectPlanData[[#This Row],[START DATE]]-1,ProjectPlanData[[#This Row],[WORK DAYS]],1),"")</f>
        <v>44014</v>
      </c>
      <c r="I32" s="29">
        <v>0</v>
      </c>
      <c r="J32" s="94">
        <f>IFERROR(ProjectPlanData[[#This Row],[COMPLETED DAYS]]/ProjectPlanData[[#This Row],[WORK DAYS]],"")</f>
        <v>0</v>
      </c>
      <c r="K32" s="26"/>
      <c r="L32" s="26"/>
      <c r="M32" s="26"/>
    </row>
    <row r="33" spans="2:13" x14ac:dyDescent="0.25">
      <c r="B33" s="76">
        <v>23</v>
      </c>
      <c r="C33" s="89" t="s">
        <v>67</v>
      </c>
      <c r="D33" s="91" t="s">
        <v>70</v>
      </c>
      <c r="E33" s="90" t="s">
        <v>111</v>
      </c>
      <c r="F33" s="21">
        <v>44006</v>
      </c>
      <c r="G33" s="30">
        <v>1</v>
      </c>
      <c r="H33" s="28">
        <f>IFERROR(WORKDAY.INTL(ProjectPlanData[[#This Row],[START DATE]]-1,ProjectPlanData[[#This Row],[WORK DAYS]],1),"")</f>
        <v>44006</v>
      </c>
      <c r="I33" s="29">
        <v>0</v>
      </c>
      <c r="J33" s="94">
        <f>IFERROR(ProjectPlanData[[#This Row],[COMPLETED DAYS]]/ProjectPlanData[[#This Row],[WORK DAYS]],"")</f>
        <v>0</v>
      </c>
      <c r="K33" s="26"/>
      <c r="L33" s="26"/>
      <c r="M33" s="26"/>
    </row>
    <row r="34" spans="2:13" x14ac:dyDescent="0.25">
      <c r="B34" s="76">
        <v>24</v>
      </c>
      <c r="C34" s="89" t="s">
        <v>68</v>
      </c>
      <c r="D34" s="92" t="s">
        <v>70</v>
      </c>
      <c r="E34" s="90" t="s">
        <v>112</v>
      </c>
      <c r="F34" s="21">
        <v>44007</v>
      </c>
      <c r="G34" s="30">
        <v>2</v>
      </c>
      <c r="H34" s="28">
        <f>IFERROR(WORKDAY.INTL(ProjectPlanData[[#This Row],[START DATE]]-1,ProjectPlanData[[#This Row],[WORK DAYS]],1),"")</f>
        <v>44008</v>
      </c>
      <c r="I34" s="29">
        <v>0</v>
      </c>
      <c r="J34" s="94">
        <f>IFERROR(ProjectPlanData[[#This Row],[COMPLETED DAYS]]/ProjectPlanData[[#This Row],[WORK DAYS]],"")</f>
        <v>0</v>
      </c>
      <c r="K34" s="26"/>
      <c r="L34" s="26"/>
      <c r="M34" s="26"/>
    </row>
  </sheetData>
  <phoneticPr fontId="7" type="noConversion"/>
  <pageMargins left="0.25" right="0.25" top="0.75" bottom="0.75" header="0.3" footer="0.3"/>
  <pageSetup paperSize="8" scale="76" fitToHeight="0" orientation="landscape" horizontalDpi="360" verticalDpi="360" r:id="rId1"/>
  <headerFooter>
    <oddFooter>&amp;L&amp;D&amp;CPage &amp;P of &amp;N</oddFooter>
  </headerFooter>
  <colBreaks count="2" manualBreakCount="2">
    <brk id="12" max="1048575" man="1"/>
    <brk id="18" max="1048575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424E-8F82-4C97-BEC6-FEE2EF11DE70}">
  <sheetPr>
    <pageSetUpPr fitToPage="1"/>
  </sheetPr>
  <dimension ref="B1:P414"/>
  <sheetViews>
    <sheetView showGridLines="0" zoomScaleNormal="100" workbookViewId="0"/>
  </sheetViews>
  <sheetFormatPr defaultRowHeight="15" x14ac:dyDescent="0.25"/>
  <cols>
    <col min="1" max="1" width="2.85546875" style="2" customWidth="1"/>
    <col min="2" max="2" width="42.5703125" style="2" customWidth="1"/>
    <col min="3" max="4" width="18.7109375" style="2" customWidth="1"/>
    <col min="5" max="5" width="26.7109375" style="2" customWidth="1"/>
    <col min="6" max="6" width="15.7109375" style="2" customWidth="1"/>
    <col min="7" max="7" width="12.7109375" style="2" bestFit="1" customWidth="1"/>
    <col min="8" max="8" width="14" style="2" bestFit="1" customWidth="1"/>
    <col min="9" max="10" width="12.7109375" style="6" customWidth="1"/>
    <col min="11" max="11" width="11" style="2" customWidth="1"/>
    <col min="12" max="12" width="15" style="2" customWidth="1"/>
    <col min="13" max="13" width="17.28515625" style="2" customWidth="1"/>
    <col min="14" max="14" width="18.85546875" style="2" customWidth="1"/>
    <col min="15" max="15" width="9.85546875" style="2" customWidth="1"/>
    <col min="16" max="16" width="38.140625" style="2" customWidth="1"/>
    <col min="17" max="16384" width="9.140625" style="2"/>
  </cols>
  <sheetData>
    <row r="1" spans="2:14" x14ac:dyDescent="0.25">
      <c r="I1" s="2"/>
      <c r="J1" s="2"/>
    </row>
    <row r="2" spans="2:14" ht="15" customHeight="1" x14ac:dyDescent="0.25">
      <c r="H2" s="1"/>
      <c r="I2" s="2"/>
      <c r="J2" s="2"/>
    </row>
    <row r="3" spans="2:14" x14ac:dyDescent="0.25">
      <c r="I3" s="2"/>
      <c r="J3" s="2"/>
    </row>
    <row r="4" spans="2:14" x14ac:dyDescent="0.25">
      <c r="I4" s="2"/>
      <c r="J4" s="2"/>
    </row>
    <row r="5" spans="2:14" x14ac:dyDescent="0.25">
      <c r="I5" s="2"/>
      <c r="J5" s="2"/>
    </row>
    <row r="6" spans="2:14" x14ac:dyDescent="0.25">
      <c r="I6" s="2"/>
      <c r="J6" s="2"/>
      <c r="L6" s="7"/>
    </row>
    <row r="7" spans="2:14" x14ac:dyDescent="0.25">
      <c r="I7" s="2"/>
      <c r="J7" s="2"/>
      <c r="L7" s="7"/>
    </row>
    <row r="8" spans="2:14" x14ac:dyDescent="0.25">
      <c r="B8" s="15" t="s">
        <v>56</v>
      </c>
      <c r="I8" s="2"/>
      <c r="J8" s="2"/>
      <c r="L8" s="7"/>
    </row>
    <row r="9" spans="2:14" x14ac:dyDescent="0.25">
      <c r="B9" s="6"/>
      <c r="C9" s="6"/>
      <c r="D9" s="6"/>
      <c r="E9" s="6"/>
      <c r="F9" s="6"/>
      <c r="G9" s="6"/>
      <c r="H9" s="6"/>
      <c r="K9" s="6"/>
      <c r="L9" s="4"/>
      <c r="M9" s="4"/>
    </row>
    <row r="10" spans="2:14" x14ac:dyDescent="0.25">
      <c r="B10" s="65" t="s">
        <v>49</v>
      </c>
      <c r="C10" s="65" t="s">
        <v>50</v>
      </c>
      <c r="D10" s="65" t="s">
        <v>51</v>
      </c>
      <c r="E10" s="65" t="s">
        <v>52</v>
      </c>
      <c r="F10" s="3"/>
      <c r="I10" s="2"/>
      <c r="J10"/>
      <c r="K10" s="6"/>
      <c r="L10" s="4"/>
      <c r="M10" s="4"/>
      <c r="N10" s="4"/>
    </row>
    <row r="11" spans="2:14" ht="15.75" x14ac:dyDescent="0.25">
      <c r="B11" s="2" t="s">
        <v>31</v>
      </c>
      <c r="C11" s="55">
        <v>5000</v>
      </c>
      <c r="D11" s="55">
        <v>1500</v>
      </c>
      <c r="E11" s="55">
        <f>+ProjectBudget[[#This Row],[BUDGET]]-ProjectBudget[[#This Row],[SPENT TO DATE]]</f>
        <v>3500</v>
      </c>
      <c r="F11" s="8"/>
      <c r="I11" s="71"/>
      <c r="J11"/>
      <c r="K11" s="6"/>
      <c r="L11" s="4"/>
      <c r="M11" s="4"/>
      <c r="N11" s="4"/>
    </row>
    <row r="12" spans="2:14" x14ac:dyDescent="0.25">
      <c r="B12" s="2" t="s">
        <v>32</v>
      </c>
      <c r="C12" s="55">
        <v>1500</v>
      </c>
      <c r="D12" s="55">
        <v>500</v>
      </c>
      <c r="E12" s="55">
        <f>+ProjectBudget[[#This Row],[BUDGET]]-ProjectBudget[[#This Row],[SPENT TO DATE]]</f>
        <v>1000</v>
      </c>
      <c r="F12" s="8"/>
      <c r="I12" s="2"/>
      <c r="J12"/>
      <c r="K12" s="6"/>
      <c r="L12" s="4"/>
      <c r="M12"/>
      <c r="N12" s="4"/>
    </row>
    <row r="13" spans="2:14" x14ac:dyDescent="0.25">
      <c r="B13" s="2" t="s">
        <v>34</v>
      </c>
      <c r="C13" s="55">
        <v>1500</v>
      </c>
      <c r="D13" s="55">
        <v>600</v>
      </c>
      <c r="E13" s="55">
        <f>+ProjectBudget[[#This Row],[BUDGET]]-ProjectBudget[[#This Row],[SPENT TO DATE]]</f>
        <v>900</v>
      </c>
      <c r="F13" s="8"/>
      <c r="H13"/>
      <c r="I13"/>
      <c r="J13"/>
      <c r="K13" s="6"/>
      <c r="L13" s="4"/>
      <c r="M13"/>
      <c r="N13" s="4"/>
    </row>
    <row r="14" spans="2:14" ht="15" customHeight="1" x14ac:dyDescent="0.25">
      <c r="B14" s="2" t="s">
        <v>30</v>
      </c>
      <c r="C14" s="55">
        <v>2000</v>
      </c>
      <c r="D14" s="55">
        <v>1000</v>
      </c>
      <c r="E14" s="55">
        <f>+ProjectBudget[[#This Row],[BUDGET]]-ProjectBudget[[#This Row],[SPENT TO DATE]]</f>
        <v>1000</v>
      </c>
      <c r="F14" s="8"/>
      <c r="H14"/>
      <c r="I14"/>
      <c r="J14"/>
      <c r="K14" s="6"/>
      <c r="L14" s="4"/>
      <c r="M14"/>
      <c r="N14" s="4"/>
    </row>
    <row r="15" spans="2:14" x14ac:dyDescent="0.25">
      <c r="B15" s="2" t="s">
        <v>35</v>
      </c>
      <c r="C15" s="55">
        <v>1200</v>
      </c>
      <c r="D15" s="55">
        <v>600</v>
      </c>
      <c r="E15" s="55">
        <f>+ProjectBudget[[#This Row],[BUDGET]]-ProjectBudget[[#This Row],[SPENT TO DATE]]</f>
        <v>600</v>
      </c>
      <c r="F15" s="8"/>
      <c r="H15"/>
      <c r="I15"/>
      <c r="J15"/>
      <c r="K15" s="6"/>
      <c r="L15" s="4"/>
      <c r="M15"/>
      <c r="N15" s="4"/>
    </row>
    <row r="16" spans="2:14" x14ac:dyDescent="0.25">
      <c r="B16" s="2" t="s">
        <v>33</v>
      </c>
      <c r="C16" s="55">
        <v>500</v>
      </c>
      <c r="D16" s="55">
        <v>0</v>
      </c>
      <c r="E16" s="55">
        <f>+ProjectBudget[[#This Row],[BUDGET]]-ProjectBudget[[#This Row],[SPENT TO DATE]]</f>
        <v>500</v>
      </c>
      <c r="G16"/>
      <c r="H16"/>
      <c r="I16"/>
      <c r="K16" s="4"/>
      <c r="L16"/>
      <c r="M16" s="4"/>
    </row>
    <row r="17" spans="2:16" x14ac:dyDescent="0.25">
      <c r="B17" s="2" t="s">
        <v>11</v>
      </c>
      <c r="C17" s="55">
        <v>2500</v>
      </c>
      <c r="D17" s="55">
        <v>1200</v>
      </c>
      <c r="E17" s="55">
        <f>+ProjectBudget[[#This Row],[BUDGET]]-ProjectBudget[[#This Row],[SPENT TO DATE]]</f>
        <v>1300</v>
      </c>
      <c r="G17"/>
      <c r="H17"/>
      <c r="I17"/>
      <c r="K17" s="4"/>
      <c r="L17"/>
      <c r="M17" s="4"/>
    </row>
    <row r="18" spans="2:16" x14ac:dyDescent="0.25">
      <c r="B18" s="2" t="s">
        <v>36</v>
      </c>
      <c r="C18" s="55">
        <v>3000</v>
      </c>
      <c r="D18" s="55">
        <v>2000</v>
      </c>
      <c r="E18" s="55">
        <f>+ProjectBudget[[#This Row],[BUDGET]]-ProjectBudget[[#This Row],[SPENT TO DATE]]</f>
        <v>1000</v>
      </c>
      <c r="G18"/>
      <c r="H18"/>
      <c r="I18"/>
      <c r="K18" s="4"/>
      <c r="L18"/>
      <c r="M18" s="4"/>
      <c r="N18" s="4"/>
      <c r="O18" s="4"/>
      <c r="P18" s="4"/>
    </row>
    <row r="19" spans="2:16" x14ac:dyDescent="0.25">
      <c r="B19" s="2" t="s">
        <v>37</v>
      </c>
      <c r="C19" s="55">
        <v>1000</v>
      </c>
      <c r="D19" s="55">
        <v>1000</v>
      </c>
      <c r="E19" s="55">
        <f>+ProjectBudget[[#This Row],[BUDGET]]-ProjectBudget[[#This Row],[SPENT TO DATE]]</f>
        <v>0</v>
      </c>
      <c r="G19"/>
      <c r="H19"/>
      <c r="I19"/>
      <c r="K19" s="4"/>
      <c r="L19"/>
      <c r="M19" s="4"/>
      <c r="N19" s="4"/>
      <c r="O19" s="4"/>
      <c r="P19" s="4"/>
    </row>
    <row r="20" spans="2:16" x14ac:dyDescent="0.25">
      <c r="B20" s="2" t="s">
        <v>12</v>
      </c>
      <c r="C20" s="55">
        <v>500</v>
      </c>
      <c r="D20" s="55">
        <v>250</v>
      </c>
      <c r="E20" s="55">
        <f>+ProjectBudget[[#This Row],[BUDGET]]-ProjectBudget[[#This Row],[SPENT TO DATE]]</f>
        <v>250</v>
      </c>
      <c r="G20"/>
      <c r="H20"/>
      <c r="I20"/>
      <c r="K20" s="4"/>
      <c r="L20"/>
      <c r="M20" s="4"/>
      <c r="N20" s="4"/>
      <c r="O20" s="4"/>
      <c r="P20" s="4"/>
    </row>
    <row r="21" spans="2:16" x14ac:dyDescent="0.25">
      <c r="B21" s="2" t="s">
        <v>13</v>
      </c>
      <c r="C21" s="55">
        <v>500</v>
      </c>
      <c r="D21" s="55">
        <v>0</v>
      </c>
      <c r="E21" s="55">
        <f>+ProjectBudget[[#This Row],[BUDGET]]-ProjectBudget[[#This Row],[SPENT TO DATE]]</f>
        <v>500</v>
      </c>
      <c r="G21"/>
      <c r="H21"/>
      <c r="I21"/>
      <c r="K21" s="4"/>
      <c r="L21"/>
      <c r="M21" s="4"/>
      <c r="N21" s="4"/>
      <c r="O21" s="4"/>
      <c r="P21" s="4"/>
    </row>
    <row r="22" spans="2:16" x14ac:dyDescent="0.25">
      <c r="B22" s="34" t="s">
        <v>29</v>
      </c>
      <c r="C22" s="64">
        <f>SUBTOTAL(109,ProjectBudget[BUDGET])</f>
        <v>19200</v>
      </c>
      <c r="D22" s="64">
        <f>SUBTOTAL(109,ProjectBudget[SPENT TO DATE])</f>
        <v>8650</v>
      </c>
      <c r="E22" s="64">
        <f>SUBTOTAL(109,ProjectBudget[BUDGET REMAINING])</f>
        <v>10550</v>
      </c>
      <c r="G22" s="4"/>
      <c r="K22" s="4"/>
      <c r="L22" s="4"/>
      <c r="M22" s="4"/>
      <c r="N22" s="4"/>
      <c r="O22" s="4"/>
      <c r="P22" s="4"/>
    </row>
    <row r="23" spans="2:16" x14ac:dyDescent="0.25">
      <c r="G23" s="4"/>
      <c r="K23" s="4"/>
      <c r="L23" s="4"/>
      <c r="M23" s="4"/>
      <c r="N23" s="4"/>
      <c r="O23" s="4"/>
      <c r="P23" s="4"/>
    </row>
    <row r="24" spans="2:16" x14ac:dyDescent="0.25">
      <c r="G24" s="4"/>
      <c r="K24" s="4"/>
      <c r="L24" s="4"/>
      <c r="M24" s="4"/>
      <c r="N24" s="4"/>
      <c r="O24" s="4"/>
      <c r="P24" s="4"/>
    </row>
    <row r="25" spans="2:16" x14ac:dyDescent="0.25">
      <c r="G25" s="4"/>
      <c r="K25" s="4"/>
      <c r="L25" s="4"/>
      <c r="M25" s="4"/>
      <c r="N25" s="4"/>
      <c r="O25" s="4"/>
      <c r="P25" s="4"/>
    </row>
    <row r="26" spans="2:16" x14ac:dyDescent="0.25">
      <c r="G26" s="4"/>
      <c r="K26" s="4"/>
      <c r="L26" s="4"/>
      <c r="M26" s="4"/>
      <c r="N26" s="4"/>
      <c r="O26" s="4"/>
      <c r="P26" s="4"/>
    </row>
    <row r="27" spans="2:16" x14ac:dyDescent="0.25">
      <c r="G27" s="4"/>
      <c r="K27" s="4"/>
      <c r="L27" s="4"/>
      <c r="M27" s="4"/>
      <c r="N27" s="4"/>
      <c r="O27" s="4"/>
      <c r="P27" s="4"/>
    </row>
    <row r="28" spans="2:16" x14ac:dyDescent="0.25">
      <c r="B28"/>
      <c r="C28"/>
      <c r="D28"/>
      <c r="G28" s="4"/>
      <c r="K28" s="4"/>
      <c r="L28" s="4"/>
      <c r="M28" s="4"/>
      <c r="N28" s="4"/>
      <c r="O28" s="4"/>
      <c r="P28" s="4"/>
    </row>
    <row r="29" spans="2:16" x14ac:dyDescent="0.25">
      <c r="B29"/>
      <c r="C29"/>
      <c r="D29"/>
      <c r="G29" s="4"/>
      <c r="K29" s="4"/>
      <c r="L29" s="4"/>
      <c r="M29" s="4"/>
      <c r="N29" s="4"/>
      <c r="O29" s="4"/>
      <c r="P29" s="4"/>
    </row>
    <row r="30" spans="2:16" x14ac:dyDescent="0.25">
      <c r="B30"/>
      <c r="C30"/>
      <c r="D30"/>
      <c r="G30" s="4"/>
      <c r="K30" s="4"/>
      <c r="L30" s="4"/>
      <c r="M30" s="4"/>
      <c r="N30" s="4"/>
      <c r="O30" s="4"/>
      <c r="P30" s="4"/>
    </row>
    <row r="31" spans="2:16" x14ac:dyDescent="0.25">
      <c r="B31"/>
      <c r="C31"/>
      <c r="D31"/>
      <c r="G31" s="4"/>
      <c r="K31" s="4"/>
      <c r="L31" s="4"/>
      <c r="M31" s="4"/>
      <c r="N31" s="4"/>
      <c r="O31" s="4"/>
      <c r="P31" s="4"/>
    </row>
    <row r="32" spans="2:16" x14ac:dyDescent="0.25">
      <c r="B32"/>
      <c r="C32"/>
      <c r="D32"/>
      <c r="G32" s="4"/>
      <c r="K32" s="4"/>
      <c r="L32" s="4"/>
      <c r="M32" s="4"/>
      <c r="N32" s="4"/>
      <c r="O32" s="4"/>
      <c r="P32" s="4"/>
    </row>
    <row r="33" spans="7:16" x14ac:dyDescent="0.25">
      <c r="G33" s="4"/>
      <c r="K33" s="4"/>
      <c r="L33" s="4"/>
      <c r="M33" s="4"/>
      <c r="N33" s="4"/>
      <c r="O33" s="4"/>
      <c r="P33" s="4"/>
    </row>
    <row r="34" spans="7:16" x14ac:dyDescent="0.25">
      <c r="G34" s="4"/>
      <c r="K34" s="4"/>
      <c r="L34" s="4"/>
      <c r="M34" s="4"/>
      <c r="N34" s="4"/>
      <c r="O34" s="4"/>
      <c r="P34" s="4"/>
    </row>
    <row r="35" spans="7:16" x14ac:dyDescent="0.25">
      <c r="G35" s="4"/>
      <c r="K35" s="4"/>
      <c r="L35" s="4"/>
      <c r="M35" s="4"/>
      <c r="N35" s="4"/>
      <c r="O35" s="4"/>
      <c r="P35" s="4"/>
    </row>
    <row r="36" spans="7:16" x14ac:dyDescent="0.25">
      <c r="G36" s="4"/>
      <c r="K36" s="4"/>
      <c r="L36" s="4"/>
      <c r="M36" s="4"/>
      <c r="N36" s="4"/>
      <c r="O36" s="4"/>
      <c r="P36" s="4"/>
    </row>
    <row r="37" spans="7:16" x14ac:dyDescent="0.25">
      <c r="G37" s="4"/>
      <c r="K37" s="4"/>
      <c r="L37" s="4"/>
      <c r="M37" s="4"/>
      <c r="N37" s="4"/>
      <c r="O37" s="4"/>
      <c r="P37" s="4"/>
    </row>
    <row r="38" spans="7:16" x14ac:dyDescent="0.25">
      <c r="G38" s="4"/>
      <c r="K38" s="4"/>
      <c r="L38" s="4"/>
      <c r="M38" s="4"/>
      <c r="N38" s="4"/>
      <c r="O38" s="4"/>
      <c r="P38" s="4"/>
    </row>
    <row r="39" spans="7:16" x14ac:dyDescent="0.25">
      <c r="G39" s="4"/>
      <c r="K39" s="4"/>
      <c r="L39" s="4"/>
      <c r="M39" s="4"/>
      <c r="N39" s="4"/>
      <c r="O39" s="4"/>
      <c r="P39" s="4"/>
    </row>
    <row r="40" spans="7:16" x14ac:dyDescent="0.25">
      <c r="G40" s="4"/>
      <c r="K40" s="4"/>
      <c r="L40" s="4"/>
      <c r="M40" s="4"/>
      <c r="N40" s="4"/>
      <c r="O40" s="4"/>
      <c r="P40" s="4"/>
    </row>
    <row r="41" spans="7:16" x14ac:dyDescent="0.25">
      <c r="G41" s="4"/>
      <c r="K41" s="4"/>
      <c r="L41" s="4"/>
      <c r="M41" s="4"/>
      <c r="N41" s="4"/>
      <c r="O41" s="4"/>
      <c r="P41" s="4"/>
    </row>
    <row r="42" spans="7:16" x14ac:dyDescent="0.25">
      <c r="G42" s="4"/>
      <c r="K42" s="4"/>
      <c r="L42" s="4"/>
      <c r="M42" s="4"/>
      <c r="N42" s="4"/>
      <c r="O42" s="4"/>
      <c r="P42" s="4"/>
    </row>
    <row r="43" spans="7:16" x14ac:dyDescent="0.25">
      <c r="G43" s="4"/>
      <c r="K43" s="4"/>
      <c r="L43" s="4"/>
      <c r="M43" s="4"/>
      <c r="N43" s="4"/>
      <c r="O43" s="4"/>
      <c r="P43" s="4"/>
    </row>
    <row r="44" spans="7:16" x14ac:dyDescent="0.25">
      <c r="G44" s="4"/>
      <c r="K44" s="4"/>
      <c r="L44" s="4"/>
      <c r="M44" s="4"/>
      <c r="N44" s="4"/>
      <c r="O44" s="4"/>
      <c r="P44" s="4"/>
    </row>
    <row r="45" spans="7:16" x14ac:dyDescent="0.25">
      <c r="G45" s="4"/>
      <c r="K45" s="4"/>
      <c r="L45" s="4"/>
      <c r="M45" s="4"/>
      <c r="N45" s="4"/>
      <c r="O45" s="4"/>
      <c r="P45" s="4"/>
    </row>
    <row r="46" spans="7:16" x14ac:dyDescent="0.25">
      <c r="G46" s="4"/>
      <c r="K46" s="4"/>
      <c r="L46" s="4"/>
      <c r="M46" s="4"/>
      <c r="N46" s="4"/>
      <c r="O46" s="4"/>
      <c r="P46" s="4"/>
    </row>
    <row r="47" spans="7:16" x14ac:dyDescent="0.25">
      <c r="G47" s="4"/>
      <c r="K47" s="4"/>
      <c r="L47" s="4"/>
      <c r="M47" s="4"/>
      <c r="N47" s="4"/>
      <c r="O47" s="4"/>
      <c r="P47" s="4"/>
    </row>
    <row r="48" spans="7:16" x14ac:dyDescent="0.25">
      <c r="G48" s="4"/>
      <c r="K48" s="4"/>
      <c r="L48" s="4"/>
      <c r="M48" s="4"/>
      <c r="N48" s="4"/>
      <c r="O48" s="4"/>
      <c r="P48" s="4"/>
    </row>
    <row r="49" spans="7:16" x14ac:dyDescent="0.25">
      <c r="G49" s="4"/>
      <c r="K49" s="4"/>
      <c r="L49" s="4"/>
      <c r="M49" s="4"/>
      <c r="N49" s="4"/>
      <c r="O49" s="4"/>
      <c r="P49" s="4"/>
    </row>
    <row r="50" spans="7:16" x14ac:dyDescent="0.25">
      <c r="G50" s="4"/>
      <c r="K50" s="4"/>
      <c r="L50" s="4"/>
      <c r="M50" s="4"/>
      <c r="N50" s="4"/>
      <c r="O50" s="4"/>
      <c r="P50" s="4"/>
    </row>
    <row r="51" spans="7:16" x14ac:dyDescent="0.25">
      <c r="G51" s="4"/>
      <c r="K51" s="4"/>
      <c r="L51" s="4"/>
      <c r="M51" s="4"/>
      <c r="N51" s="4"/>
      <c r="O51" s="4"/>
      <c r="P51" s="4"/>
    </row>
    <row r="52" spans="7:16" x14ac:dyDescent="0.25">
      <c r="G52" s="4"/>
      <c r="K52" s="4"/>
      <c r="L52" s="4"/>
      <c r="M52" s="4"/>
      <c r="N52" s="4"/>
      <c r="O52" s="4"/>
      <c r="P52" s="4"/>
    </row>
    <row r="53" spans="7:16" x14ac:dyDescent="0.25">
      <c r="G53" s="4"/>
      <c r="K53" s="4"/>
      <c r="L53" s="4"/>
      <c r="M53" s="4"/>
      <c r="N53" s="4"/>
      <c r="O53" s="4"/>
      <c r="P53" s="4"/>
    </row>
    <row r="54" spans="7:16" x14ac:dyDescent="0.25">
      <c r="G54" s="4"/>
      <c r="K54" s="4"/>
      <c r="L54" s="4"/>
      <c r="M54" s="4"/>
      <c r="N54" s="4"/>
      <c r="O54" s="4"/>
      <c r="P54" s="4"/>
    </row>
    <row r="55" spans="7:16" x14ac:dyDescent="0.25">
      <c r="G55" s="4"/>
      <c r="K55" s="4"/>
      <c r="L55" s="4"/>
      <c r="M55" s="4"/>
      <c r="N55" s="4"/>
      <c r="O55" s="4"/>
      <c r="P55" s="4"/>
    </row>
    <row r="56" spans="7:16" x14ac:dyDescent="0.25">
      <c r="G56" s="4"/>
      <c r="K56" s="4"/>
      <c r="L56" s="4"/>
      <c r="M56" s="4"/>
      <c r="N56" s="4"/>
      <c r="O56" s="4"/>
      <c r="P56" s="4"/>
    </row>
    <row r="57" spans="7:16" x14ac:dyDescent="0.25">
      <c r="G57" s="4"/>
      <c r="K57" s="4"/>
      <c r="L57" s="4"/>
      <c r="M57" s="4"/>
      <c r="N57" s="4"/>
      <c r="O57" s="4"/>
      <c r="P57" s="4"/>
    </row>
    <row r="58" spans="7:16" x14ac:dyDescent="0.25">
      <c r="G58" s="4"/>
      <c r="K58" s="4"/>
      <c r="L58" s="4"/>
      <c r="M58" s="4"/>
      <c r="N58" s="4"/>
      <c r="O58" s="4"/>
      <c r="P58" s="4"/>
    </row>
    <row r="59" spans="7:16" x14ac:dyDescent="0.25">
      <c r="G59" s="4"/>
      <c r="K59" s="4"/>
      <c r="L59" s="4"/>
      <c r="M59" s="4"/>
      <c r="N59" s="4"/>
      <c r="O59" s="4"/>
      <c r="P59" s="4"/>
    </row>
    <row r="60" spans="7:16" x14ac:dyDescent="0.25">
      <c r="G60" s="4"/>
      <c r="K60" s="4"/>
      <c r="L60" s="4"/>
      <c r="M60" s="4"/>
      <c r="N60" s="4"/>
      <c r="O60" s="4"/>
      <c r="P60" s="4"/>
    </row>
    <row r="61" spans="7:16" x14ac:dyDescent="0.25">
      <c r="G61" s="4"/>
      <c r="K61" s="4"/>
      <c r="L61" s="4"/>
      <c r="M61" s="4"/>
      <c r="N61" s="4"/>
      <c r="O61" s="4"/>
      <c r="P61" s="4"/>
    </row>
    <row r="62" spans="7:16" x14ac:dyDescent="0.25">
      <c r="G62" s="4"/>
      <c r="K62" s="4"/>
      <c r="L62" s="4"/>
      <c r="M62" s="4"/>
      <c r="N62" s="4"/>
      <c r="O62" s="4"/>
      <c r="P62" s="4"/>
    </row>
    <row r="63" spans="7:16" x14ac:dyDescent="0.25">
      <c r="G63" s="4"/>
      <c r="K63" s="4"/>
      <c r="L63" s="4"/>
      <c r="M63" s="4"/>
      <c r="N63" s="4"/>
      <c r="O63" s="4"/>
      <c r="P63" s="4"/>
    </row>
    <row r="64" spans="7:16" x14ac:dyDescent="0.25">
      <c r="G64" s="4"/>
      <c r="K64" s="4"/>
      <c r="L64" s="4"/>
      <c r="M64" s="4"/>
      <c r="N64" s="4"/>
      <c r="O64" s="4"/>
      <c r="P64" s="4"/>
    </row>
    <row r="65" spans="7:16" x14ac:dyDescent="0.25">
      <c r="G65" s="4"/>
      <c r="K65" s="4"/>
      <c r="L65" s="4"/>
      <c r="M65" s="4"/>
      <c r="N65" s="4"/>
      <c r="O65" s="4"/>
      <c r="P65" s="4"/>
    </row>
    <row r="66" spans="7:16" x14ac:dyDescent="0.25">
      <c r="G66" s="4"/>
      <c r="K66" s="4"/>
      <c r="L66" s="4"/>
      <c r="M66" s="4"/>
      <c r="N66" s="4"/>
      <c r="O66" s="4"/>
      <c r="P66" s="4"/>
    </row>
    <row r="67" spans="7:16" x14ac:dyDescent="0.25">
      <c r="G67" s="4"/>
      <c r="K67" s="4"/>
      <c r="L67" s="4"/>
      <c r="M67" s="4"/>
      <c r="N67" s="4"/>
      <c r="O67" s="4"/>
      <c r="P67" s="4"/>
    </row>
    <row r="68" spans="7:16" x14ac:dyDescent="0.25">
      <c r="G68" s="4"/>
      <c r="K68" s="4"/>
      <c r="L68" s="4"/>
      <c r="M68" s="4"/>
      <c r="N68" s="4"/>
      <c r="O68" s="4"/>
      <c r="P68" s="4"/>
    </row>
    <row r="69" spans="7:16" x14ac:dyDescent="0.25">
      <c r="G69" s="4"/>
      <c r="K69" s="4"/>
      <c r="L69" s="4"/>
      <c r="M69" s="4"/>
      <c r="N69" s="4"/>
      <c r="O69" s="4"/>
      <c r="P69" s="4"/>
    </row>
    <row r="70" spans="7:16" x14ac:dyDescent="0.25">
      <c r="G70" s="4"/>
      <c r="K70" s="4"/>
      <c r="L70" s="4"/>
      <c r="M70" s="4"/>
      <c r="N70" s="4"/>
      <c r="O70" s="4"/>
      <c r="P70" s="4"/>
    </row>
    <row r="71" spans="7:16" x14ac:dyDescent="0.25">
      <c r="G71" s="4"/>
      <c r="K71" s="4"/>
      <c r="L71" s="4"/>
      <c r="M71" s="4"/>
      <c r="N71" s="4"/>
      <c r="O71" s="4"/>
      <c r="P71" s="4"/>
    </row>
    <row r="72" spans="7:16" ht="15" customHeight="1" x14ac:dyDescent="0.25">
      <c r="G72" s="4"/>
      <c r="K72" s="4"/>
      <c r="L72" s="4"/>
      <c r="M72" s="4"/>
      <c r="N72" s="4"/>
      <c r="O72" s="4"/>
      <c r="P72" s="4"/>
    </row>
    <row r="73" spans="7:16" x14ac:dyDescent="0.25">
      <c r="G73" s="4"/>
      <c r="K73" s="4"/>
      <c r="L73" s="4"/>
      <c r="M73" s="4"/>
      <c r="N73" s="4"/>
      <c r="O73" s="4"/>
      <c r="P73" s="4"/>
    </row>
    <row r="74" spans="7:16" x14ac:dyDescent="0.25">
      <c r="G74" s="4"/>
      <c r="K74" s="4"/>
      <c r="L74" s="4"/>
      <c r="M74" s="4"/>
      <c r="N74" s="4"/>
      <c r="O74" s="4"/>
      <c r="P74" s="4"/>
    </row>
    <row r="75" spans="7:16" x14ac:dyDescent="0.25">
      <c r="G75" s="4"/>
      <c r="K75" s="4"/>
      <c r="L75" s="4"/>
      <c r="M75" s="4"/>
      <c r="N75" s="4"/>
      <c r="O75" s="4"/>
      <c r="P75" s="4"/>
    </row>
    <row r="76" spans="7:16" x14ac:dyDescent="0.25">
      <c r="G76" s="4"/>
      <c r="K76" s="4"/>
      <c r="L76" s="4"/>
      <c r="M76" s="4"/>
      <c r="N76" s="4"/>
      <c r="O76" s="4"/>
      <c r="P76" s="4"/>
    </row>
    <row r="77" spans="7:16" x14ac:dyDescent="0.25">
      <c r="G77" s="4"/>
      <c r="K77" s="4"/>
      <c r="L77" s="4"/>
      <c r="M77" s="4"/>
      <c r="N77" s="4"/>
      <c r="O77" s="4"/>
      <c r="P77" s="4"/>
    </row>
    <row r="78" spans="7:16" x14ac:dyDescent="0.25">
      <c r="G78" s="4"/>
      <c r="K78" s="4"/>
      <c r="L78" s="4"/>
      <c r="M78" s="4"/>
      <c r="N78" s="4"/>
      <c r="O78" s="4"/>
      <c r="P78" s="4"/>
    </row>
    <row r="79" spans="7:16" x14ac:dyDescent="0.25">
      <c r="G79" s="4"/>
      <c r="K79" s="4"/>
      <c r="L79" s="4"/>
      <c r="M79" s="4"/>
      <c r="N79" s="4"/>
      <c r="O79" s="4"/>
      <c r="P79" s="4"/>
    </row>
    <row r="80" spans="7:16" x14ac:dyDescent="0.25">
      <c r="G80" s="4"/>
      <c r="K80" s="4"/>
      <c r="L80" s="4"/>
      <c r="M80" s="4"/>
      <c r="N80" s="4"/>
      <c r="O80" s="4"/>
      <c r="P80" s="4"/>
    </row>
    <row r="81" spans="7:16" x14ac:dyDescent="0.25">
      <c r="G81" s="4"/>
      <c r="K81" s="4"/>
      <c r="L81" s="4"/>
      <c r="M81" s="4"/>
      <c r="N81" s="4"/>
      <c r="O81" s="4"/>
      <c r="P81" s="4"/>
    </row>
    <row r="82" spans="7:16" x14ac:dyDescent="0.25">
      <c r="G82" s="4"/>
      <c r="K82" s="4"/>
      <c r="L82" s="4"/>
      <c r="M82" s="4"/>
      <c r="N82" s="4"/>
      <c r="O82" s="4"/>
      <c r="P82" s="4"/>
    </row>
    <row r="83" spans="7:16" x14ac:dyDescent="0.25">
      <c r="G83" s="4"/>
      <c r="K83" s="4"/>
      <c r="L83" s="4"/>
      <c r="M83" s="4"/>
      <c r="N83" s="4"/>
      <c r="O83" s="4"/>
      <c r="P83" s="4"/>
    </row>
    <row r="84" spans="7:16" x14ac:dyDescent="0.25">
      <c r="G84" s="4"/>
      <c r="K84" s="4"/>
      <c r="L84" s="4"/>
      <c r="M84" s="4"/>
      <c r="N84" s="4"/>
      <c r="O84" s="4"/>
      <c r="P84" s="4"/>
    </row>
    <row r="85" spans="7:16" ht="15" customHeight="1" x14ac:dyDescent="0.25">
      <c r="G85" s="4"/>
      <c r="K85" s="4"/>
      <c r="L85" s="4"/>
      <c r="M85" s="4"/>
      <c r="N85" s="4"/>
      <c r="O85" s="4"/>
      <c r="P85" s="4"/>
    </row>
    <row r="86" spans="7:16" x14ac:dyDescent="0.25">
      <c r="G86" s="4"/>
      <c r="K86" s="4"/>
      <c r="L86" s="4"/>
      <c r="M86" s="4"/>
      <c r="N86" s="4"/>
      <c r="O86" s="4"/>
      <c r="P86" s="4"/>
    </row>
    <row r="87" spans="7:16" x14ac:dyDescent="0.25">
      <c r="G87" s="4"/>
      <c r="K87" s="4"/>
      <c r="L87" s="4"/>
      <c r="M87" s="4"/>
      <c r="N87" s="4"/>
      <c r="O87" s="4"/>
      <c r="P87" s="4"/>
    </row>
    <row r="88" spans="7:16" x14ac:dyDescent="0.25">
      <c r="G88" s="4"/>
      <c r="K88" s="4"/>
      <c r="L88" s="4"/>
      <c r="M88" s="4"/>
      <c r="N88" s="4"/>
      <c r="O88" s="4"/>
      <c r="P88" s="4"/>
    </row>
    <row r="89" spans="7:16" x14ac:dyDescent="0.25">
      <c r="G89" s="4"/>
      <c r="K89" s="4"/>
      <c r="L89" s="4"/>
      <c r="M89" s="4"/>
      <c r="N89" s="4"/>
      <c r="O89" s="4"/>
      <c r="P89" s="4"/>
    </row>
    <row r="90" spans="7:16" x14ac:dyDescent="0.25">
      <c r="G90" s="4"/>
      <c r="K90" s="4"/>
      <c r="L90" s="4"/>
      <c r="M90" s="4"/>
      <c r="N90" s="4"/>
      <c r="O90" s="4"/>
      <c r="P90" s="4"/>
    </row>
    <row r="91" spans="7:16" x14ac:dyDescent="0.25">
      <c r="G91" s="4"/>
      <c r="K91" s="4"/>
      <c r="L91" s="4"/>
      <c r="M91" s="4"/>
      <c r="N91" s="4"/>
      <c r="O91" s="4"/>
      <c r="P91" s="4"/>
    </row>
    <row r="92" spans="7:16" x14ac:dyDescent="0.25">
      <c r="G92" s="4"/>
      <c r="K92" s="4"/>
      <c r="L92" s="4"/>
      <c r="M92" s="4"/>
      <c r="N92" s="4"/>
      <c r="O92" s="4"/>
      <c r="P92" s="4"/>
    </row>
    <row r="93" spans="7:16" x14ac:dyDescent="0.25">
      <c r="G93" s="4"/>
      <c r="K93" s="4"/>
      <c r="L93" s="4"/>
      <c r="M93" s="4"/>
      <c r="N93" s="4"/>
      <c r="O93" s="4"/>
      <c r="P93" s="4"/>
    </row>
    <row r="94" spans="7:16" x14ac:dyDescent="0.25">
      <c r="G94" s="4"/>
      <c r="K94" s="4"/>
      <c r="L94" s="4"/>
      <c r="M94" s="4"/>
      <c r="N94" s="4"/>
      <c r="O94" s="4"/>
      <c r="P94" s="4"/>
    </row>
    <row r="95" spans="7:16" x14ac:dyDescent="0.25">
      <c r="G95" s="4"/>
      <c r="K95" s="4"/>
      <c r="L95" s="4"/>
      <c r="M95" s="4"/>
      <c r="N95" s="4"/>
      <c r="O95" s="4"/>
      <c r="P95" s="4"/>
    </row>
    <row r="96" spans="7:16" x14ac:dyDescent="0.25">
      <c r="G96" s="4"/>
      <c r="K96" s="4"/>
      <c r="L96" s="4"/>
      <c r="M96" s="4"/>
      <c r="N96" s="4"/>
      <c r="O96" s="4"/>
      <c r="P96" s="4"/>
    </row>
    <row r="97" spans="7:16" x14ac:dyDescent="0.25">
      <c r="G97" s="4"/>
      <c r="K97" s="4"/>
      <c r="L97" s="4"/>
      <c r="M97" s="4"/>
      <c r="N97" s="4"/>
      <c r="O97" s="4"/>
      <c r="P97" s="4"/>
    </row>
    <row r="98" spans="7:16" x14ac:dyDescent="0.25">
      <c r="G98" s="4"/>
      <c r="K98" s="4"/>
      <c r="L98" s="4"/>
      <c r="M98" s="4"/>
      <c r="N98" s="4"/>
      <c r="O98" s="4"/>
      <c r="P98" s="4"/>
    </row>
    <row r="99" spans="7:16" x14ac:dyDescent="0.25">
      <c r="G99" s="4"/>
      <c r="K99" s="4"/>
      <c r="L99" s="4"/>
      <c r="M99" s="4"/>
      <c r="N99" s="4"/>
      <c r="O99" s="4"/>
      <c r="P99" s="4"/>
    </row>
    <row r="100" spans="7:16" x14ac:dyDescent="0.25">
      <c r="G100" s="4"/>
      <c r="K100" s="4"/>
      <c r="L100" s="4"/>
      <c r="M100" s="4"/>
      <c r="N100" s="4"/>
      <c r="O100" s="4"/>
      <c r="P100" s="4"/>
    </row>
    <row r="101" spans="7:16" x14ac:dyDescent="0.25">
      <c r="G101" s="4"/>
      <c r="K101" s="4"/>
      <c r="L101" s="4"/>
      <c r="M101" s="4"/>
      <c r="N101" s="4"/>
      <c r="O101" s="4"/>
      <c r="P101" s="4"/>
    </row>
    <row r="102" spans="7:16" x14ac:dyDescent="0.25">
      <c r="G102" s="4"/>
      <c r="K102" s="4"/>
      <c r="L102" s="4"/>
      <c r="M102" s="4"/>
      <c r="N102" s="4"/>
      <c r="O102" s="4"/>
      <c r="P102" s="4"/>
    </row>
    <row r="103" spans="7:16" x14ac:dyDescent="0.25">
      <c r="G103" s="4"/>
      <c r="K103" s="4"/>
      <c r="L103" s="4"/>
      <c r="M103" s="4"/>
      <c r="N103" s="4"/>
      <c r="O103" s="4"/>
      <c r="P103" s="4"/>
    </row>
    <row r="104" spans="7:16" x14ac:dyDescent="0.25">
      <c r="G104" s="4"/>
      <c r="K104" s="4"/>
      <c r="L104" s="4"/>
      <c r="M104" s="4"/>
      <c r="N104" s="4"/>
      <c r="O104" s="4"/>
      <c r="P104" s="4"/>
    </row>
    <row r="105" spans="7:16" x14ac:dyDescent="0.25">
      <c r="G105" s="4"/>
      <c r="K105" s="4"/>
      <c r="L105" s="4"/>
      <c r="M105" s="4"/>
      <c r="N105" s="4"/>
      <c r="O105" s="4"/>
      <c r="P105" s="4"/>
    </row>
    <row r="106" spans="7:16" x14ac:dyDescent="0.25">
      <c r="G106" s="4"/>
      <c r="K106" s="4"/>
      <c r="L106" s="4"/>
      <c r="M106" s="4"/>
      <c r="N106" s="4"/>
      <c r="O106" s="4"/>
      <c r="P106" s="4"/>
    </row>
    <row r="107" spans="7:16" x14ac:dyDescent="0.25">
      <c r="G107" s="4"/>
      <c r="K107" s="4"/>
      <c r="L107" s="4"/>
      <c r="M107" s="4"/>
      <c r="N107" s="4"/>
      <c r="O107" s="4"/>
      <c r="P107" s="4"/>
    </row>
    <row r="108" spans="7:16" x14ac:dyDescent="0.25">
      <c r="G108" s="4"/>
      <c r="K108" s="4"/>
      <c r="L108" s="4"/>
      <c r="M108" s="4"/>
      <c r="N108" s="4"/>
      <c r="O108" s="4"/>
      <c r="P108" s="4"/>
    </row>
    <row r="109" spans="7:16" x14ac:dyDescent="0.25">
      <c r="G109" s="4"/>
      <c r="K109" s="4"/>
      <c r="L109" s="4"/>
      <c r="M109" s="4"/>
      <c r="N109" s="4"/>
      <c r="O109" s="4"/>
      <c r="P109" s="4"/>
    </row>
    <row r="110" spans="7:16" x14ac:dyDescent="0.25">
      <c r="G110" s="4"/>
      <c r="K110" s="4"/>
      <c r="L110" s="4"/>
      <c r="M110" s="4"/>
      <c r="N110" s="4"/>
      <c r="O110" s="4"/>
      <c r="P110" s="4"/>
    </row>
    <row r="111" spans="7:16" x14ac:dyDescent="0.25">
      <c r="G111" s="4"/>
      <c r="K111" s="4"/>
      <c r="L111" s="4"/>
      <c r="M111" s="4"/>
      <c r="N111" s="4"/>
      <c r="O111" s="4"/>
      <c r="P111" s="4"/>
    </row>
    <row r="112" spans="7:16" x14ac:dyDescent="0.25">
      <c r="G112" s="4"/>
      <c r="K112" s="4"/>
      <c r="L112" s="4"/>
      <c r="M112" s="4"/>
      <c r="N112" s="4"/>
      <c r="O112" s="4"/>
      <c r="P112" s="4"/>
    </row>
    <row r="113" spans="7:16" x14ac:dyDescent="0.25">
      <c r="G113" s="4"/>
      <c r="K113" s="4"/>
      <c r="L113" s="4"/>
      <c r="M113" s="4"/>
      <c r="N113" s="4"/>
      <c r="O113" s="4"/>
      <c r="P113" s="4"/>
    </row>
    <row r="114" spans="7:16" x14ac:dyDescent="0.25">
      <c r="G114" s="4"/>
      <c r="K114" s="4"/>
      <c r="L114" s="4"/>
      <c r="M114" s="4"/>
      <c r="N114" s="4"/>
      <c r="O114" s="4"/>
      <c r="P114" s="4"/>
    </row>
    <row r="115" spans="7:16" x14ac:dyDescent="0.25">
      <c r="G115" s="4"/>
      <c r="K115" s="4"/>
      <c r="L115" s="4"/>
      <c r="M115" s="4"/>
      <c r="N115" s="4"/>
      <c r="O115" s="4"/>
      <c r="P115" s="4"/>
    </row>
    <row r="116" spans="7:16" ht="21.75" customHeight="1" x14ac:dyDescent="0.25">
      <c r="G116" s="4"/>
      <c r="K116" s="4"/>
      <c r="L116" s="4"/>
      <c r="M116" s="4"/>
      <c r="N116" s="4"/>
      <c r="O116" s="4"/>
      <c r="P116" s="4"/>
    </row>
    <row r="117" spans="7:16" x14ac:dyDescent="0.25">
      <c r="G117" s="4"/>
      <c r="K117" s="4"/>
      <c r="L117" s="4"/>
      <c r="M117" s="4"/>
      <c r="N117" s="4"/>
      <c r="O117" s="4"/>
      <c r="P117" s="4"/>
    </row>
    <row r="118" spans="7:16" x14ac:dyDescent="0.25">
      <c r="G118" s="4"/>
      <c r="K118" s="4"/>
      <c r="L118" s="4"/>
      <c r="M118" s="4"/>
      <c r="N118" s="4"/>
      <c r="O118" s="4"/>
      <c r="P118" s="4"/>
    </row>
    <row r="119" spans="7:16" x14ac:dyDescent="0.25">
      <c r="G119" s="4"/>
      <c r="K119" s="4"/>
      <c r="L119" s="4"/>
      <c r="M119" s="4"/>
      <c r="N119" s="4"/>
      <c r="O119" s="4"/>
      <c r="P119" s="4"/>
    </row>
    <row r="120" spans="7:16" x14ac:dyDescent="0.25">
      <c r="G120" s="4"/>
      <c r="K120" s="4"/>
      <c r="L120" s="4"/>
      <c r="M120" s="4"/>
      <c r="N120" s="4"/>
      <c r="O120" s="4"/>
      <c r="P120" s="4"/>
    </row>
    <row r="121" spans="7:16" x14ac:dyDescent="0.25">
      <c r="G121" s="4"/>
      <c r="K121" s="4"/>
      <c r="L121" s="4"/>
      <c r="M121" s="4"/>
      <c r="N121" s="4"/>
      <c r="O121" s="4"/>
      <c r="P121" s="4"/>
    </row>
    <row r="122" spans="7:16" x14ac:dyDescent="0.25">
      <c r="G122" s="4"/>
      <c r="K122" s="4"/>
      <c r="L122" s="4"/>
      <c r="M122" s="4"/>
      <c r="N122" s="4"/>
      <c r="O122" s="4"/>
      <c r="P122" s="4"/>
    </row>
    <row r="123" spans="7:16" x14ac:dyDescent="0.25">
      <c r="G123" s="4"/>
      <c r="K123" s="4"/>
      <c r="L123" s="4"/>
      <c r="M123" s="4"/>
      <c r="N123" s="4"/>
      <c r="O123" s="4"/>
      <c r="P123" s="4"/>
    </row>
    <row r="124" spans="7:16" x14ac:dyDescent="0.25">
      <c r="G124" s="4"/>
      <c r="K124" s="4"/>
      <c r="L124" s="4"/>
      <c r="M124" s="4"/>
      <c r="N124" s="4"/>
      <c r="O124" s="4"/>
      <c r="P124" s="4"/>
    </row>
    <row r="125" spans="7:16" x14ac:dyDescent="0.25">
      <c r="G125" s="4"/>
      <c r="K125" s="4"/>
      <c r="L125" s="4"/>
      <c r="M125" s="4"/>
      <c r="N125" s="4"/>
      <c r="O125" s="4"/>
      <c r="P125" s="4"/>
    </row>
    <row r="126" spans="7:16" x14ac:dyDescent="0.25">
      <c r="G126" s="4"/>
      <c r="K126" s="4"/>
      <c r="L126" s="4"/>
      <c r="M126" s="4"/>
      <c r="N126" s="4"/>
      <c r="O126" s="4"/>
      <c r="P126" s="4"/>
    </row>
    <row r="127" spans="7:16" x14ac:dyDescent="0.25">
      <c r="G127" s="4"/>
      <c r="K127" s="4"/>
      <c r="L127" s="4"/>
      <c r="M127" s="4"/>
      <c r="N127" s="4"/>
      <c r="O127" s="4"/>
      <c r="P127" s="4"/>
    </row>
    <row r="128" spans="7:16" x14ac:dyDescent="0.25">
      <c r="G128" s="4"/>
      <c r="K128" s="4"/>
      <c r="L128" s="4"/>
      <c r="M128" s="4"/>
      <c r="N128" s="4"/>
      <c r="O128" s="4"/>
      <c r="P128" s="4"/>
    </row>
    <row r="129" spans="7:16" x14ac:dyDescent="0.25">
      <c r="G129" s="4"/>
      <c r="K129" s="4"/>
      <c r="L129" s="4"/>
      <c r="M129" s="4"/>
      <c r="N129" s="4"/>
      <c r="O129" s="4"/>
      <c r="P129" s="4"/>
    </row>
    <row r="130" spans="7:16" x14ac:dyDescent="0.25">
      <c r="G130" s="4"/>
      <c r="K130" s="4"/>
      <c r="L130" s="4"/>
      <c r="M130" s="4"/>
      <c r="N130" s="4"/>
      <c r="O130" s="4"/>
      <c r="P130" s="4"/>
    </row>
    <row r="131" spans="7:16" x14ac:dyDescent="0.25">
      <c r="G131" s="4"/>
      <c r="K131" s="4"/>
      <c r="L131" s="4"/>
      <c r="M131" s="4"/>
      <c r="N131" s="4"/>
      <c r="O131" s="4"/>
      <c r="P131" s="4"/>
    </row>
    <row r="132" spans="7:16" x14ac:dyDescent="0.25">
      <c r="G132" s="4"/>
      <c r="K132" s="4"/>
      <c r="L132" s="4"/>
      <c r="M132" s="4"/>
      <c r="N132" s="4"/>
      <c r="O132" s="4"/>
      <c r="P132" s="4"/>
    </row>
    <row r="133" spans="7:16" ht="15" customHeight="1" x14ac:dyDescent="0.25">
      <c r="G133" s="4"/>
      <c r="K133" s="4"/>
      <c r="L133" s="4"/>
      <c r="M133" s="4"/>
      <c r="N133" s="4"/>
      <c r="O133" s="4"/>
      <c r="P133" s="4"/>
    </row>
    <row r="134" spans="7:16" x14ac:dyDescent="0.25">
      <c r="G134" s="4"/>
      <c r="K134" s="4"/>
      <c r="L134" s="4"/>
      <c r="M134" s="4"/>
      <c r="N134" s="4"/>
      <c r="O134" s="4"/>
      <c r="P134" s="4"/>
    </row>
    <row r="135" spans="7:16" x14ac:dyDescent="0.25">
      <c r="G135" s="4"/>
      <c r="K135" s="4"/>
      <c r="L135" s="4"/>
      <c r="M135" s="4"/>
      <c r="N135" s="4"/>
      <c r="O135" s="4"/>
      <c r="P135" s="4"/>
    </row>
    <row r="136" spans="7:16" x14ac:dyDescent="0.25">
      <c r="G136" s="4"/>
      <c r="K136" s="4"/>
      <c r="L136" s="4"/>
      <c r="M136" s="4"/>
      <c r="N136" s="4"/>
      <c r="O136" s="4"/>
      <c r="P136" s="4"/>
    </row>
    <row r="137" spans="7:16" x14ac:dyDescent="0.25">
      <c r="G137" s="4"/>
      <c r="K137" s="4"/>
      <c r="L137" s="4"/>
      <c r="M137" s="4"/>
      <c r="N137" s="4"/>
      <c r="O137" s="4"/>
      <c r="P137" s="4"/>
    </row>
    <row r="138" spans="7:16" x14ac:dyDescent="0.25">
      <c r="G138" s="4"/>
      <c r="K138" s="4"/>
      <c r="L138" s="4"/>
      <c r="M138" s="4"/>
      <c r="N138" s="4"/>
      <c r="O138" s="4"/>
      <c r="P138" s="4"/>
    </row>
    <row r="139" spans="7:16" x14ac:dyDescent="0.25">
      <c r="G139" s="4"/>
      <c r="K139" s="4"/>
      <c r="L139" s="4"/>
      <c r="M139" s="4"/>
      <c r="N139" s="4"/>
      <c r="O139" s="4"/>
      <c r="P139" s="4"/>
    </row>
    <row r="140" spans="7:16" x14ac:dyDescent="0.25">
      <c r="G140" s="4"/>
      <c r="K140" s="4"/>
      <c r="L140" s="4"/>
      <c r="M140" s="4"/>
      <c r="N140" s="4"/>
      <c r="O140" s="4"/>
      <c r="P140" s="4"/>
    </row>
    <row r="141" spans="7:16" x14ac:dyDescent="0.25">
      <c r="G141" s="4"/>
      <c r="K141" s="4"/>
      <c r="L141" s="4"/>
      <c r="M141" s="4"/>
      <c r="N141" s="4"/>
      <c r="O141" s="4"/>
      <c r="P141" s="4"/>
    </row>
    <row r="142" spans="7:16" x14ac:dyDescent="0.25">
      <c r="G142" s="4"/>
      <c r="K142" s="4"/>
      <c r="L142" s="4"/>
      <c r="M142" s="4"/>
      <c r="N142" s="4"/>
      <c r="O142" s="4"/>
      <c r="P142" s="4"/>
    </row>
    <row r="143" spans="7:16" x14ac:dyDescent="0.25">
      <c r="G143" s="4"/>
      <c r="K143" s="4"/>
      <c r="L143" s="4"/>
      <c r="M143" s="4"/>
      <c r="N143" s="4"/>
      <c r="O143" s="4"/>
      <c r="P143" s="4"/>
    </row>
    <row r="144" spans="7:16" x14ac:dyDescent="0.25">
      <c r="G144" s="4"/>
      <c r="K144" s="4"/>
      <c r="L144" s="4"/>
      <c r="M144" s="4"/>
      <c r="N144" s="4"/>
      <c r="O144" s="4"/>
      <c r="P144" s="4"/>
    </row>
    <row r="145" spans="7:16" x14ac:dyDescent="0.25">
      <c r="G145" s="4"/>
      <c r="K145" s="4"/>
      <c r="L145" s="4"/>
      <c r="M145" s="4"/>
      <c r="N145" s="4"/>
      <c r="O145" s="4"/>
      <c r="P145" s="4"/>
    </row>
    <row r="146" spans="7:16" x14ac:dyDescent="0.25">
      <c r="G146" s="4"/>
      <c r="K146" s="4"/>
      <c r="L146" s="4"/>
      <c r="M146" s="4"/>
      <c r="N146" s="4"/>
      <c r="O146" s="4"/>
      <c r="P146" s="4"/>
    </row>
    <row r="147" spans="7:16" ht="21.75" customHeight="1" x14ac:dyDescent="0.25">
      <c r="G147" s="4"/>
      <c r="K147" s="4"/>
      <c r="L147" s="4"/>
      <c r="M147" s="4"/>
      <c r="N147" s="4"/>
      <c r="O147" s="4"/>
      <c r="P147" s="4"/>
    </row>
    <row r="148" spans="7:16" x14ac:dyDescent="0.25">
      <c r="G148" s="4"/>
      <c r="K148" s="4"/>
      <c r="L148" s="4"/>
      <c r="M148" s="4"/>
      <c r="N148" s="4"/>
      <c r="O148" s="4"/>
      <c r="P148" s="4"/>
    </row>
    <row r="149" spans="7:16" x14ac:dyDescent="0.25">
      <c r="G149" s="4"/>
      <c r="K149" s="4"/>
      <c r="L149" s="4"/>
      <c r="M149" s="4"/>
      <c r="N149" s="4"/>
      <c r="O149" s="4"/>
      <c r="P149" s="4"/>
    </row>
    <row r="150" spans="7:16" x14ac:dyDescent="0.25">
      <c r="G150" s="4"/>
      <c r="K150" s="4"/>
      <c r="L150" s="4"/>
      <c r="M150" s="4"/>
      <c r="N150" s="4"/>
      <c r="O150" s="4"/>
      <c r="P150" s="4"/>
    </row>
    <row r="151" spans="7:16" x14ac:dyDescent="0.25">
      <c r="G151" s="4"/>
      <c r="K151" s="4"/>
      <c r="L151" s="4"/>
      <c r="M151" s="4"/>
      <c r="N151" s="4"/>
      <c r="O151" s="4"/>
      <c r="P151" s="4"/>
    </row>
    <row r="152" spans="7:16" x14ac:dyDescent="0.25">
      <c r="G152" s="4"/>
      <c r="K152" s="4"/>
      <c r="L152" s="4"/>
      <c r="M152" s="4"/>
      <c r="N152" s="4"/>
      <c r="O152" s="4"/>
      <c r="P152" s="4"/>
    </row>
    <row r="153" spans="7:16" x14ac:dyDescent="0.25">
      <c r="G153" s="4"/>
      <c r="K153" s="4"/>
      <c r="L153" s="4"/>
      <c r="M153" s="4"/>
      <c r="N153" s="4"/>
      <c r="O153" s="4"/>
      <c r="P153" s="4"/>
    </row>
    <row r="154" spans="7:16" x14ac:dyDescent="0.25">
      <c r="G154" s="4"/>
      <c r="K154" s="4"/>
      <c r="L154" s="4"/>
      <c r="M154" s="4"/>
      <c r="N154" s="4"/>
      <c r="O154" s="4"/>
      <c r="P154" s="4"/>
    </row>
    <row r="155" spans="7:16" x14ac:dyDescent="0.25">
      <c r="G155" s="4"/>
      <c r="K155" s="4"/>
      <c r="L155" s="4"/>
      <c r="M155" s="4"/>
      <c r="N155" s="4"/>
      <c r="O155" s="4"/>
      <c r="P155" s="4"/>
    </row>
    <row r="156" spans="7:16" x14ac:dyDescent="0.25">
      <c r="G156" s="4"/>
      <c r="K156" s="4"/>
      <c r="L156" s="4"/>
      <c r="M156" s="4"/>
      <c r="N156" s="4"/>
      <c r="O156" s="4"/>
      <c r="P156" s="4"/>
    </row>
    <row r="157" spans="7:16" x14ac:dyDescent="0.25">
      <c r="G157" s="4"/>
      <c r="K157" s="4"/>
      <c r="L157" s="4"/>
      <c r="M157" s="4"/>
      <c r="N157" s="4"/>
      <c r="O157" s="4"/>
      <c r="P157" s="4"/>
    </row>
    <row r="158" spans="7:16" x14ac:dyDescent="0.25">
      <c r="G158" s="4"/>
      <c r="K158" s="4"/>
      <c r="L158" s="4"/>
      <c r="M158" s="4"/>
      <c r="N158" s="4"/>
      <c r="O158" s="4"/>
      <c r="P158" s="4"/>
    </row>
    <row r="159" spans="7:16" x14ac:dyDescent="0.25">
      <c r="G159" s="4"/>
      <c r="K159" s="4"/>
      <c r="L159" s="4"/>
      <c r="M159" s="4"/>
      <c r="N159" s="4"/>
      <c r="O159" s="4"/>
      <c r="P159" s="4"/>
    </row>
    <row r="160" spans="7:16" x14ac:dyDescent="0.25">
      <c r="G160" s="4"/>
      <c r="K160" s="4"/>
      <c r="L160" s="4"/>
      <c r="M160" s="4"/>
      <c r="N160" s="4"/>
      <c r="O160" s="4"/>
      <c r="P160" s="4"/>
    </row>
    <row r="161" spans="7:16" x14ac:dyDescent="0.25">
      <c r="G161" s="4"/>
      <c r="K161" s="4"/>
      <c r="L161" s="4"/>
      <c r="M161" s="4"/>
      <c r="N161" s="4"/>
      <c r="O161" s="4"/>
      <c r="P161" s="4"/>
    </row>
    <row r="162" spans="7:16" x14ac:dyDescent="0.25">
      <c r="G162" s="4"/>
      <c r="K162" s="4"/>
      <c r="L162" s="4"/>
      <c r="M162" s="4"/>
      <c r="N162" s="4"/>
      <c r="O162" s="4"/>
      <c r="P162" s="4"/>
    </row>
    <row r="163" spans="7:16" x14ac:dyDescent="0.25">
      <c r="G163" s="4"/>
      <c r="K163" s="4"/>
      <c r="L163" s="4"/>
      <c r="M163" s="4"/>
      <c r="N163" s="4"/>
      <c r="O163" s="4"/>
      <c r="P163" s="4"/>
    </row>
    <row r="164" spans="7:16" x14ac:dyDescent="0.25">
      <c r="G164" s="4"/>
      <c r="K164" s="4"/>
      <c r="L164" s="4"/>
      <c r="M164" s="4"/>
      <c r="N164" s="4"/>
      <c r="O164" s="4"/>
      <c r="P164" s="4"/>
    </row>
    <row r="165" spans="7:16" x14ac:dyDescent="0.25">
      <c r="G165" s="4"/>
      <c r="K165" s="4"/>
      <c r="L165" s="4"/>
      <c r="M165" s="4"/>
      <c r="N165" s="4"/>
      <c r="O165" s="4"/>
      <c r="P165" s="4"/>
    </row>
    <row r="166" spans="7:16" x14ac:dyDescent="0.25">
      <c r="G166" s="4"/>
      <c r="K166" s="4"/>
      <c r="L166" s="4"/>
      <c r="M166" s="4"/>
      <c r="N166" s="4"/>
      <c r="O166" s="4"/>
      <c r="P166" s="4"/>
    </row>
    <row r="167" spans="7:16" x14ac:dyDescent="0.25">
      <c r="G167" s="4"/>
      <c r="K167" s="4"/>
      <c r="L167" s="4"/>
      <c r="M167" s="4"/>
      <c r="N167" s="4"/>
      <c r="O167" s="4"/>
      <c r="P167" s="4"/>
    </row>
    <row r="168" spans="7:16" x14ac:dyDescent="0.25">
      <c r="G168" s="4"/>
      <c r="K168" s="4"/>
      <c r="L168" s="4"/>
      <c r="M168" s="4"/>
      <c r="N168" s="4"/>
      <c r="O168" s="4"/>
      <c r="P168" s="4"/>
    </row>
    <row r="169" spans="7:16" x14ac:dyDescent="0.25">
      <c r="G169" s="4"/>
      <c r="K169" s="4"/>
      <c r="L169" s="4"/>
      <c r="M169" s="4"/>
      <c r="N169" s="4"/>
      <c r="O169" s="4"/>
      <c r="P169" s="4"/>
    </row>
    <row r="170" spans="7:16" x14ac:dyDescent="0.25">
      <c r="G170" s="4"/>
      <c r="K170" s="4"/>
      <c r="L170" s="4"/>
      <c r="M170" s="4"/>
      <c r="N170" s="4"/>
      <c r="O170" s="4"/>
      <c r="P170" s="4"/>
    </row>
    <row r="171" spans="7:16" x14ac:dyDescent="0.25">
      <c r="G171" s="4"/>
      <c r="K171" s="4"/>
      <c r="L171" s="4"/>
      <c r="M171" s="4"/>
      <c r="N171" s="4"/>
      <c r="O171" s="4"/>
      <c r="P171" s="4"/>
    </row>
    <row r="172" spans="7:16" x14ac:dyDescent="0.25">
      <c r="G172" s="4"/>
      <c r="K172" s="4"/>
      <c r="L172" s="4"/>
      <c r="M172" s="4"/>
      <c r="N172" s="4"/>
      <c r="O172" s="4"/>
      <c r="P172" s="4"/>
    </row>
    <row r="173" spans="7:16" x14ac:dyDescent="0.25">
      <c r="G173" s="4"/>
      <c r="K173" s="4"/>
      <c r="L173" s="4"/>
      <c r="M173" s="4"/>
      <c r="N173" s="4"/>
      <c r="O173" s="4"/>
      <c r="P173" s="4"/>
    </row>
    <row r="174" spans="7:16" x14ac:dyDescent="0.25">
      <c r="G174" s="4"/>
      <c r="K174" s="4"/>
      <c r="L174" s="4"/>
      <c r="M174" s="4"/>
      <c r="N174" s="4"/>
      <c r="O174" s="4"/>
      <c r="P174" s="4"/>
    </row>
    <row r="175" spans="7:16" x14ac:dyDescent="0.25">
      <c r="G175" s="4"/>
      <c r="K175" s="4"/>
      <c r="L175" s="4"/>
      <c r="M175" s="4"/>
      <c r="N175" s="4"/>
      <c r="O175" s="4"/>
      <c r="P175" s="4"/>
    </row>
    <row r="176" spans="7:16" x14ac:dyDescent="0.25">
      <c r="G176" s="4"/>
      <c r="K176" s="4"/>
      <c r="L176" s="4"/>
      <c r="M176" s="4"/>
      <c r="N176" s="4"/>
      <c r="O176" s="4"/>
      <c r="P176" s="4"/>
    </row>
    <row r="177" spans="7:16" x14ac:dyDescent="0.25">
      <c r="G177" s="4"/>
      <c r="K177" s="4"/>
      <c r="L177" s="4"/>
      <c r="M177" s="4"/>
      <c r="N177" s="4"/>
      <c r="O177" s="4"/>
      <c r="P177" s="4"/>
    </row>
    <row r="178" spans="7:16" x14ac:dyDescent="0.25">
      <c r="G178" s="4"/>
      <c r="K178" s="4"/>
      <c r="L178" s="4"/>
      <c r="M178" s="4"/>
      <c r="N178" s="4"/>
      <c r="O178" s="4"/>
      <c r="P178" s="4"/>
    </row>
    <row r="179" spans="7:16" x14ac:dyDescent="0.25">
      <c r="G179" s="4"/>
      <c r="K179" s="4"/>
      <c r="L179" s="4"/>
      <c r="M179" s="4"/>
      <c r="N179" s="4"/>
      <c r="O179" s="4"/>
      <c r="P179" s="4"/>
    </row>
    <row r="180" spans="7:16" x14ac:dyDescent="0.25">
      <c r="G180" s="4"/>
      <c r="K180" s="4"/>
      <c r="L180" s="4"/>
      <c r="M180" s="4"/>
      <c r="N180" s="4"/>
      <c r="O180" s="4"/>
      <c r="P180" s="4"/>
    </row>
    <row r="181" spans="7:16" x14ac:dyDescent="0.25">
      <c r="G181" s="4"/>
      <c r="K181" s="4"/>
      <c r="L181" s="4"/>
      <c r="M181" s="4"/>
      <c r="N181" s="4"/>
      <c r="O181" s="4"/>
      <c r="P181" s="4"/>
    </row>
    <row r="182" spans="7:16" x14ac:dyDescent="0.25">
      <c r="G182" s="4"/>
      <c r="K182" s="4"/>
      <c r="L182" s="4"/>
      <c r="M182" s="4"/>
      <c r="N182" s="4"/>
      <c r="O182" s="4"/>
      <c r="P182" s="4"/>
    </row>
    <row r="183" spans="7:16" x14ac:dyDescent="0.25">
      <c r="G183" s="4"/>
      <c r="K183" s="4"/>
      <c r="L183" s="4"/>
      <c r="M183" s="4"/>
      <c r="N183" s="4"/>
      <c r="O183" s="4"/>
      <c r="P183" s="4"/>
    </row>
    <row r="184" spans="7:16" x14ac:dyDescent="0.25">
      <c r="G184" s="4"/>
      <c r="K184" s="4"/>
      <c r="L184" s="4"/>
      <c r="M184" s="4"/>
      <c r="N184" s="4"/>
      <c r="O184" s="4"/>
      <c r="P184" s="4"/>
    </row>
    <row r="185" spans="7:16" x14ac:dyDescent="0.25">
      <c r="G185" s="4"/>
      <c r="K185" s="4"/>
      <c r="L185" s="4"/>
      <c r="M185" s="4"/>
      <c r="N185" s="4"/>
      <c r="O185" s="4"/>
      <c r="P185" s="4"/>
    </row>
    <row r="186" spans="7:16" x14ac:dyDescent="0.25">
      <c r="G186" s="4"/>
      <c r="K186" s="4"/>
      <c r="L186" s="4"/>
      <c r="M186" s="4"/>
      <c r="N186" s="4"/>
      <c r="O186" s="4"/>
      <c r="P186" s="4"/>
    </row>
    <row r="187" spans="7:16" x14ac:dyDescent="0.25">
      <c r="G187" s="4"/>
      <c r="K187" s="4"/>
      <c r="L187" s="4"/>
      <c r="M187" s="4"/>
      <c r="N187" s="4"/>
      <c r="O187" s="4"/>
      <c r="P187" s="4"/>
    </row>
    <row r="188" spans="7:16" x14ac:dyDescent="0.25">
      <c r="G188" s="4"/>
      <c r="K188" s="4"/>
      <c r="L188" s="4"/>
      <c r="M188" s="4"/>
      <c r="N188" s="4"/>
      <c r="O188" s="4"/>
      <c r="P188" s="4"/>
    </row>
    <row r="189" spans="7:16" x14ac:dyDescent="0.25">
      <c r="G189" s="4"/>
      <c r="K189" s="4"/>
      <c r="L189" s="4"/>
      <c r="M189" s="4"/>
      <c r="N189" s="4"/>
      <c r="O189" s="4"/>
      <c r="P189" s="4"/>
    </row>
    <row r="190" spans="7:16" x14ac:dyDescent="0.25">
      <c r="G190" s="4"/>
      <c r="K190" s="4"/>
      <c r="L190" s="4"/>
      <c r="M190" s="4"/>
      <c r="N190" s="4"/>
      <c r="O190" s="4"/>
      <c r="P190" s="4"/>
    </row>
    <row r="191" spans="7:16" x14ac:dyDescent="0.25">
      <c r="G191" s="4"/>
      <c r="K191" s="4"/>
      <c r="L191" s="4"/>
      <c r="M191" s="4"/>
      <c r="N191" s="4"/>
      <c r="O191" s="4"/>
      <c r="P191" s="4"/>
    </row>
    <row r="192" spans="7:16" x14ac:dyDescent="0.25">
      <c r="G192" s="4"/>
      <c r="K192" s="4"/>
      <c r="L192" s="4"/>
      <c r="M192" s="4"/>
      <c r="N192" s="4"/>
      <c r="O192" s="4"/>
      <c r="P192" s="4"/>
    </row>
    <row r="193" spans="7:16" x14ac:dyDescent="0.25">
      <c r="G193" s="4"/>
      <c r="K193" s="4"/>
      <c r="L193" s="4"/>
      <c r="M193" s="4"/>
      <c r="N193" s="4"/>
      <c r="O193" s="4"/>
      <c r="P193" s="4"/>
    </row>
    <row r="194" spans="7:16" x14ac:dyDescent="0.25">
      <c r="G194" s="4"/>
      <c r="K194" s="4"/>
      <c r="L194" s="4"/>
      <c r="M194" s="4"/>
      <c r="N194" s="4"/>
      <c r="O194" s="4"/>
      <c r="P194" s="4"/>
    </row>
    <row r="195" spans="7:16" x14ac:dyDescent="0.25">
      <c r="G195" s="4"/>
      <c r="K195" s="4"/>
      <c r="L195" s="4"/>
      <c r="M195" s="4"/>
      <c r="N195" s="4"/>
      <c r="O195" s="4"/>
      <c r="P195" s="4"/>
    </row>
    <row r="196" spans="7:16" x14ac:dyDescent="0.25">
      <c r="G196" s="4"/>
      <c r="K196" s="4"/>
      <c r="L196" s="4"/>
      <c r="M196" s="4"/>
      <c r="N196" s="4"/>
      <c r="O196" s="4"/>
      <c r="P196" s="4"/>
    </row>
    <row r="197" spans="7:16" x14ac:dyDescent="0.25">
      <c r="G197" s="4"/>
      <c r="K197" s="4"/>
      <c r="L197" s="4"/>
      <c r="M197" s="4"/>
      <c r="N197" s="4"/>
      <c r="O197" s="4"/>
      <c r="P197" s="4"/>
    </row>
    <row r="198" spans="7:16" x14ac:dyDescent="0.25">
      <c r="G198" s="4"/>
      <c r="K198" s="4"/>
      <c r="L198" s="4"/>
      <c r="M198" s="4"/>
      <c r="N198" s="4"/>
      <c r="O198" s="4"/>
      <c r="P198" s="4"/>
    </row>
    <row r="199" spans="7:16" x14ac:dyDescent="0.25">
      <c r="G199" s="4"/>
      <c r="K199" s="4"/>
      <c r="L199" s="4"/>
      <c r="M199" s="4"/>
      <c r="N199" s="4"/>
      <c r="O199" s="4"/>
      <c r="P199" s="4"/>
    </row>
    <row r="200" spans="7:16" x14ac:dyDescent="0.25">
      <c r="G200" s="4"/>
      <c r="K200" s="4"/>
      <c r="L200" s="4"/>
      <c r="M200" s="4"/>
      <c r="N200" s="4"/>
      <c r="O200" s="4"/>
      <c r="P200" s="4"/>
    </row>
    <row r="201" spans="7:16" x14ac:dyDescent="0.25">
      <c r="G201" s="4"/>
      <c r="K201" s="4"/>
      <c r="L201" s="4"/>
      <c r="M201" s="4"/>
      <c r="N201" s="4"/>
      <c r="O201" s="4"/>
      <c r="P201" s="4"/>
    </row>
    <row r="202" spans="7:16" x14ac:dyDescent="0.25">
      <c r="G202" s="4"/>
      <c r="K202" s="4"/>
      <c r="L202" s="4"/>
      <c r="M202" s="4"/>
      <c r="N202" s="4"/>
      <c r="O202" s="4"/>
      <c r="P202" s="4"/>
    </row>
    <row r="203" spans="7:16" x14ac:dyDescent="0.25">
      <c r="G203" s="4"/>
      <c r="K203" s="4"/>
      <c r="L203" s="4"/>
      <c r="M203" s="4"/>
      <c r="N203" s="4"/>
      <c r="O203" s="4"/>
      <c r="P203" s="4"/>
    </row>
    <row r="204" spans="7:16" x14ac:dyDescent="0.25">
      <c r="G204" s="4"/>
      <c r="K204" s="4"/>
      <c r="L204" s="4"/>
      <c r="M204" s="4"/>
      <c r="N204" s="4"/>
      <c r="O204" s="4"/>
      <c r="P204" s="4"/>
    </row>
    <row r="205" spans="7:16" x14ac:dyDescent="0.25">
      <c r="G205" s="4"/>
      <c r="K205" s="4"/>
      <c r="L205" s="4"/>
      <c r="M205" s="4"/>
      <c r="N205" s="4"/>
      <c r="O205" s="4"/>
      <c r="P205" s="4"/>
    </row>
    <row r="206" spans="7:16" x14ac:dyDescent="0.25">
      <c r="G206" s="4"/>
      <c r="K206" s="4"/>
      <c r="L206" s="4"/>
      <c r="M206" s="4"/>
      <c r="N206" s="4"/>
      <c r="O206" s="4"/>
      <c r="P206" s="4"/>
    </row>
    <row r="207" spans="7:16" x14ac:dyDescent="0.25">
      <c r="G207" s="4"/>
      <c r="K207" s="4"/>
      <c r="L207" s="4"/>
      <c r="M207" s="4"/>
      <c r="N207" s="4"/>
      <c r="O207" s="4"/>
      <c r="P207" s="4"/>
    </row>
    <row r="208" spans="7:16" x14ac:dyDescent="0.25">
      <c r="G208" s="4"/>
      <c r="K208" s="4"/>
      <c r="L208" s="4"/>
      <c r="M208" s="4"/>
      <c r="N208" s="4"/>
      <c r="O208" s="4"/>
      <c r="P208" s="4"/>
    </row>
    <row r="209" spans="7:16" x14ac:dyDescent="0.25">
      <c r="G209" s="4"/>
      <c r="K209" s="4"/>
      <c r="L209" s="4"/>
      <c r="M209" s="4"/>
      <c r="N209" s="4"/>
      <c r="O209" s="4"/>
      <c r="P209" s="4"/>
    </row>
    <row r="210" spans="7:16" x14ac:dyDescent="0.25">
      <c r="G210" s="4"/>
      <c r="K210" s="4"/>
      <c r="L210" s="4"/>
      <c r="M210" s="4"/>
      <c r="N210" s="4"/>
      <c r="O210" s="4"/>
      <c r="P210" s="4"/>
    </row>
    <row r="211" spans="7:16" x14ac:dyDescent="0.25">
      <c r="G211" s="4"/>
      <c r="K211" s="4"/>
      <c r="L211" s="4"/>
      <c r="M211" s="4"/>
      <c r="N211" s="4"/>
      <c r="O211" s="4"/>
      <c r="P211" s="4"/>
    </row>
    <row r="212" spans="7:16" x14ac:dyDescent="0.25">
      <c r="G212" s="4"/>
      <c r="K212" s="4"/>
      <c r="L212" s="4"/>
      <c r="M212" s="4"/>
      <c r="N212" s="4"/>
      <c r="O212" s="4"/>
      <c r="P212" s="4"/>
    </row>
    <row r="213" spans="7:16" x14ac:dyDescent="0.25">
      <c r="G213" s="4"/>
      <c r="K213" s="4"/>
      <c r="L213" s="4"/>
      <c r="M213" s="4"/>
      <c r="N213" s="4"/>
      <c r="O213" s="4"/>
      <c r="P213" s="4"/>
    </row>
    <row r="214" spans="7:16" x14ac:dyDescent="0.25">
      <c r="G214" s="4"/>
      <c r="K214" s="4"/>
      <c r="L214" s="4"/>
      <c r="M214" s="4"/>
      <c r="N214" s="4"/>
      <c r="O214" s="4"/>
      <c r="P214" s="4"/>
    </row>
    <row r="215" spans="7:16" x14ac:dyDescent="0.25">
      <c r="G215" s="4"/>
      <c r="K215" s="4"/>
      <c r="L215" s="4"/>
      <c r="M215" s="4"/>
      <c r="N215" s="4"/>
      <c r="O215" s="4"/>
      <c r="P215" s="4"/>
    </row>
    <row r="216" spans="7:16" x14ac:dyDescent="0.25">
      <c r="G216" s="4"/>
      <c r="K216" s="4"/>
      <c r="L216" s="4"/>
      <c r="M216" s="4"/>
      <c r="N216" s="4"/>
      <c r="O216" s="4"/>
      <c r="P216" s="4"/>
    </row>
    <row r="217" spans="7:16" x14ac:dyDescent="0.25">
      <c r="G217" s="4"/>
      <c r="K217" s="4"/>
      <c r="L217" s="4"/>
      <c r="M217" s="4"/>
      <c r="N217" s="4"/>
      <c r="O217" s="4"/>
      <c r="P217" s="4"/>
    </row>
    <row r="218" spans="7:16" x14ac:dyDescent="0.25">
      <c r="G218" s="4"/>
      <c r="K218" s="4"/>
      <c r="L218" s="4"/>
      <c r="M218" s="4"/>
      <c r="N218" s="4"/>
      <c r="O218" s="4"/>
      <c r="P218" s="4"/>
    </row>
    <row r="219" spans="7:16" x14ac:dyDescent="0.25">
      <c r="G219" s="4"/>
      <c r="K219" s="4"/>
      <c r="L219" s="4"/>
      <c r="M219" s="4"/>
      <c r="N219" s="4"/>
      <c r="O219" s="4"/>
      <c r="P219" s="4"/>
    </row>
    <row r="220" spans="7:16" x14ac:dyDescent="0.25">
      <c r="G220" s="4"/>
      <c r="K220" s="4"/>
      <c r="L220" s="4"/>
      <c r="M220" s="4"/>
      <c r="N220" s="4"/>
      <c r="O220" s="4"/>
      <c r="P220" s="4"/>
    </row>
    <row r="221" spans="7:16" x14ac:dyDescent="0.25">
      <c r="G221" s="4"/>
      <c r="K221" s="4"/>
      <c r="L221" s="4"/>
      <c r="M221" s="4"/>
      <c r="N221" s="4"/>
      <c r="O221" s="4"/>
      <c r="P221" s="4"/>
    </row>
    <row r="222" spans="7:16" x14ac:dyDescent="0.25">
      <c r="G222" s="4"/>
      <c r="K222" s="4"/>
      <c r="L222" s="4"/>
      <c r="M222" s="4"/>
      <c r="N222" s="4"/>
      <c r="O222" s="4"/>
      <c r="P222" s="4"/>
    </row>
    <row r="223" spans="7:16" x14ac:dyDescent="0.25">
      <c r="G223" s="4"/>
      <c r="K223" s="4"/>
      <c r="L223" s="4"/>
      <c r="M223" s="4"/>
      <c r="N223" s="4"/>
      <c r="O223" s="4"/>
      <c r="P223" s="4"/>
    </row>
    <row r="224" spans="7:16" x14ac:dyDescent="0.25">
      <c r="G224" s="4"/>
      <c r="K224" s="4"/>
      <c r="L224" s="4"/>
      <c r="M224" s="4"/>
      <c r="N224" s="4"/>
      <c r="O224" s="4"/>
      <c r="P224" s="4"/>
    </row>
    <row r="225" spans="7:16" x14ac:dyDescent="0.25">
      <c r="G225" s="4"/>
      <c r="K225" s="4"/>
      <c r="L225" s="4"/>
      <c r="M225" s="4"/>
      <c r="N225" s="4"/>
      <c r="O225" s="4"/>
      <c r="P225" s="4"/>
    </row>
    <row r="226" spans="7:16" x14ac:dyDescent="0.25">
      <c r="G226" s="4"/>
      <c r="K226" s="4"/>
      <c r="L226" s="4"/>
      <c r="M226" s="4"/>
      <c r="N226" s="4"/>
      <c r="O226" s="4"/>
      <c r="P226" s="4"/>
    </row>
    <row r="227" spans="7:16" x14ac:dyDescent="0.25">
      <c r="G227" s="4"/>
      <c r="K227" s="4"/>
      <c r="L227" s="4"/>
      <c r="M227" s="4"/>
      <c r="N227" s="4"/>
      <c r="O227" s="4"/>
      <c r="P227" s="4"/>
    </row>
    <row r="228" spans="7:16" x14ac:dyDescent="0.25">
      <c r="G228" s="4"/>
      <c r="K228" s="4"/>
      <c r="L228" s="4"/>
      <c r="M228" s="4"/>
      <c r="N228" s="4"/>
      <c r="O228" s="4"/>
      <c r="P228" s="4"/>
    </row>
    <row r="229" spans="7:16" x14ac:dyDescent="0.25">
      <c r="G229" s="4"/>
      <c r="K229" s="4"/>
      <c r="L229" s="4"/>
      <c r="M229" s="4"/>
      <c r="N229" s="4"/>
      <c r="O229" s="4"/>
      <c r="P229" s="4"/>
    </row>
    <row r="230" spans="7:16" x14ac:dyDescent="0.25">
      <c r="G230" s="4"/>
      <c r="K230" s="4"/>
      <c r="L230" s="4"/>
      <c r="M230" s="4"/>
      <c r="N230" s="4"/>
      <c r="O230" s="4"/>
      <c r="P230" s="4"/>
    </row>
    <row r="231" spans="7:16" x14ac:dyDescent="0.25">
      <c r="G231" s="4"/>
      <c r="K231" s="4"/>
      <c r="L231" s="4"/>
      <c r="M231" s="4"/>
      <c r="N231" s="4"/>
      <c r="O231" s="4"/>
      <c r="P231" s="4"/>
    </row>
    <row r="232" spans="7:16" x14ac:dyDescent="0.25">
      <c r="G232" s="4"/>
      <c r="K232" s="4"/>
      <c r="L232" s="4"/>
      <c r="M232" s="4"/>
      <c r="N232" s="4"/>
      <c r="O232" s="4"/>
      <c r="P232" s="4"/>
    </row>
    <row r="233" spans="7:16" x14ac:dyDescent="0.25">
      <c r="G233" s="4"/>
      <c r="K233" s="4"/>
      <c r="L233" s="4"/>
      <c r="M233" s="4"/>
      <c r="N233" s="4"/>
      <c r="O233" s="4"/>
      <c r="P233" s="4"/>
    </row>
    <row r="234" spans="7:16" x14ac:dyDescent="0.25">
      <c r="G234" s="4"/>
      <c r="K234" s="4"/>
      <c r="L234" s="4"/>
      <c r="M234" s="4"/>
      <c r="N234" s="4"/>
      <c r="O234" s="4"/>
      <c r="P234" s="4"/>
    </row>
    <row r="235" spans="7:16" x14ac:dyDescent="0.25">
      <c r="G235" s="4"/>
      <c r="K235" s="4"/>
      <c r="L235" s="4"/>
      <c r="M235" s="4"/>
      <c r="N235" s="4"/>
      <c r="O235" s="4"/>
      <c r="P235" s="4"/>
    </row>
    <row r="236" spans="7:16" x14ac:dyDescent="0.25">
      <c r="G236" s="4"/>
      <c r="K236" s="4"/>
      <c r="L236" s="4"/>
      <c r="M236" s="4"/>
      <c r="N236" s="4"/>
      <c r="O236" s="4"/>
      <c r="P236" s="4"/>
    </row>
    <row r="237" spans="7:16" x14ac:dyDescent="0.25">
      <c r="G237" s="4"/>
      <c r="K237" s="4"/>
      <c r="L237" s="4"/>
      <c r="M237" s="4"/>
      <c r="N237" s="4"/>
      <c r="O237" s="4"/>
      <c r="P237" s="4"/>
    </row>
    <row r="238" spans="7:16" x14ac:dyDescent="0.25">
      <c r="G238" s="4"/>
      <c r="K238" s="4"/>
      <c r="L238" s="4"/>
      <c r="M238" s="4"/>
      <c r="N238" s="4"/>
      <c r="O238" s="4"/>
      <c r="P238" s="4"/>
    </row>
    <row r="239" spans="7:16" x14ac:dyDescent="0.25">
      <c r="G239" s="4"/>
      <c r="K239" s="4"/>
      <c r="L239" s="4"/>
      <c r="M239" s="4"/>
      <c r="N239" s="4"/>
      <c r="O239" s="4"/>
      <c r="P239" s="4"/>
    </row>
    <row r="240" spans="7:16" x14ac:dyDescent="0.25">
      <c r="G240" s="4"/>
      <c r="K240" s="4"/>
      <c r="L240" s="4"/>
      <c r="M240" s="4"/>
      <c r="N240" s="4"/>
      <c r="O240" s="4"/>
      <c r="P240" s="4"/>
    </row>
    <row r="241" spans="7:16" x14ac:dyDescent="0.25">
      <c r="G241" s="4"/>
      <c r="K241" s="4"/>
      <c r="L241" s="4"/>
      <c r="M241" s="4"/>
      <c r="N241" s="4"/>
      <c r="O241" s="4"/>
      <c r="P241" s="4"/>
    </row>
    <row r="242" spans="7:16" x14ac:dyDescent="0.25">
      <c r="G242" s="4"/>
      <c r="K242" s="4"/>
      <c r="L242" s="4"/>
      <c r="M242" s="4"/>
      <c r="N242" s="4"/>
      <c r="O242" s="4"/>
      <c r="P242" s="4"/>
    </row>
    <row r="243" spans="7:16" x14ac:dyDescent="0.25">
      <c r="G243" s="4"/>
      <c r="K243" s="4"/>
      <c r="L243" s="4"/>
      <c r="M243" s="4"/>
      <c r="N243" s="4"/>
      <c r="O243" s="4"/>
      <c r="P243" s="4"/>
    </row>
    <row r="244" spans="7:16" x14ac:dyDescent="0.25">
      <c r="G244" s="4"/>
      <c r="K244" s="4"/>
      <c r="L244" s="4"/>
      <c r="M244" s="4"/>
      <c r="N244" s="4"/>
      <c r="O244" s="4"/>
      <c r="P244" s="4"/>
    </row>
    <row r="245" spans="7:16" x14ac:dyDescent="0.25">
      <c r="G245" s="4"/>
      <c r="K245" s="4"/>
      <c r="L245" s="4"/>
      <c r="M245" s="4"/>
      <c r="N245" s="4"/>
      <c r="O245" s="4"/>
      <c r="P245" s="4"/>
    </row>
    <row r="246" spans="7:16" x14ac:dyDescent="0.25">
      <c r="G246" s="4"/>
      <c r="K246" s="4"/>
      <c r="L246" s="4"/>
      <c r="M246" s="4"/>
      <c r="N246" s="4"/>
      <c r="O246" s="4"/>
      <c r="P246" s="4"/>
    </row>
    <row r="247" spans="7:16" x14ac:dyDescent="0.25">
      <c r="G247" s="4"/>
      <c r="K247" s="4"/>
      <c r="L247" s="4"/>
      <c r="M247" s="4"/>
      <c r="N247" s="4"/>
      <c r="O247" s="4"/>
      <c r="P247" s="4"/>
    </row>
    <row r="248" spans="7:16" x14ac:dyDescent="0.25">
      <c r="G248" s="4"/>
      <c r="K248" s="4"/>
      <c r="L248" s="4"/>
      <c r="M248" s="4"/>
      <c r="N248" s="4"/>
      <c r="O248" s="4"/>
      <c r="P248" s="4"/>
    </row>
    <row r="249" spans="7:16" x14ac:dyDescent="0.25">
      <c r="G249" s="4"/>
      <c r="K249" s="4"/>
      <c r="L249" s="4"/>
      <c r="M249" s="4"/>
      <c r="N249" s="4"/>
      <c r="O249" s="4"/>
      <c r="P249" s="4"/>
    </row>
    <row r="250" spans="7:16" x14ac:dyDescent="0.25">
      <c r="G250" s="4"/>
      <c r="K250" s="4"/>
      <c r="L250" s="4"/>
      <c r="M250" s="4"/>
      <c r="N250" s="4"/>
      <c r="O250" s="4"/>
      <c r="P250" s="4"/>
    </row>
    <row r="251" spans="7:16" x14ac:dyDescent="0.25">
      <c r="G251" s="4"/>
      <c r="K251" s="4"/>
      <c r="L251" s="4"/>
      <c r="M251" s="4"/>
      <c r="N251" s="4"/>
      <c r="O251" s="4"/>
      <c r="P251" s="4"/>
    </row>
    <row r="252" spans="7:16" x14ac:dyDescent="0.25">
      <c r="G252" s="4"/>
      <c r="K252" s="4"/>
      <c r="L252" s="4"/>
      <c r="M252" s="4"/>
      <c r="N252" s="4"/>
      <c r="O252" s="4"/>
      <c r="P252" s="4"/>
    </row>
    <row r="253" spans="7:16" x14ac:dyDescent="0.25">
      <c r="G253" s="4"/>
      <c r="K253" s="4"/>
      <c r="L253" s="4"/>
      <c r="M253" s="4"/>
      <c r="N253" s="4"/>
      <c r="O253" s="4"/>
      <c r="P253" s="4"/>
    </row>
    <row r="254" spans="7:16" x14ac:dyDescent="0.25">
      <c r="G254" s="4"/>
      <c r="K254" s="4"/>
      <c r="L254" s="4"/>
      <c r="M254" s="4"/>
      <c r="N254" s="4"/>
      <c r="O254" s="4"/>
      <c r="P254" s="4"/>
    </row>
    <row r="255" spans="7:16" x14ac:dyDescent="0.25">
      <c r="G255" s="4"/>
      <c r="K255" s="4"/>
      <c r="L255" s="4"/>
      <c r="M255" s="4"/>
      <c r="N255" s="4"/>
      <c r="O255" s="4"/>
      <c r="P255" s="4"/>
    </row>
    <row r="256" spans="7:16" x14ac:dyDescent="0.25">
      <c r="G256" s="4"/>
      <c r="K256" s="4"/>
      <c r="L256" s="4"/>
      <c r="M256" s="4"/>
      <c r="N256" s="4"/>
      <c r="O256" s="4"/>
      <c r="P256" s="4"/>
    </row>
    <row r="257" spans="7:16" x14ac:dyDescent="0.25">
      <c r="G257" s="4"/>
      <c r="K257" s="4"/>
      <c r="L257" s="4"/>
      <c r="M257" s="4"/>
      <c r="N257" s="4"/>
      <c r="O257" s="4"/>
      <c r="P257" s="4"/>
    </row>
    <row r="258" spans="7:16" x14ac:dyDescent="0.25">
      <c r="G258" s="4"/>
      <c r="K258" s="4"/>
      <c r="L258" s="4"/>
      <c r="M258" s="4"/>
      <c r="N258" s="4"/>
      <c r="O258" s="4"/>
      <c r="P258" s="4"/>
    </row>
    <row r="259" spans="7:16" x14ac:dyDescent="0.25">
      <c r="G259" s="4"/>
      <c r="K259" s="4"/>
      <c r="L259" s="4"/>
      <c r="M259" s="4"/>
      <c r="N259" s="4"/>
      <c r="O259" s="4"/>
      <c r="P259" s="4"/>
    </row>
    <row r="260" spans="7:16" x14ac:dyDescent="0.25">
      <c r="G260" s="4"/>
      <c r="K260" s="4"/>
      <c r="L260" s="4"/>
      <c r="M260" s="4"/>
      <c r="N260" s="4"/>
      <c r="O260" s="4"/>
      <c r="P260" s="4"/>
    </row>
    <row r="261" spans="7:16" x14ac:dyDescent="0.25">
      <c r="G261" s="4"/>
      <c r="K261" s="4"/>
      <c r="L261" s="4"/>
      <c r="M261" s="4"/>
      <c r="N261" s="4"/>
      <c r="O261" s="4"/>
      <c r="P261" s="4"/>
    </row>
    <row r="262" spans="7:16" x14ac:dyDescent="0.25">
      <c r="G262" s="4"/>
      <c r="K262" s="4"/>
      <c r="L262" s="4"/>
      <c r="M262" s="4"/>
      <c r="N262" s="4"/>
      <c r="O262" s="4"/>
      <c r="P262" s="4"/>
    </row>
    <row r="263" spans="7:16" x14ac:dyDescent="0.25">
      <c r="G263" s="4"/>
      <c r="K263" s="4"/>
      <c r="L263" s="4"/>
      <c r="M263" s="4"/>
      <c r="N263" s="4"/>
      <c r="O263" s="4"/>
      <c r="P263" s="4"/>
    </row>
    <row r="264" spans="7:16" x14ac:dyDescent="0.25">
      <c r="G264" s="4"/>
      <c r="K264" s="4"/>
      <c r="L264" s="4"/>
      <c r="M264" s="4"/>
      <c r="N264" s="4"/>
      <c r="O264" s="4"/>
      <c r="P264" s="4"/>
    </row>
    <row r="265" spans="7:16" x14ac:dyDescent="0.25">
      <c r="G265" s="4"/>
      <c r="K265" s="4"/>
      <c r="L265" s="4"/>
      <c r="M265" s="4"/>
      <c r="N265" s="4"/>
      <c r="O265" s="4"/>
      <c r="P265" s="4"/>
    </row>
    <row r="266" spans="7:16" x14ac:dyDescent="0.25">
      <c r="G266" s="4"/>
      <c r="K266" s="4"/>
      <c r="L266" s="4"/>
      <c r="M266" s="4"/>
      <c r="N266" s="4"/>
      <c r="O266" s="4"/>
      <c r="P266" s="4"/>
    </row>
    <row r="267" spans="7:16" x14ac:dyDescent="0.25">
      <c r="G267" s="4"/>
      <c r="K267" s="4"/>
      <c r="L267" s="4"/>
      <c r="M267" s="4"/>
      <c r="N267" s="4"/>
      <c r="O267" s="4"/>
      <c r="P267" s="4"/>
    </row>
    <row r="268" spans="7:16" x14ac:dyDescent="0.25">
      <c r="G268" s="4"/>
      <c r="K268" s="4"/>
      <c r="L268" s="4"/>
      <c r="M268" s="4"/>
      <c r="N268" s="4"/>
      <c r="O268" s="4"/>
      <c r="P268" s="4"/>
    </row>
    <row r="269" spans="7:16" x14ac:dyDescent="0.25">
      <c r="G269" s="4"/>
      <c r="K269" s="4"/>
      <c r="L269" s="4"/>
      <c r="M269" s="4"/>
      <c r="N269" s="4"/>
      <c r="O269" s="4"/>
      <c r="P269" s="4"/>
    </row>
    <row r="270" spans="7:16" x14ac:dyDescent="0.25">
      <c r="G270" s="4"/>
      <c r="K270" s="4"/>
      <c r="L270" s="4"/>
      <c r="M270" s="4"/>
      <c r="N270" s="4"/>
      <c r="O270" s="4"/>
      <c r="P270" s="4"/>
    </row>
    <row r="271" spans="7:16" x14ac:dyDescent="0.25">
      <c r="G271" s="4"/>
      <c r="K271" s="4"/>
      <c r="L271" s="4"/>
      <c r="M271" s="4"/>
      <c r="N271" s="4"/>
      <c r="O271" s="4"/>
      <c r="P271" s="4"/>
    </row>
    <row r="272" spans="7:16" x14ac:dyDescent="0.25">
      <c r="G272" s="4"/>
      <c r="K272" s="4"/>
      <c r="L272" s="4"/>
      <c r="M272" s="4"/>
      <c r="N272" s="4"/>
      <c r="O272" s="4"/>
      <c r="P272" s="4"/>
    </row>
    <row r="273" spans="7:16" x14ac:dyDescent="0.25">
      <c r="G273" s="4"/>
      <c r="K273" s="4"/>
      <c r="L273" s="4"/>
      <c r="M273" s="4"/>
      <c r="N273" s="4"/>
      <c r="O273" s="4"/>
      <c r="P273" s="4"/>
    </row>
    <row r="274" spans="7:16" x14ac:dyDescent="0.25">
      <c r="G274" s="4"/>
      <c r="K274" s="4"/>
      <c r="L274" s="4"/>
      <c r="M274" s="4"/>
      <c r="N274" s="4"/>
      <c r="O274" s="4"/>
      <c r="P274" s="4"/>
    </row>
    <row r="275" spans="7:16" x14ac:dyDescent="0.25">
      <c r="G275" s="4"/>
      <c r="K275" s="4"/>
      <c r="L275" s="4"/>
      <c r="M275" s="4"/>
      <c r="N275" s="4"/>
      <c r="O275" s="4"/>
      <c r="P275" s="4"/>
    </row>
    <row r="276" spans="7:16" x14ac:dyDescent="0.25">
      <c r="G276" s="4"/>
      <c r="K276" s="4"/>
      <c r="L276" s="4"/>
      <c r="M276" s="4"/>
      <c r="N276" s="4"/>
      <c r="O276" s="4"/>
      <c r="P276" s="4"/>
    </row>
    <row r="277" spans="7:16" x14ac:dyDescent="0.25">
      <c r="G277" s="4"/>
      <c r="K277" s="4"/>
      <c r="L277" s="4"/>
      <c r="M277" s="4"/>
      <c r="N277" s="4"/>
      <c r="O277" s="4"/>
      <c r="P277" s="4"/>
    </row>
    <row r="278" spans="7:16" x14ac:dyDescent="0.25">
      <c r="G278" s="4"/>
      <c r="K278" s="4"/>
      <c r="L278" s="4"/>
      <c r="M278" s="4"/>
      <c r="N278" s="4"/>
      <c r="O278" s="4"/>
      <c r="P278" s="4"/>
    </row>
    <row r="279" spans="7:16" x14ac:dyDescent="0.25">
      <c r="G279" s="4"/>
      <c r="K279" s="4"/>
      <c r="L279" s="4"/>
      <c r="M279" s="4"/>
      <c r="N279" s="4"/>
      <c r="O279" s="4"/>
      <c r="P279" s="4"/>
    </row>
    <row r="280" spans="7:16" x14ac:dyDescent="0.25">
      <c r="G280" s="4"/>
      <c r="K280" s="4"/>
      <c r="L280" s="4"/>
      <c r="M280" s="4"/>
      <c r="N280" s="4"/>
      <c r="O280" s="4"/>
      <c r="P280" s="4"/>
    </row>
    <row r="281" spans="7:16" x14ac:dyDescent="0.25">
      <c r="G281" s="4"/>
      <c r="K281" s="4"/>
      <c r="L281" s="4"/>
      <c r="M281" s="4"/>
      <c r="N281" s="4"/>
      <c r="O281" s="4"/>
      <c r="P281" s="4"/>
    </row>
    <row r="282" spans="7:16" x14ac:dyDescent="0.25">
      <c r="G282" s="4"/>
      <c r="K282" s="4"/>
      <c r="L282" s="4"/>
      <c r="M282" s="4"/>
      <c r="N282" s="4"/>
      <c r="O282" s="4"/>
      <c r="P282" s="4"/>
    </row>
    <row r="283" spans="7:16" x14ac:dyDescent="0.25">
      <c r="G283" s="4"/>
      <c r="K283" s="4"/>
      <c r="L283" s="4"/>
      <c r="M283" s="4"/>
      <c r="N283" s="4"/>
      <c r="O283" s="4"/>
      <c r="P283" s="4"/>
    </row>
    <row r="284" spans="7:16" x14ac:dyDescent="0.25">
      <c r="G284" s="4"/>
      <c r="K284" s="4"/>
      <c r="L284" s="4"/>
      <c r="M284" s="4"/>
      <c r="N284" s="4"/>
      <c r="O284" s="4"/>
      <c r="P284" s="4"/>
    </row>
    <row r="285" spans="7:16" x14ac:dyDescent="0.25">
      <c r="G285" s="4"/>
      <c r="K285" s="4"/>
      <c r="L285" s="4"/>
      <c r="M285" s="4"/>
      <c r="N285" s="4"/>
      <c r="O285" s="4"/>
      <c r="P285" s="4"/>
    </row>
    <row r="286" spans="7:16" x14ac:dyDescent="0.25">
      <c r="G286" s="4"/>
      <c r="K286" s="4"/>
      <c r="L286" s="4"/>
      <c r="M286" s="4"/>
      <c r="N286" s="4"/>
      <c r="O286" s="4"/>
      <c r="P286" s="4"/>
    </row>
    <row r="287" spans="7:16" x14ac:dyDescent="0.25">
      <c r="G287" s="4"/>
      <c r="K287" s="4"/>
      <c r="L287" s="4"/>
      <c r="M287" s="4"/>
      <c r="N287" s="4"/>
      <c r="O287" s="4"/>
      <c r="P287" s="4"/>
    </row>
    <row r="288" spans="7:16" x14ac:dyDescent="0.25">
      <c r="G288" s="4"/>
      <c r="K288" s="4"/>
      <c r="L288" s="4"/>
      <c r="M288" s="4"/>
      <c r="N288" s="4"/>
      <c r="O288" s="4"/>
      <c r="P288" s="4"/>
    </row>
    <row r="289" spans="7:16" x14ac:dyDescent="0.25">
      <c r="G289" s="4"/>
      <c r="K289" s="4"/>
      <c r="L289" s="4"/>
      <c r="M289" s="4"/>
      <c r="N289" s="4"/>
      <c r="O289" s="4"/>
      <c r="P289" s="4"/>
    </row>
    <row r="290" spans="7:16" x14ac:dyDescent="0.25">
      <c r="G290" s="4"/>
      <c r="K290" s="4"/>
      <c r="L290" s="4"/>
      <c r="M290" s="4"/>
      <c r="N290" s="4"/>
      <c r="O290" s="4"/>
      <c r="P290" s="4"/>
    </row>
    <row r="291" spans="7:16" x14ac:dyDescent="0.25">
      <c r="G291" s="4"/>
      <c r="K291" s="4"/>
      <c r="L291" s="4"/>
      <c r="M291" s="4"/>
      <c r="N291" s="4"/>
      <c r="O291" s="4"/>
      <c r="P291" s="4"/>
    </row>
    <row r="292" spans="7:16" x14ac:dyDescent="0.25">
      <c r="G292" s="4"/>
      <c r="K292" s="4"/>
      <c r="L292" s="4"/>
      <c r="M292" s="4"/>
      <c r="N292" s="4"/>
      <c r="O292" s="4"/>
      <c r="P292" s="4"/>
    </row>
    <row r="293" spans="7:16" x14ac:dyDescent="0.25">
      <c r="G293" s="4"/>
      <c r="K293" s="4"/>
      <c r="L293" s="4"/>
      <c r="M293" s="4"/>
      <c r="N293" s="4"/>
      <c r="O293" s="4"/>
      <c r="P293" s="4"/>
    </row>
    <row r="294" spans="7:16" x14ac:dyDescent="0.25">
      <c r="G294" s="4"/>
      <c r="K294" s="4"/>
      <c r="L294" s="4"/>
      <c r="M294" s="4"/>
      <c r="N294" s="4"/>
      <c r="O294" s="4"/>
      <c r="P294" s="4"/>
    </row>
    <row r="295" spans="7:16" x14ac:dyDescent="0.25">
      <c r="G295" s="4"/>
      <c r="K295" s="4"/>
      <c r="L295" s="4"/>
      <c r="M295" s="4"/>
      <c r="N295" s="4"/>
      <c r="O295" s="4"/>
      <c r="P295" s="4"/>
    </row>
    <row r="296" spans="7:16" x14ac:dyDescent="0.25">
      <c r="G296" s="4"/>
      <c r="K296" s="4"/>
      <c r="L296" s="4"/>
      <c r="M296" s="4"/>
      <c r="N296" s="4"/>
      <c r="O296" s="4"/>
      <c r="P296" s="4"/>
    </row>
    <row r="297" spans="7:16" x14ac:dyDescent="0.25">
      <c r="G297" s="4"/>
      <c r="K297" s="4"/>
      <c r="L297" s="4"/>
      <c r="M297" s="4"/>
      <c r="N297" s="4"/>
      <c r="O297" s="4"/>
      <c r="P297" s="4"/>
    </row>
    <row r="298" spans="7:16" x14ac:dyDescent="0.25">
      <c r="G298" s="4"/>
      <c r="K298" s="4"/>
      <c r="L298" s="4"/>
      <c r="M298" s="4"/>
      <c r="N298" s="4"/>
      <c r="O298" s="4"/>
      <c r="P298" s="4"/>
    </row>
    <row r="299" spans="7:16" x14ac:dyDescent="0.25">
      <c r="G299" s="4"/>
      <c r="K299" s="4"/>
      <c r="L299" s="4"/>
      <c r="M299" s="4"/>
      <c r="N299" s="4"/>
      <c r="O299" s="4"/>
      <c r="P299" s="4"/>
    </row>
    <row r="300" spans="7:16" x14ac:dyDescent="0.25">
      <c r="G300" s="4"/>
      <c r="K300" s="4"/>
      <c r="L300" s="4"/>
      <c r="M300" s="4"/>
      <c r="N300" s="4"/>
      <c r="O300" s="4"/>
      <c r="P300" s="4"/>
    </row>
    <row r="301" spans="7:16" x14ac:dyDescent="0.25">
      <c r="G301" s="4"/>
      <c r="K301" s="4"/>
      <c r="L301" s="4"/>
      <c r="M301" s="4"/>
      <c r="N301" s="4"/>
      <c r="O301" s="4"/>
      <c r="P301" s="4"/>
    </row>
    <row r="302" spans="7:16" x14ac:dyDescent="0.25">
      <c r="G302" s="4"/>
      <c r="K302" s="4"/>
      <c r="L302" s="4"/>
      <c r="M302" s="4"/>
      <c r="N302" s="4"/>
      <c r="O302" s="4"/>
      <c r="P302" s="4"/>
    </row>
    <row r="303" spans="7:16" x14ac:dyDescent="0.25">
      <c r="G303" s="4"/>
      <c r="K303" s="4"/>
      <c r="L303" s="4"/>
      <c r="M303" s="4"/>
      <c r="N303" s="4"/>
      <c r="O303" s="4"/>
      <c r="P303" s="4"/>
    </row>
    <row r="304" spans="7:16" x14ac:dyDescent="0.25">
      <c r="G304" s="4"/>
      <c r="K304" s="4"/>
      <c r="L304" s="4"/>
      <c r="M304" s="4"/>
      <c r="N304" s="4"/>
      <c r="O304" s="4"/>
      <c r="P304" s="4"/>
    </row>
    <row r="305" spans="7:16" x14ac:dyDescent="0.25">
      <c r="G305" s="4"/>
      <c r="K305" s="4"/>
      <c r="L305" s="4"/>
      <c r="M305" s="4"/>
      <c r="N305" s="4"/>
      <c r="O305" s="4"/>
      <c r="P305" s="4"/>
    </row>
    <row r="306" spans="7:16" x14ac:dyDescent="0.25">
      <c r="G306" s="4"/>
      <c r="K306" s="4"/>
      <c r="L306" s="4"/>
      <c r="M306" s="4"/>
      <c r="N306" s="4"/>
      <c r="O306" s="4"/>
      <c r="P306" s="4"/>
    </row>
    <row r="307" spans="7:16" x14ac:dyDescent="0.25">
      <c r="G307" s="4"/>
      <c r="K307" s="4"/>
      <c r="L307" s="4"/>
      <c r="M307" s="4"/>
      <c r="N307" s="4"/>
      <c r="O307" s="4"/>
      <c r="P307" s="4"/>
    </row>
    <row r="308" spans="7:16" x14ac:dyDescent="0.25">
      <c r="G308" s="4"/>
      <c r="K308" s="4"/>
      <c r="L308" s="4"/>
      <c r="M308" s="4"/>
      <c r="N308" s="4"/>
      <c r="O308" s="4"/>
      <c r="P308" s="4"/>
    </row>
    <row r="309" spans="7:16" x14ac:dyDescent="0.25">
      <c r="G309" s="4"/>
      <c r="K309" s="4"/>
      <c r="L309" s="4"/>
      <c r="M309" s="4"/>
      <c r="N309" s="4"/>
      <c r="O309" s="4"/>
      <c r="P309" s="4"/>
    </row>
    <row r="310" spans="7:16" x14ac:dyDescent="0.25">
      <c r="G310" s="4"/>
      <c r="K310" s="4"/>
      <c r="L310" s="4"/>
      <c r="M310" s="4"/>
      <c r="N310" s="4"/>
      <c r="O310" s="4"/>
      <c r="P310" s="4"/>
    </row>
    <row r="311" spans="7:16" x14ac:dyDescent="0.25">
      <c r="G311" s="4"/>
      <c r="K311" s="4"/>
      <c r="L311" s="4"/>
      <c r="M311" s="4"/>
      <c r="N311" s="4"/>
      <c r="O311" s="4"/>
      <c r="P311" s="4"/>
    </row>
    <row r="312" spans="7:16" x14ac:dyDescent="0.25">
      <c r="G312" s="4"/>
      <c r="K312" s="4"/>
      <c r="L312" s="4"/>
      <c r="M312" s="4"/>
      <c r="N312" s="4"/>
      <c r="O312" s="4"/>
      <c r="P312" s="4"/>
    </row>
    <row r="313" spans="7:16" x14ac:dyDescent="0.25">
      <c r="G313" s="4"/>
      <c r="K313" s="4"/>
      <c r="L313" s="4"/>
      <c r="M313" s="4"/>
      <c r="N313" s="4"/>
      <c r="O313" s="4"/>
      <c r="P313" s="4"/>
    </row>
    <row r="314" spans="7:16" x14ac:dyDescent="0.25">
      <c r="G314" s="4"/>
      <c r="K314" s="4"/>
      <c r="L314" s="4"/>
      <c r="M314" s="4"/>
      <c r="N314" s="4"/>
      <c r="O314" s="4"/>
      <c r="P314" s="4"/>
    </row>
    <row r="315" spans="7:16" x14ac:dyDescent="0.25">
      <c r="G315" s="4"/>
      <c r="K315" s="4"/>
      <c r="L315" s="4"/>
      <c r="M315" s="4"/>
      <c r="N315" s="4"/>
      <c r="O315" s="4"/>
      <c r="P315" s="4"/>
    </row>
    <row r="316" spans="7:16" x14ac:dyDescent="0.25">
      <c r="G316" s="4"/>
      <c r="K316" s="4"/>
      <c r="L316" s="4"/>
      <c r="M316" s="4"/>
      <c r="N316" s="4"/>
      <c r="O316" s="4"/>
      <c r="P316" s="4"/>
    </row>
    <row r="317" spans="7:16" x14ac:dyDescent="0.25">
      <c r="G317" s="4"/>
      <c r="K317" s="4"/>
      <c r="L317" s="4"/>
      <c r="M317" s="4"/>
      <c r="N317" s="4"/>
      <c r="O317" s="4"/>
      <c r="P317" s="4"/>
    </row>
    <row r="318" spans="7:16" x14ac:dyDescent="0.25">
      <c r="G318" s="4"/>
      <c r="K318" s="4"/>
      <c r="L318" s="4"/>
      <c r="M318" s="4"/>
      <c r="N318" s="4"/>
      <c r="O318" s="4"/>
      <c r="P318" s="4"/>
    </row>
    <row r="319" spans="7:16" x14ac:dyDescent="0.25">
      <c r="G319" s="4"/>
      <c r="K319" s="4"/>
      <c r="L319" s="4"/>
      <c r="M319" s="4"/>
      <c r="N319" s="4"/>
      <c r="O319" s="4"/>
      <c r="P319" s="4"/>
    </row>
    <row r="320" spans="7:16" x14ac:dyDescent="0.25">
      <c r="G320" s="4"/>
      <c r="K320" s="4"/>
      <c r="L320" s="4"/>
      <c r="M320" s="4"/>
      <c r="N320" s="4"/>
      <c r="O320" s="4"/>
      <c r="P320" s="4"/>
    </row>
    <row r="321" spans="7:16" x14ac:dyDescent="0.25">
      <c r="G321" s="4"/>
      <c r="K321" s="4"/>
      <c r="L321" s="4"/>
      <c r="M321" s="4"/>
      <c r="N321" s="4"/>
      <c r="O321" s="4"/>
      <c r="P321" s="4"/>
    </row>
    <row r="322" spans="7:16" x14ac:dyDescent="0.25">
      <c r="G322" s="4"/>
      <c r="K322" s="4"/>
      <c r="L322" s="4"/>
      <c r="M322" s="4"/>
      <c r="N322" s="4"/>
      <c r="O322" s="4"/>
      <c r="P322" s="4"/>
    </row>
    <row r="323" spans="7:16" x14ac:dyDescent="0.25">
      <c r="G323" s="4"/>
      <c r="K323" s="4"/>
      <c r="L323" s="4"/>
      <c r="M323" s="4"/>
      <c r="N323" s="4"/>
      <c r="O323" s="4"/>
      <c r="P323" s="4"/>
    </row>
    <row r="324" spans="7:16" x14ac:dyDescent="0.25">
      <c r="G324" s="4"/>
      <c r="K324" s="4"/>
      <c r="L324" s="4"/>
      <c r="M324" s="4"/>
      <c r="N324" s="4"/>
      <c r="O324" s="4"/>
      <c r="P324" s="4"/>
    </row>
    <row r="325" spans="7:16" x14ac:dyDescent="0.25">
      <c r="G325" s="4"/>
      <c r="K325" s="4"/>
      <c r="L325" s="4"/>
      <c r="M325" s="4"/>
      <c r="N325" s="4"/>
      <c r="O325" s="4"/>
      <c r="P325" s="4"/>
    </row>
    <row r="326" spans="7:16" x14ac:dyDescent="0.25">
      <c r="G326" s="4"/>
      <c r="K326" s="4"/>
      <c r="L326" s="4"/>
      <c r="M326" s="4"/>
      <c r="N326" s="4"/>
      <c r="O326" s="4"/>
      <c r="P326" s="4"/>
    </row>
    <row r="327" spans="7:16" x14ac:dyDescent="0.25">
      <c r="G327" s="4"/>
      <c r="K327" s="4"/>
      <c r="L327" s="4"/>
      <c r="M327" s="4"/>
      <c r="N327" s="4"/>
      <c r="O327" s="4"/>
      <c r="P327" s="4"/>
    </row>
    <row r="328" spans="7:16" x14ac:dyDescent="0.25">
      <c r="G328" s="4"/>
      <c r="K328" s="4"/>
      <c r="L328" s="4"/>
      <c r="M328" s="4"/>
      <c r="N328" s="4"/>
      <c r="O328" s="4"/>
      <c r="P328" s="4"/>
    </row>
    <row r="329" spans="7:16" x14ac:dyDescent="0.25">
      <c r="G329" s="4"/>
      <c r="K329" s="4"/>
      <c r="L329" s="4"/>
      <c r="M329" s="4"/>
      <c r="N329" s="4"/>
      <c r="O329" s="4"/>
      <c r="P329" s="4"/>
    </row>
    <row r="330" spans="7:16" x14ac:dyDescent="0.25">
      <c r="G330" s="4"/>
      <c r="K330" s="4"/>
      <c r="L330" s="4"/>
      <c r="M330" s="4"/>
      <c r="N330" s="4"/>
      <c r="O330" s="4"/>
      <c r="P330" s="4"/>
    </row>
    <row r="331" spans="7:16" x14ac:dyDescent="0.25">
      <c r="G331" s="4"/>
      <c r="K331" s="4"/>
      <c r="L331" s="4"/>
      <c r="M331" s="4"/>
      <c r="N331" s="4"/>
      <c r="O331" s="4"/>
      <c r="P331" s="4"/>
    </row>
    <row r="332" spans="7:16" x14ac:dyDescent="0.25">
      <c r="G332" s="4"/>
      <c r="K332" s="4"/>
      <c r="L332" s="4"/>
      <c r="M332" s="4"/>
      <c r="N332" s="4"/>
      <c r="O332" s="4"/>
      <c r="P332" s="4"/>
    </row>
    <row r="333" spans="7:16" x14ac:dyDescent="0.25">
      <c r="G333" s="4"/>
      <c r="K333" s="4"/>
      <c r="L333" s="4"/>
      <c r="M333" s="4"/>
      <c r="N333" s="4"/>
      <c r="O333" s="4"/>
      <c r="P333" s="4"/>
    </row>
    <row r="334" spans="7:16" x14ac:dyDescent="0.25">
      <c r="G334" s="4"/>
      <c r="K334" s="4"/>
      <c r="L334" s="4"/>
      <c r="M334" s="4"/>
      <c r="N334" s="4"/>
      <c r="O334" s="4"/>
      <c r="P334" s="4"/>
    </row>
    <row r="335" spans="7:16" x14ac:dyDescent="0.25">
      <c r="G335" s="4"/>
      <c r="K335" s="4"/>
      <c r="L335" s="4"/>
      <c r="M335" s="4"/>
      <c r="N335" s="4"/>
      <c r="O335" s="4"/>
      <c r="P335" s="4"/>
    </row>
    <row r="336" spans="7:16" x14ac:dyDescent="0.25">
      <c r="G336" s="4"/>
      <c r="K336" s="4"/>
      <c r="L336" s="4"/>
      <c r="M336" s="4"/>
      <c r="N336" s="4"/>
      <c r="O336" s="4"/>
      <c r="P336" s="4"/>
    </row>
    <row r="337" spans="7:16" x14ac:dyDescent="0.25">
      <c r="G337" s="4"/>
      <c r="K337" s="4"/>
      <c r="L337" s="4"/>
      <c r="M337" s="4"/>
      <c r="N337" s="4"/>
      <c r="O337" s="4"/>
      <c r="P337" s="4"/>
    </row>
    <row r="338" spans="7:16" x14ac:dyDescent="0.25">
      <c r="G338" s="4"/>
      <c r="K338" s="4"/>
      <c r="L338" s="4"/>
      <c r="M338" s="4"/>
      <c r="N338" s="4"/>
      <c r="O338" s="4"/>
      <c r="P338" s="4"/>
    </row>
    <row r="339" spans="7:16" x14ac:dyDescent="0.25">
      <c r="G339" s="4"/>
      <c r="K339" s="4"/>
      <c r="L339" s="4"/>
      <c r="M339" s="4"/>
      <c r="N339" s="4"/>
      <c r="O339" s="4"/>
      <c r="P339" s="4"/>
    </row>
    <row r="340" spans="7:16" x14ac:dyDescent="0.25">
      <c r="G340" s="4"/>
      <c r="K340" s="4"/>
      <c r="L340" s="4"/>
      <c r="M340" s="4"/>
      <c r="N340" s="4"/>
      <c r="O340" s="4"/>
      <c r="P340" s="4"/>
    </row>
    <row r="341" spans="7:16" x14ac:dyDescent="0.25">
      <c r="G341" s="4"/>
      <c r="K341" s="4"/>
      <c r="L341" s="4"/>
      <c r="M341" s="4"/>
      <c r="N341" s="4"/>
      <c r="O341" s="4"/>
      <c r="P341" s="4"/>
    </row>
    <row r="342" spans="7:16" x14ac:dyDescent="0.25">
      <c r="G342" s="4"/>
      <c r="K342" s="4"/>
      <c r="L342" s="4"/>
      <c r="M342" s="4"/>
      <c r="N342" s="4"/>
      <c r="O342" s="4"/>
      <c r="P342" s="4"/>
    </row>
    <row r="343" spans="7:16" x14ac:dyDescent="0.25">
      <c r="G343" s="4"/>
      <c r="K343" s="4"/>
      <c r="L343" s="4"/>
      <c r="M343" s="4"/>
      <c r="N343" s="4"/>
      <c r="O343" s="4"/>
      <c r="P343" s="4"/>
    </row>
    <row r="344" spans="7:16" x14ac:dyDescent="0.25">
      <c r="G344" s="4"/>
      <c r="K344" s="4"/>
      <c r="L344" s="4"/>
      <c r="M344" s="4"/>
      <c r="N344" s="4"/>
      <c r="O344" s="4"/>
      <c r="P344" s="4"/>
    </row>
    <row r="345" spans="7:16" x14ac:dyDescent="0.25">
      <c r="G345" s="4"/>
      <c r="K345" s="4"/>
      <c r="L345" s="4"/>
      <c r="M345" s="4"/>
      <c r="N345" s="4"/>
      <c r="O345" s="4"/>
      <c r="P345" s="4"/>
    </row>
    <row r="346" spans="7:16" x14ac:dyDescent="0.25">
      <c r="G346" s="4"/>
      <c r="K346" s="4"/>
      <c r="L346" s="4"/>
      <c r="M346" s="4"/>
      <c r="N346" s="4"/>
      <c r="O346" s="4"/>
      <c r="P346" s="4"/>
    </row>
    <row r="347" spans="7:16" x14ac:dyDescent="0.25">
      <c r="G347" s="4"/>
      <c r="K347" s="4"/>
      <c r="L347" s="4"/>
      <c r="M347" s="4"/>
      <c r="N347" s="4"/>
      <c r="O347" s="4"/>
      <c r="P347" s="4"/>
    </row>
    <row r="348" spans="7:16" x14ac:dyDescent="0.25">
      <c r="G348" s="4"/>
      <c r="K348" s="4"/>
      <c r="L348" s="4"/>
      <c r="M348" s="4"/>
      <c r="N348" s="4"/>
      <c r="O348" s="4"/>
      <c r="P348" s="4"/>
    </row>
    <row r="349" spans="7:16" x14ac:dyDescent="0.25">
      <c r="G349" s="4"/>
      <c r="K349" s="4"/>
      <c r="L349" s="4"/>
      <c r="M349" s="4"/>
      <c r="N349" s="4"/>
      <c r="O349" s="4"/>
      <c r="P349" s="4"/>
    </row>
    <row r="350" spans="7:16" x14ac:dyDescent="0.25">
      <c r="G350" s="4"/>
      <c r="K350" s="4"/>
      <c r="L350" s="4"/>
      <c r="M350" s="4"/>
      <c r="N350" s="4"/>
      <c r="O350" s="4"/>
      <c r="P350" s="4"/>
    </row>
    <row r="351" spans="7:16" x14ac:dyDescent="0.25">
      <c r="G351" s="4"/>
      <c r="K351" s="4"/>
      <c r="L351" s="4"/>
      <c r="M351" s="4"/>
      <c r="N351" s="4"/>
      <c r="O351" s="4"/>
      <c r="P351" s="4"/>
    </row>
    <row r="352" spans="7:16" x14ac:dyDescent="0.25">
      <c r="G352" s="4"/>
      <c r="K352" s="4"/>
      <c r="L352" s="4"/>
      <c r="M352" s="4"/>
      <c r="N352" s="4"/>
      <c r="O352" s="4"/>
      <c r="P352" s="4"/>
    </row>
    <row r="353" spans="7:16" x14ac:dyDescent="0.25">
      <c r="G353" s="4"/>
      <c r="K353" s="4"/>
      <c r="L353" s="4"/>
      <c r="M353" s="4"/>
      <c r="N353" s="4"/>
      <c r="O353" s="4"/>
      <c r="P353" s="4"/>
    </row>
    <row r="354" spans="7:16" x14ac:dyDescent="0.25">
      <c r="G354" s="4"/>
      <c r="K354" s="4"/>
      <c r="L354" s="4"/>
      <c r="M354" s="4"/>
      <c r="N354" s="4"/>
      <c r="O354" s="4"/>
      <c r="P354" s="4"/>
    </row>
    <row r="355" spans="7:16" x14ac:dyDescent="0.25">
      <c r="G355" s="4"/>
      <c r="K355" s="4"/>
      <c r="L355" s="4"/>
      <c r="M355" s="4"/>
      <c r="N355" s="4"/>
      <c r="O355" s="4"/>
      <c r="P355" s="4"/>
    </row>
    <row r="356" spans="7:16" x14ac:dyDescent="0.25">
      <c r="G356" s="4"/>
      <c r="K356" s="4"/>
      <c r="L356" s="4"/>
      <c r="M356" s="4"/>
      <c r="N356" s="4"/>
      <c r="O356" s="4"/>
      <c r="P356" s="4"/>
    </row>
    <row r="357" spans="7:16" x14ac:dyDescent="0.25">
      <c r="G357" s="4"/>
      <c r="K357" s="4"/>
      <c r="L357" s="4"/>
      <c r="M357" s="4"/>
      <c r="N357" s="4"/>
      <c r="O357" s="4"/>
      <c r="P357" s="4"/>
    </row>
    <row r="358" spans="7:16" x14ac:dyDescent="0.25">
      <c r="G358" s="4"/>
      <c r="K358" s="4"/>
      <c r="L358" s="4"/>
      <c r="M358" s="4"/>
      <c r="N358" s="4"/>
      <c r="O358" s="4"/>
      <c r="P358" s="4"/>
    </row>
    <row r="359" spans="7:16" x14ac:dyDescent="0.25">
      <c r="G359" s="4"/>
      <c r="K359" s="4"/>
    </row>
    <row r="360" spans="7:16" x14ac:dyDescent="0.25">
      <c r="G360" s="4"/>
      <c r="K360" s="4"/>
    </row>
    <row r="361" spans="7:16" x14ac:dyDescent="0.25">
      <c r="G361" s="4"/>
      <c r="K361" s="4"/>
    </row>
    <row r="362" spans="7:16" x14ac:dyDescent="0.25">
      <c r="G362" s="4"/>
      <c r="K362" s="4"/>
    </row>
    <row r="363" spans="7:16" x14ac:dyDescent="0.25">
      <c r="G363" s="4"/>
      <c r="K363" s="4"/>
    </row>
    <row r="364" spans="7:16" x14ac:dyDescent="0.25">
      <c r="G364" s="4"/>
      <c r="K364" s="4"/>
    </row>
    <row r="365" spans="7:16" x14ac:dyDescent="0.25">
      <c r="G365" s="4"/>
      <c r="K365" s="4"/>
    </row>
    <row r="366" spans="7:16" x14ac:dyDescent="0.25">
      <c r="G366" s="4"/>
      <c r="K366" s="4"/>
    </row>
    <row r="367" spans="7:16" x14ac:dyDescent="0.25">
      <c r="G367" s="4"/>
      <c r="K367" s="4"/>
    </row>
    <row r="368" spans="7:16" x14ac:dyDescent="0.25">
      <c r="G368" s="4"/>
      <c r="K368" s="4"/>
    </row>
    <row r="369" spans="7:11" x14ac:dyDescent="0.25">
      <c r="G369" s="4"/>
      <c r="K369" s="4"/>
    </row>
    <row r="370" spans="7:11" x14ac:dyDescent="0.25">
      <c r="G370" s="4"/>
      <c r="K370" s="4"/>
    </row>
    <row r="371" spans="7:11" x14ac:dyDescent="0.25">
      <c r="G371" s="4"/>
      <c r="K371" s="4"/>
    </row>
    <row r="372" spans="7:11" x14ac:dyDescent="0.25">
      <c r="G372" s="4"/>
      <c r="K372" s="4"/>
    </row>
    <row r="394" spans="12:15" x14ac:dyDescent="0.25">
      <c r="L394" s="4"/>
      <c r="M394" s="4"/>
      <c r="N394" s="4"/>
      <c r="O394" s="4"/>
    </row>
    <row r="395" spans="12:15" x14ac:dyDescent="0.25">
      <c r="L395" s="4"/>
      <c r="M395" s="4"/>
      <c r="N395" s="4"/>
      <c r="O395" s="4"/>
    </row>
    <row r="396" spans="12:15" x14ac:dyDescent="0.25">
      <c r="L396" s="4"/>
      <c r="M396" s="4"/>
      <c r="N396" s="4"/>
      <c r="O396" s="4"/>
    </row>
    <row r="397" spans="12:15" x14ac:dyDescent="0.25">
      <c r="L397" s="4"/>
      <c r="M397" s="4"/>
      <c r="N397" s="4"/>
      <c r="O397" s="4"/>
    </row>
    <row r="398" spans="12:15" x14ac:dyDescent="0.25">
      <c r="L398" s="4"/>
      <c r="M398" s="4"/>
      <c r="N398" s="4"/>
      <c r="O398" s="4"/>
    </row>
    <row r="399" spans="12:15" x14ac:dyDescent="0.25">
      <c r="L399" s="4"/>
      <c r="M399" s="4"/>
      <c r="N399" s="4"/>
      <c r="O399" s="4"/>
    </row>
    <row r="400" spans="12:15" x14ac:dyDescent="0.25">
      <c r="L400" s="4"/>
      <c r="M400" s="4"/>
      <c r="N400" s="4"/>
      <c r="O400" s="4"/>
    </row>
    <row r="408" spans="7:11" x14ac:dyDescent="0.25">
      <c r="G408" s="4"/>
      <c r="K408" s="4"/>
    </row>
    <row r="409" spans="7:11" x14ac:dyDescent="0.25">
      <c r="G409" s="4"/>
      <c r="K409" s="4"/>
    </row>
    <row r="410" spans="7:11" x14ac:dyDescent="0.25">
      <c r="G410" s="4"/>
      <c r="K410" s="4"/>
    </row>
    <row r="411" spans="7:11" x14ac:dyDescent="0.25">
      <c r="G411" s="4"/>
      <c r="K411" s="4"/>
    </row>
    <row r="412" spans="7:11" x14ac:dyDescent="0.25">
      <c r="G412" s="4"/>
      <c r="K412" s="4"/>
    </row>
    <row r="413" spans="7:11" x14ac:dyDescent="0.25">
      <c r="G413" s="4"/>
      <c r="K413" s="4"/>
    </row>
    <row r="414" spans="7:11" x14ac:dyDescent="0.25">
      <c r="G414" s="4"/>
      <c r="K414" s="4"/>
    </row>
  </sheetData>
  <pageMargins left="0.70866141732283472" right="0.70866141732283472" top="0.74803149606299213" bottom="0.74803149606299213" header="0.31496062992125984" footer="0.31496062992125984"/>
  <pageSetup paperSize="8" orientation="portrait" horizontalDpi="360" verticalDpi="360" r:id="rId1"/>
  <headerFooter>
    <oddFooter>&amp;L&amp;D&amp;CPage &amp;P of &amp;N</oddFooter>
  </headerFooter>
  <rowBreaks count="1" manualBreakCount="1">
    <brk id="71" max="16383" man="1"/>
  </rowBreaks>
  <colBreaks count="1" manualBreakCount="1">
    <brk id="16" max="1048575" man="1"/>
  </colBreaks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7802-00B0-419D-8FE8-6D61A380DFFD}">
  <sheetPr>
    <pageSetUpPr fitToPage="1"/>
  </sheetPr>
  <dimension ref="B1:AI225"/>
  <sheetViews>
    <sheetView showGridLines="0" zoomScaleNormal="100" workbookViewId="0"/>
  </sheetViews>
  <sheetFormatPr defaultColWidth="12.7109375" defaultRowHeight="15" x14ac:dyDescent="0.25"/>
  <cols>
    <col min="1" max="1" width="2.85546875" style="44" customWidth="1"/>
    <col min="2" max="2" width="5.7109375" style="44" customWidth="1"/>
    <col min="3" max="3" width="80.140625" style="45" bestFit="1" customWidth="1"/>
    <col min="4" max="4" width="51.7109375" style="44" customWidth="1"/>
    <col min="5" max="5" width="13.7109375" style="44" hidden="1" customWidth="1"/>
    <col min="6" max="6" width="9.7109375" style="45" hidden="1" customWidth="1"/>
    <col min="7" max="7" width="13.7109375" style="44" hidden="1" customWidth="1"/>
    <col min="8" max="8" width="11.7109375" style="78" hidden="1" customWidth="1"/>
    <col min="9" max="9" width="12.7109375" style="77"/>
    <col min="10" max="10" width="7.7109375" style="44" customWidth="1"/>
    <col min="11" max="11" width="7.7109375" style="77" customWidth="1"/>
    <col min="12" max="35" width="7.7109375" style="44" customWidth="1"/>
    <col min="36" max="16384" width="12.7109375" style="44"/>
  </cols>
  <sheetData>
    <row r="1" spans="2:35" x14ac:dyDescent="0.25">
      <c r="H1" s="45"/>
      <c r="I1" s="44"/>
      <c r="K1" s="44"/>
    </row>
    <row r="2" spans="2:35" ht="15" customHeight="1" x14ac:dyDescent="0.25">
      <c r="G2" s="81"/>
      <c r="H2" s="45"/>
      <c r="I2" s="44"/>
      <c r="K2" s="44"/>
    </row>
    <row r="3" spans="2:35" x14ac:dyDescent="0.25">
      <c r="H3" s="45"/>
      <c r="I3" s="44"/>
      <c r="K3" s="44"/>
    </row>
    <row r="4" spans="2:35" x14ac:dyDescent="0.25">
      <c r="H4" s="45"/>
      <c r="I4" s="44"/>
      <c r="K4" s="44"/>
    </row>
    <row r="5" spans="2:35" x14ac:dyDescent="0.25">
      <c r="H5" s="45"/>
      <c r="I5" s="44"/>
      <c r="K5" s="44"/>
    </row>
    <row r="6" spans="2:35" x14ac:dyDescent="0.25">
      <c r="H6" s="45"/>
      <c r="I6" s="44"/>
      <c r="K6" s="44"/>
      <c r="N6" s="36"/>
    </row>
    <row r="7" spans="2:35" x14ac:dyDescent="0.25">
      <c r="H7" s="45"/>
      <c r="I7" s="44"/>
      <c r="K7" s="44"/>
      <c r="N7" s="36"/>
    </row>
    <row r="8" spans="2:35" ht="18.75" customHeight="1" x14ac:dyDescent="0.25">
      <c r="B8" s="96" t="s">
        <v>26</v>
      </c>
      <c r="C8" s="96"/>
      <c r="D8" s="37"/>
      <c r="E8" s="37"/>
      <c r="F8" s="38"/>
      <c r="G8" s="37"/>
      <c r="H8" s="38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</row>
    <row r="9" spans="2:35" ht="18.75" customHeight="1" x14ac:dyDescent="0.25">
      <c r="B9" s="97" t="str">
        <f>TEXT(MIN(E15:E49),"d-mmmm-yyyy")&amp;" to "&amp;TEXT(MAX(G15:G49),"d-mmmm-yyyy")</f>
        <v>2-June-2020 to 2-July-2020</v>
      </c>
      <c r="C9" s="97"/>
      <c r="D9" s="37"/>
      <c r="E9" s="37"/>
      <c r="F9" s="38"/>
      <c r="G9" s="37"/>
      <c r="H9" s="38"/>
      <c r="I9" s="37"/>
      <c r="J9" s="74" t="s">
        <v>48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</row>
    <row r="10" spans="2:35" ht="15" customHeight="1" x14ac:dyDescent="0.25">
      <c r="B10" s="43"/>
      <c r="H10" s="45"/>
      <c r="I10" s="44"/>
      <c r="K10" s="44"/>
    </row>
    <row r="11" spans="2:35" ht="18.75" customHeight="1" x14ac:dyDescent="0.25">
      <c r="B11" s="98" t="s">
        <v>47</v>
      </c>
      <c r="C11" s="98"/>
      <c r="H11" s="45"/>
      <c r="I11" s="44"/>
      <c r="J11" s="44" t="s">
        <v>27</v>
      </c>
      <c r="K11" s="44"/>
      <c r="L11" s="46"/>
      <c r="N11" s="44" t="s">
        <v>28</v>
      </c>
      <c r="P11" s="82"/>
      <c r="R11" s="44" t="s">
        <v>15</v>
      </c>
      <c r="T11" s="83"/>
      <c r="V11" s="44" t="s">
        <v>38</v>
      </c>
      <c r="Y11" s="84"/>
    </row>
    <row r="12" spans="2:35" ht="23.25" x14ac:dyDescent="0.25">
      <c r="B12" s="40"/>
      <c r="C12" s="38"/>
      <c r="D12" s="37"/>
      <c r="E12" s="37"/>
      <c r="F12" s="38"/>
      <c r="G12" s="37"/>
      <c r="H12" s="38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</row>
    <row r="14" spans="2:35" ht="30" x14ac:dyDescent="0.25">
      <c r="B14" s="41" t="s">
        <v>6</v>
      </c>
      <c r="C14" s="42" t="s">
        <v>0</v>
      </c>
      <c r="D14" s="41" t="s">
        <v>2</v>
      </c>
      <c r="E14" s="41" t="s">
        <v>4</v>
      </c>
      <c r="F14" s="42" t="s">
        <v>25</v>
      </c>
      <c r="G14" s="41" t="s">
        <v>5</v>
      </c>
      <c r="H14" s="42" t="s">
        <v>10</v>
      </c>
      <c r="I14" s="41" t="s">
        <v>3</v>
      </c>
      <c r="J14" s="85">
        <f>MIN(E15:E38)+'Scroll Bar'!B7</f>
        <v>43984</v>
      </c>
      <c r="K14" s="85">
        <f>J14+1</f>
        <v>43985</v>
      </c>
      <c r="L14" s="85">
        <f t="shared" ref="L14:AI14" si="0">K14+1</f>
        <v>43986</v>
      </c>
      <c r="M14" s="85">
        <f t="shared" si="0"/>
        <v>43987</v>
      </c>
      <c r="N14" s="85">
        <f t="shared" si="0"/>
        <v>43988</v>
      </c>
      <c r="O14" s="85">
        <f t="shared" si="0"/>
        <v>43989</v>
      </c>
      <c r="P14" s="85">
        <f t="shared" si="0"/>
        <v>43990</v>
      </c>
      <c r="Q14" s="85">
        <f t="shared" si="0"/>
        <v>43991</v>
      </c>
      <c r="R14" s="85">
        <f t="shared" si="0"/>
        <v>43992</v>
      </c>
      <c r="S14" s="85">
        <f t="shared" si="0"/>
        <v>43993</v>
      </c>
      <c r="T14" s="85">
        <f t="shared" si="0"/>
        <v>43994</v>
      </c>
      <c r="U14" s="85">
        <f t="shared" si="0"/>
        <v>43995</v>
      </c>
      <c r="V14" s="85">
        <f t="shared" si="0"/>
        <v>43996</v>
      </c>
      <c r="W14" s="85">
        <f t="shared" si="0"/>
        <v>43997</v>
      </c>
      <c r="X14" s="85">
        <f t="shared" si="0"/>
        <v>43998</v>
      </c>
      <c r="Y14" s="85">
        <f t="shared" si="0"/>
        <v>43999</v>
      </c>
      <c r="Z14" s="85">
        <f t="shared" si="0"/>
        <v>44000</v>
      </c>
      <c r="AA14" s="85">
        <f t="shared" si="0"/>
        <v>44001</v>
      </c>
      <c r="AB14" s="85">
        <f t="shared" si="0"/>
        <v>44002</v>
      </c>
      <c r="AC14" s="85">
        <f t="shared" si="0"/>
        <v>44003</v>
      </c>
      <c r="AD14" s="85">
        <f t="shared" si="0"/>
        <v>44004</v>
      </c>
      <c r="AE14" s="85">
        <f t="shared" si="0"/>
        <v>44005</v>
      </c>
      <c r="AF14" s="85">
        <f t="shared" si="0"/>
        <v>44006</v>
      </c>
      <c r="AG14" s="85">
        <f t="shared" si="0"/>
        <v>44007</v>
      </c>
      <c r="AH14" s="85">
        <f t="shared" si="0"/>
        <v>44008</v>
      </c>
      <c r="AI14" s="85">
        <f t="shared" si="0"/>
        <v>44009</v>
      </c>
    </row>
    <row r="15" spans="2:35" ht="15" customHeight="1" x14ac:dyDescent="0.25">
      <c r="B15" s="77">
        <v>1</v>
      </c>
      <c r="C15" s="77" t="s">
        <v>59</v>
      </c>
      <c r="D15" s="77" t="s">
        <v>71</v>
      </c>
      <c r="E15" s="88">
        <v>43984</v>
      </c>
      <c r="F15" s="77">
        <v>5</v>
      </c>
      <c r="G15" s="88">
        <v>43990</v>
      </c>
      <c r="H15" s="77">
        <v>1</v>
      </c>
      <c r="I15" s="79">
        <v>0.2</v>
      </c>
      <c r="J15" s="77"/>
    </row>
    <row r="16" spans="2:35" ht="15" customHeight="1" x14ac:dyDescent="0.25">
      <c r="B16" s="77">
        <v>2</v>
      </c>
      <c r="C16" s="77" t="s">
        <v>72</v>
      </c>
      <c r="D16" s="77" t="s">
        <v>74</v>
      </c>
      <c r="E16" s="88">
        <v>43985</v>
      </c>
      <c r="F16" s="77">
        <v>3</v>
      </c>
      <c r="G16" s="88">
        <v>43987</v>
      </c>
      <c r="H16" s="77">
        <v>1</v>
      </c>
      <c r="I16" s="79">
        <v>0.33333333333333331</v>
      </c>
      <c r="J16" s="77"/>
    </row>
    <row r="17" spans="2:10" ht="15" customHeight="1" x14ac:dyDescent="0.25">
      <c r="B17" s="77">
        <v>3</v>
      </c>
      <c r="C17" s="77" t="s">
        <v>7</v>
      </c>
      <c r="D17" s="77" t="s">
        <v>75</v>
      </c>
      <c r="E17" s="88">
        <v>43986</v>
      </c>
      <c r="F17" s="77">
        <v>1</v>
      </c>
      <c r="G17" s="88">
        <v>43986</v>
      </c>
      <c r="H17" s="77">
        <v>1</v>
      </c>
      <c r="I17" s="79">
        <v>1</v>
      </c>
      <c r="J17" s="77"/>
    </row>
    <row r="18" spans="2:10" x14ac:dyDescent="0.25">
      <c r="B18" s="77">
        <v>4</v>
      </c>
      <c r="C18" s="77" t="s">
        <v>76</v>
      </c>
      <c r="D18" s="77" t="s">
        <v>78</v>
      </c>
      <c r="E18" s="88">
        <v>43987</v>
      </c>
      <c r="F18" s="77">
        <v>10</v>
      </c>
      <c r="G18" s="88">
        <v>44000</v>
      </c>
      <c r="H18" s="77">
        <v>1</v>
      </c>
      <c r="I18" s="79">
        <v>0.1</v>
      </c>
      <c r="J18" s="77"/>
    </row>
    <row r="19" spans="2:10" ht="15" customHeight="1" x14ac:dyDescent="0.25">
      <c r="B19" s="77">
        <v>5</v>
      </c>
      <c r="C19" s="77" t="s">
        <v>79</v>
      </c>
      <c r="D19" s="77" t="s">
        <v>81</v>
      </c>
      <c r="E19" s="88">
        <v>43988</v>
      </c>
      <c r="F19" s="77">
        <v>6</v>
      </c>
      <c r="G19" s="88">
        <v>43997</v>
      </c>
      <c r="H19" s="77">
        <v>5</v>
      </c>
      <c r="I19" s="79">
        <v>0.83333333333333337</v>
      </c>
      <c r="J19" s="77"/>
    </row>
    <row r="20" spans="2:10" x14ac:dyDescent="0.25">
      <c r="B20" s="77">
        <v>6</v>
      </c>
      <c r="C20" s="77" t="s">
        <v>82</v>
      </c>
      <c r="D20" s="77" t="s">
        <v>84</v>
      </c>
      <c r="E20" s="88">
        <v>43989</v>
      </c>
      <c r="F20" s="77">
        <v>8</v>
      </c>
      <c r="G20" s="88">
        <v>43999</v>
      </c>
      <c r="H20" s="77">
        <v>2</v>
      </c>
      <c r="I20" s="79">
        <v>0.25</v>
      </c>
      <c r="J20" s="77"/>
    </row>
    <row r="21" spans="2:10" x14ac:dyDescent="0.25">
      <c r="B21" s="77">
        <v>7</v>
      </c>
      <c r="C21" s="77" t="s">
        <v>60</v>
      </c>
      <c r="D21" s="77" t="s">
        <v>84</v>
      </c>
      <c r="E21" s="88">
        <v>43990</v>
      </c>
      <c r="F21" s="77">
        <v>5</v>
      </c>
      <c r="G21" s="88">
        <v>43994</v>
      </c>
      <c r="H21" s="77">
        <v>2</v>
      </c>
      <c r="I21" s="79">
        <v>0.4</v>
      </c>
      <c r="J21" s="77"/>
    </row>
    <row r="22" spans="2:10" x14ac:dyDescent="0.25">
      <c r="B22" s="77">
        <v>8</v>
      </c>
      <c r="C22" s="77" t="s">
        <v>86</v>
      </c>
      <c r="D22" s="77" t="s">
        <v>84</v>
      </c>
      <c r="E22" s="88">
        <v>43991</v>
      </c>
      <c r="F22" s="77">
        <v>10</v>
      </c>
      <c r="G22" s="88">
        <v>44004</v>
      </c>
      <c r="H22" s="77">
        <v>2</v>
      </c>
      <c r="I22" s="79">
        <v>0.2</v>
      </c>
      <c r="J22" s="77"/>
    </row>
    <row r="23" spans="2:10" x14ac:dyDescent="0.25">
      <c r="B23" s="77">
        <v>9</v>
      </c>
      <c r="C23" s="77" t="s">
        <v>61</v>
      </c>
      <c r="D23" s="77" t="s">
        <v>84</v>
      </c>
      <c r="E23" s="88">
        <v>43992</v>
      </c>
      <c r="F23" s="77">
        <v>6</v>
      </c>
      <c r="G23" s="88">
        <v>43999</v>
      </c>
      <c r="H23" s="77">
        <v>2</v>
      </c>
      <c r="I23" s="79">
        <v>0.33333333333333331</v>
      </c>
      <c r="J23" s="77"/>
    </row>
    <row r="24" spans="2:10" x14ac:dyDescent="0.25">
      <c r="B24" s="77">
        <v>10</v>
      </c>
      <c r="C24" s="77" t="s">
        <v>62</v>
      </c>
      <c r="D24" s="77" t="s">
        <v>75</v>
      </c>
      <c r="E24" s="88">
        <v>43993</v>
      </c>
      <c r="F24" s="77">
        <v>12</v>
      </c>
      <c r="G24" s="88">
        <v>44008</v>
      </c>
      <c r="H24" s="77">
        <v>2</v>
      </c>
      <c r="I24" s="79">
        <v>0.16666666666666666</v>
      </c>
      <c r="J24" s="77"/>
    </row>
    <row r="25" spans="2:10" x14ac:dyDescent="0.25">
      <c r="B25" s="77">
        <v>11</v>
      </c>
      <c r="C25" s="77" t="s">
        <v>90</v>
      </c>
      <c r="D25" s="77" t="s">
        <v>92</v>
      </c>
      <c r="E25" s="88">
        <v>43994</v>
      </c>
      <c r="F25" s="77">
        <v>1</v>
      </c>
      <c r="G25" s="88">
        <v>43994</v>
      </c>
      <c r="H25" s="77">
        <v>1</v>
      </c>
      <c r="I25" s="79">
        <v>1</v>
      </c>
      <c r="J25" s="77"/>
    </row>
    <row r="26" spans="2:10" x14ac:dyDescent="0.25">
      <c r="B26" s="77">
        <v>12</v>
      </c>
      <c r="C26" s="77" t="s">
        <v>93</v>
      </c>
      <c r="D26" s="77" t="s">
        <v>94</v>
      </c>
      <c r="E26" s="88">
        <v>43995</v>
      </c>
      <c r="F26" s="77">
        <v>2</v>
      </c>
      <c r="G26" s="88">
        <v>43998</v>
      </c>
      <c r="H26" s="77">
        <v>2</v>
      </c>
      <c r="I26" s="79">
        <v>1</v>
      </c>
      <c r="J26" s="77"/>
    </row>
    <row r="27" spans="2:10" x14ac:dyDescent="0.25">
      <c r="B27" s="77">
        <v>13</v>
      </c>
      <c r="C27" s="77" t="s">
        <v>95</v>
      </c>
      <c r="D27" s="77" t="s">
        <v>94</v>
      </c>
      <c r="E27" s="88">
        <v>43996</v>
      </c>
      <c r="F27" s="77">
        <v>3</v>
      </c>
      <c r="G27" s="88">
        <v>43999</v>
      </c>
      <c r="H27" s="77">
        <v>2</v>
      </c>
      <c r="I27" s="79">
        <v>0.66666666666666663</v>
      </c>
      <c r="J27" s="77"/>
    </row>
    <row r="28" spans="2:10" x14ac:dyDescent="0.25">
      <c r="B28" s="77">
        <v>14</v>
      </c>
      <c r="C28" s="77" t="s">
        <v>97</v>
      </c>
      <c r="D28" s="77" t="s">
        <v>92</v>
      </c>
      <c r="E28" s="88">
        <v>43997</v>
      </c>
      <c r="F28" s="77">
        <v>5</v>
      </c>
      <c r="G28" s="88">
        <v>44001</v>
      </c>
      <c r="H28" s="77">
        <v>2</v>
      </c>
      <c r="I28" s="79">
        <v>0.4</v>
      </c>
      <c r="J28" s="77"/>
    </row>
    <row r="29" spans="2:10" x14ac:dyDescent="0.25">
      <c r="B29" s="77">
        <v>15</v>
      </c>
      <c r="C29" s="77" t="s">
        <v>99</v>
      </c>
      <c r="D29" s="77" t="s">
        <v>101</v>
      </c>
      <c r="E29" s="88">
        <v>43998</v>
      </c>
      <c r="F29" s="77">
        <v>8</v>
      </c>
      <c r="G29" s="88">
        <v>44007</v>
      </c>
      <c r="H29" s="77">
        <v>6</v>
      </c>
      <c r="I29" s="79">
        <v>0.75</v>
      </c>
      <c r="J29" s="77"/>
    </row>
    <row r="30" spans="2:10" x14ac:dyDescent="0.25">
      <c r="B30" s="77">
        <v>16</v>
      </c>
      <c r="C30" s="77" t="s">
        <v>102</v>
      </c>
      <c r="D30" s="77" t="s">
        <v>75</v>
      </c>
      <c r="E30" s="88">
        <v>43999</v>
      </c>
      <c r="F30" s="77">
        <v>1</v>
      </c>
      <c r="G30" s="88">
        <v>43999</v>
      </c>
      <c r="H30" s="77">
        <v>0</v>
      </c>
      <c r="I30" s="79">
        <v>0</v>
      </c>
      <c r="J30" s="77"/>
    </row>
    <row r="31" spans="2:10" x14ac:dyDescent="0.25">
      <c r="B31" s="77">
        <v>17</v>
      </c>
      <c r="C31" s="77" t="s">
        <v>63</v>
      </c>
      <c r="D31" s="77" t="s">
        <v>84</v>
      </c>
      <c r="E31" s="88">
        <v>44000</v>
      </c>
      <c r="F31" s="77">
        <v>1</v>
      </c>
      <c r="G31" s="88">
        <v>44000</v>
      </c>
      <c r="H31" s="77">
        <v>1</v>
      </c>
      <c r="I31" s="79">
        <v>1</v>
      </c>
      <c r="J31" s="77"/>
    </row>
    <row r="32" spans="2:10" x14ac:dyDescent="0.25">
      <c r="B32" s="77">
        <v>18</v>
      </c>
      <c r="C32" s="77" t="s">
        <v>8</v>
      </c>
      <c r="D32" s="77" t="s">
        <v>75</v>
      </c>
      <c r="E32" s="88">
        <v>44001</v>
      </c>
      <c r="F32" s="77">
        <v>1</v>
      </c>
      <c r="G32" s="88">
        <v>44001</v>
      </c>
      <c r="H32" s="77">
        <v>0</v>
      </c>
      <c r="I32" s="79">
        <v>0</v>
      </c>
      <c r="J32" s="77"/>
    </row>
    <row r="33" spans="2:11" x14ac:dyDescent="0.25">
      <c r="B33" s="77">
        <v>19</v>
      </c>
      <c r="C33" s="77" t="s">
        <v>64</v>
      </c>
      <c r="D33" s="77" t="s">
        <v>84</v>
      </c>
      <c r="E33" s="88">
        <v>44002</v>
      </c>
      <c r="F33" s="77">
        <v>2</v>
      </c>
      <c r="G33" s="88">
        <v>44005</v>
      </c>
      <c r="H33" s="77">
        <v>1</v>
      </c>
      <c r="I33" s="79">
        <v>0.5</v>
      </c>
      <c r="J33" s="77"/>
    </row>
    <row r="34" spans="2:11" x14ac:dyDescent="0.25">
      <c r="B34" s="77">
        <v>20</v>
      </c>
      <c r="C34" s="77" t="s">
        <v>106</v>
      </c>
      <c r="D34" s="77" t="s">
        <v>108</v>
      </c>
      <c r="E34" s="88">
        <v>44003</v>
      </c>
      <c r="F34" s="77">
        <v>6</v>
      </c>
      <c r="G34" s="88">
        <v>44011</v>
      </c>
      <c r="H34" s="77">
        <v>3</v>
      </c>
      <c r="I34" s="79">
        <v>0.5</v>
      </c>
      <c r="J34" s="77"/>
    </row>
    <row r="35" spans="2:11" x14ac:dyDescent="0.25">
      <c r="B35" s="77">
        <v>21</v>
      </c>
      <c r="C35" s="77" t="s">
        <v>65</v>
      </c>
      <c r="D35" s="77" t="s">
        <v>84</v>
      </c>
      <c r="E35" s="88">
        <v>44004</v>
      </c>
      <c r="F35" s="77">
        <v>5</v>
      </c>
      <c r="G35" s="88">
        <v>44008</v>
      </c>
      <c r="H35" s="77">
        <v>0</v>
      </c>
      <c r="I35" s="79">
        <v>0</v>
      </c>
      <c r="J35" s="77"/>
    </row>
    <row r="36" spans="2:11" x14ac:dyDescent="0.25">
      <c r="B36" s="77">
        <v>22</v>
      </c>
      <c r="C36" s="77" t="s">
        <v>66</v>
      </c>
      <c r="D36" s="77" t="s">
        <v>110</v>
      </c>
      <c r="E36" s="88">
        <v>44005</v>
      </c>
      <c r="F36" s="77">
        <v>8</v>
      </c>
      <c r="G36" s="88">
        <v>44014</v>
      </c>
      <c r="H36" s="77">
        <v>0</v>
      </c>
      <c r="I36" s="79">
        <v>0</v>
      </c>
      <c r="J36" s="77"/>
    </row>
    <row r="37" spans="2:11" x14ac:dyDescent="0.25">
      <c r="B37" s="77">
        <v>23</v>
      </c>
      <c r="C37" s="77" t="s">
        <v>67</v>
      </c>
      <c r="D37" s="77" t="s">
        <v>111</v>
      </c>
      <c r="E37" s="88">
        <v>44006</v>
      </c>
      <c r="F37" s="77">
        <v>1</v>
      </c>
      <c r="G37" s="88">
        <v>44006</v>
      </c>
      <c r="H37" s="77">
        <v>0</v>
      </c>
      <c r="I37" s="79">
        <v>0</v>
      </c>
      <c r="J37" s="77"/>
    </row>
    <row r="38" spans="2:11" x14ac:dyDescent="0.25">
      <c r="B38" s="77">
        <v>24</v>
      </c>
      <c r="C38" s="77" t="s">
        <v>68</v>
      </c>
      <c r="D38" s="77" t="s">
        <v>112</v>
      </c>
      <c r="E38" s="88">
        <v>44007</v>
      </c>
      <c r="F38" s="77">
        <v>2</v>
      </c>
      <c r="G38" s="88">
        <v>44008</v>
      </c>
      <c r="H38" s="77">
        <v>0</v>
      </c>
      <c r="I38" s="79">
        <v>0</v>
      </c>
      <c r="J38" s="77"/>
    </row>
    <row r="39" spans="2:11" x14ac:dyDescent="0.25">
      <c r="B39" s="80" t="s">
        <v>18</v>
      </c>
      <c r="C39" s="80"/>
      <c r="D39" s="80"/>
      <c r="E39" s="80"/>
      <c r="F39" s="80"/>
      <c r="G39" s="80"/>
      <c r="H39" s="80"/>
      <c r="I39" s="80"/>
      <c r="K39" s="44"/>
    </row>
    <row r="40" spans="2:11" x14ac:dyDescent="0.25">
      <c r="B40"/>
      <c r="C40"/>
      <c r="D40"/>
      <c r="E40"/>
      <c r="F40"/>
      <c r="G40"/>
      <c r="H40"/>
      <c r="I40"/>
      <c r="J40" s="77"/>
    </row>
    <row r="41" spans="2:11" x14ac:dyDescent="0.25">
      <c r="B41"/>
      <c r="C41"/>
      <c r="D41"/>
      <c r="E41"/>
      <c r="F41"/>
      <c r="G41"/>
      <c r="H41"/>
      <c r="I41"/>
      <c r="J41" s="77"/>
    </row>
    <row r="42" spans="2:11" x14ac:dyDescent="0.25">
      <c r="B42"/>
      <c r="C42"/>
      <c r="D42"/>
      <c r="E42"/>
      <c r="F42"/>
      <c r="G42"/>
      <c r="H42"/>
      <c r="I42"/>
      <c r="J42" s="77"/>
    </row>
    <row r="43" spans="2:11" x14ac:dyDescent="0.25">
      <c r="B43"/>
      <c r="C43"/>
      <c r="D43"/>
      <c r="E43"/>
      <c r="F43"/>
      <c r="G43"/>
      <c r="H43"/>
      <c r="I43"/>
      <c r="J43" s="77"/>
    </row>
    <row r="44" spans="2:11" x14ac:dyDescent="0.25">
      <c r="B44"/>
      <c r="C44"/>
      <c r="D44"/>
      <c r="E44"/>
      <c r="F44"/>
      <c r="G44"/>
      <c r="H44"/>
      <c r="I44"/>
      <c r="J44" s="77"/>
    </row>
    <row r="45" spans="2:11" x14ac:dyDescent="0.25">
      <c r="B45"/>
      <c r="C45"/>
      <c r="D45"/>
      <c r="E45"/>
      <c r="F45"/>
      <c r="G45"/>
      <c r="H45"/>
      <c r="I45"/>
      <c r="J45" s="77"/>
    </row>
    <row r="46" spans="2:11" x14ac:dyDescent="0.25">
      <c r="B46"/>
      <c r="C46"/>
      <c r="D46"/>
      <c r="E46"/>
      <c r="F46"/>
      <c r="G46"/>
      <c r="H46"/>
      <c r="I46"/>
      <c r="J46" s="77"/>
    </row>
    <row r="47" spans="2:11" x14ac:dyDescent="0.25">
      <c r="B47"/>
      <c r="C47"/>
      <c r="D47"/>
      <c r="E47"/>
      <c r="F47"/>
      <c r="G47"/>
      <c r="H47"/>
      <c r="I47"/>
      <c r="J47" s="77"/>
    </row>
    <row r="48" spans="2:11" x14ac:dyDescent="0.25">
      <c r="B48"/>
      <c r="C48"/>
      <c r="D48"/>
      <c r="E48"/>
      <c r="F48"/>
      <c r="G48"/>
      <c r="H48"/>
      <c r="I48"/>
      <c r="J48" s="77"/>
    </row>
    <row r="49" spans="2:10" x14ac:dyDescent="0.25">
      <c r="B49" s="5"/>
      <c r="C49" s="75"/>
      <c r="D49" s="5"/>
      <c r="E49" s="5"/>
      <c r="F49" s="5"/>
      <c r="G49" s="5"/>
      <c r="H49" s="5"/>
      <c r="I49" s="5"/>
      <c r="J49" s="77"/>
    </row>
    <row r="50" spans="2:10" x14ac:dyDescent="0.25">
      <c r="B50" s="5"/>
      <c r="C50" s="75"/>
      <c r="D50" s="5"/>
      <c r="E50" s="5"/>
      <c r="F50" s="5"/>
      <c r="G50" s="5"/>
      <c r="H50" s="5"/>
      <c r="I50" s="5"/>
      <c r="J50" s="77"/>
    </row>
    <row r="51" spans="2:10" x14ac:dyDescent="0.25">
      <c r="B51" s="5"/>
      <c r="C51" s="75"/>
      <c r="D51" s="5"/>
      <c r="E51" s="5"/>
      <c r="F51" s="5"/>
      <c r="G51" s="5"/>
      <c r="H51" s="5"/>
      <c r="I51" s="5"/>
      <c r="J51" s="77"/>
    </row>
    <row r="52" spans="2:10" x14ac:dyDescent="0.25">
      <c r="B52" s="5"/>
      <c r="C52" s="75"/>
      <c r="D52" s="5"/>
      <c r="E52" s="5"/>
      <c r="F52" s="5"/>
      <c r="G52" s="5"/>
      <c r="H52" s="5"/>
      <c r="I52" s="5"/>
      <c r="J52" s="77"/>
    </row>
    <row r="53" spans="2:10" x14ac:dyDescent="0.25">
      <c r="B53" s="5"/>
      <c r="C53" s="75"/>
      <c r="D53" s="5"/>
      <c r="E53" s="5"/>
      <c r="F53" s="5"/>
      <c r="G53" s="5"/>
      <c r="H53" s="5"/>
      <c r="I53" s="5"/>
      <c r="J53" s="77"/>
    </row>
    <row r="54" spans="2:10" x14ac:dyDescent="0.25">
      <c r="B54" s="5"/>
      <c r="C54" s="75"/>
      <c r="D54" s="5"/>
      <c r="E54" s="5"/>
      <c r="F54" s="5"/>
      <c r="G54" s="5"/>
      <c r="H54" s="5"/>
      <c r="I54" s="5"/>
      <c r="J54" s="77"/>
    </row>
    <row r="55" spans="2:10" x14ac:dyDescent="0.25">
      <c r="B55" s="5"/>
      <c r="C55" s="75"/>
      <c r="D55" s="5"/>
      <c r="E55" s="5"/>
      <c r="F55" s="5"/>
      <c r="G55" s="5"/>
      <c r="H55" s="5"/>
      <c r="I55" s="5"/>
      <c r="J55" s="77"/>
    </row>
    <row r="56" spans="2:10" x14ac:dyDescent="0.25">
      <c r="B56" s="5"/>
      <c r="C56" s="75"/>
      <c r="D56" s="5"/>
      <c r="E56" s="5"/>
      <c r="F56" s="5"/>
      <c r="G56" s="5"/>
      <c r="H56" s="5"/>
      <c r="I56" s="5"/>
      <c r="J56" s="77"/>
    </row>
    <row r="57" spans="2:10" x14ac:dyDescent="0.25">
      <c r="B57" s="5"/>
      <c r="C57" s="75"/>
      <c r="D57" s="5"/>
      <c r="E57" s="5"/>
      <c r="F57" s="5"/>
      <c r="G57" s="5"/>
      <c r="H57" s="5"/>
      <c r="I57" s="5"/>
      <c r="J57" s="77"/>
    </row>
    <row r="58" spans="2:10" x14ac:dyDescent="0.25">
      <c r="B58" s="5"/>
      <c r="C58" s="75"/>
      <c r="D58" s="5"/>
      <c r="E58" s="5"/>
      <c r="F58" s="5"/>
      <c r="G58" s="5"/>
      <c r="H58" s="5"/>
      <c r="I58" s="5"/>
      <c r="J58" s="77"/>
    </row>
    <row r="59" spans="2:10" x14ac:dyDescent="0.25">
      <c r="B59" s="5"/>
      <c r="C59" s="75"/>
      <c r="D59" s="5"/>
      <c r="E59" s="5"/>
      <c r="F59" s="5"/>
      <c r="G59" s="5"/>
      <c r="H59" s="5"/>
      <c r="I59" s="5"/>
      <c r="J59" s="77"/>
    </row>
    <row r="60" spans="2:10" x14ac:dyDescent="0.25">
      <c r="B60" s="5"/>
      <c r="C60" s="75"/>
      <c r="D60" s="5"/>
      <c r="E60" s="5"/>
      <c r="F60" s="5"/>
      <c r="G60" s="5"/>
      <c r="H60" s="5"/>
      <c r="I60" s="5"/>
      <c r="J60" s="77"/>
    </row>
    <row r="61" spans="2:10" x14ac:dyDescent="0.25">
      <c r="B61" s="5"/>
      <c r="C61" s="75"/>
      <c r="D61" s="5"/>
      <c r="E61" s="5"/>
      <c r="F61" s="5"/>
      <c r="G61" s="5"/>
      <c r="H61" s="5"/>
      <c r="I61" s="5"/>
      <c r="J61" s="77"/>
    </row>
    <row r="62" spans="2:10" x14ac:dyDescent="0.25">
      <c r="B62" s="5"/>
      <c r="C62" s="75"/>
      <c r="D62" s="5"/>
      <c r="E62" s="5"/>
      <c r="F62" s="5"/>
      <c r="G62" s="5"/>
      <c r="H62" s="5"/>
      <c r="I62" s="5"/>
      <c r="J62" s="77"/>
    </row>
    <row r="63" spans="2:10" x14ac:dyDescent="0.25">
      <c r="B63" s="5"/>
      <c r="C63" s="75"/>
      <c r="D63" s="5"/>
      <c r="E63" s="5"/>
      <c r="F63" s="5"/>
      <c r="G63" s="5"/>
      <c r="H63" s="5"/>
      <c r="I63" s="5"/>
      <c r="J63" s="77"/>
    </row>
    <row r="64" spans="2:10" x14ac:dyDescent="0.25">
      <c r="B64" s="5"/>
      <c r="C64" s="75"/>
      <c r="D64" s="5"/>
      <c r="E64" s="5"/>
      <c r="F64" s="5"/>
      <c r="G64" s="5"/>
      <c r="H64" s="5"/>
      <c r="I64" s="5"/>
      <c r="J64" s="77"/>
    </row>
    <row r="65" spans="2:10" x14ac:dyDescent="0.25">
      <c r="B65" s="5"/>
      <c r="C65" s="75"/>
      <c r="D65" s="5"/>
      <c r="E65" s="5"/>
      <c r="F65" s="5"/>
      <c r="G65" s="5"/>
      <c r="H65" s="5"/>
      <c r="I65" s="5"/>
      <c r="J65" s="77"/>
    </row>
    <row r="66" spans="2:10" x14ac:dyDescent="0.25">
      <c r="B66" s="5"/>
      <c r="C66" s="75"/>
      <c r="D66" s="5"/>
      <c r="E66" s="5"/>
      <c r="F66" s="5"/>
      <c r="G66" s="5"/>
      <c r="H66" s="5"/>
      <c r="I66" s="5"/>
      <c r="J66" s="77"/>
    </row>
    <row r="67" spans="2:10" x14ac:dyDescent="0.25">
      <c r="B67" s="5"/>
      <c r="C67" s="75"/>
      <c r="D67" s="5"/>
      <c r="E67" s="5"/>
      <c r="F67" s="5"/>
      <c r="G67" s="5"/>
      <c r="H67" s="5"/>
      <c r="I67" s="5"/>
      <c r="J67" s="77"/>
    </row>
    <row r="68" spans="2:10" x14ac:dyDescent="0.25">
      <c r="B68" s="5"/>
      <c r="C68" s="75"/>
      <c r="D68" s="5"/>
      <c r="E68" s="5"/>
      <c r="F68" s="5"/>
      <c r="G68" s="5"/>
      <c r="H68" s="5"/>
      <c r="I68" s="5"/>
      <c r="J68" s="77"/>
    </row>
    <row r="69" spans="2:10" x14ac:dyDescent="0.25">
      <c r="B69" s="5"/>
      <c r="C69" s="75"/>
      <c r="D69" s="5"/>
      <c r="E69" s="5"/>
      <c r="F69" s="5"/>
      <c r="G69" s="5"/>
      <c r="H69" s="5"/>
      <c r="I69" s="5"/>
      <c r="J69" s="77"/>
    </row>
    <row r="70" spans="2:10" x14ac:dyDescent="0.25">
      <c r="B70" s="5"/>
      <c r="C70" s="75"/>
      <c r="D70" s="5"/>
      <c r="E70" s="5"/>
      <c r="F70" s="5"/>
      <c r="G70" s="5"/>
      <c r="H70" s="5"/>
      <c r="I70" s="5"/>
      <c r="J70" s="77"/>
    </row>
    <row r="71" spans="2:10" x14ac:dyDescent="0.25">
      <c r="B71" s="5"/>
      <c r="C71" s="75"/>
      <c r="D71" s="5"/>
      <c r="E71" s="5"/>
      <c r="F71" s="5"/>
      <c r="G71" s="5"/>
      <c r="H71" s="5"/>
      <c r="I71" s="5"/>
      <c r="J71" s="77"/>
    </row>
    <row r="72" spans="2:10" x14ac:dyDescent="0.25">
      <c r="B72" s="5"/>
      <c r="C72" s="75"/>
      <c r="D72" s="5"/>
      <c r="E72" s="5"/>
      <c r="F72" s="5"/>
      <c r="G72" s="5"/>
      <c r="H72" s="5"/>
      <c r="I72" s="5"/>
      <c r="J72" s="77"/>
    </row>
    <row r="73" spans="2:10" x14ac:dyDescent="0.25">
      <c r="B73" s="5"/>
      <c r="C73" s="75"/>
      <c r="D73" s="5"/>
      <c r="E73" s="5"/>
      <c r="F73" s="5"/>
      <c r="G73" s="5"/>
      <c r="H73" s="5"/>
      <c r="I73" s="5"/>
      <c r="J73" s="77"/>
    </row>
    <row r="74" spans="2:10" x14ac:dyDescent="0.25">
      <c r="B74" s="5"/>
      <c r="C74" s="75"/>
      <c r="D74" s="5"/>
      <c r="E74" s="5"/>
      <c r="F74" s="5"/>
      <c r="G74" s="5"/>
      <c r="H74" s="5"/>
      <c r="I74" s="5"/>
      <c r="J74" s="77"/>
    </row>
    <row r="75" spans="2:10" x14ac:dyDescent="0.25">
      <c r="B75" s="5"/>
      <c r="C75" s="75"/>
      <c r="D75" s="5"/>
      <c r="E75" s="5"/>
      <c r="F75" s="5"/>
      <c r="G75" s="5"/>
      <c r="H75" s="5"/>
      <c r="I75" s="5"/>
      <c r="J75" s="77"/>
    </row>
    <row r="76" spans="2:10" x14ac:dyDescent="0.25">
      <c r="B76" s="5"/>
      <c r="C76" s="75"/>
      <c r="D76" s="5"/>
      <c r="E76" s="5"/>
      <c r="F76" s="5"/>
      <c r="G76" s="5"/>
      <c r="H76" s="5"/>
      <c r="I76" s="5"/>
      <c r="J76" s="77"/>
    </row>
    <row r="77" spans="2:10" x14ac:dyDescent="0.25">
      <c r="B77" s="5"/>
      <c r="C77" s="75"/>
      <c r="D77" s="5"/>
      <c r="E77" s="5"/>
      <c r="F77" s="5"/>
      <c r="G77" s="5"/>
      <c r="H77" s="5"/>
      <c r="I77" s="5"/>
      <c r="J77" s="77"/>
    </row>
    <row r="78" spans="2:10" x14ac:dyDescent="0.25">
      <c r="B78" s="5"/>
      <c r="C78" s="75"/>
      <c r="D78" s="5"/>
      <c r="E78" s="5"/>
      <c r="F78" s="5"/>
      <c r="G78" s="5"/>
      <c r="H78" s="5"/>
      <c r="I78" s="5"/>
      <c r="J78" s="77"/>
    </row>
    <row r="79" spans="2:10" x14ac:dyDescent="0.25">
      <c r="B79" s="5"/>
      <c r="C79" s="75"/>
      <c r="D79" s="5"/>
      <c r="E79" s="5"/>
      <c r="F79" s="5"/>
      <c r="G79" s="5"/>
      <c r="H79" s="5"/>
      <c r="I79" s="5"/>
      <c r="J79" s="77"/>
    </row>
    <row r="80" spans="2:10" x14ac:dyDescent="0.25">
      <c r="B80" s="5"/>
      <c r="C80" s="75"/>
      <c r="D80" s="5"/>
      <c r="E80" s="5"/>
      <c r="F80" s="5"/>
      <c r="G80" s="5"/>
      <c r="H80" s="5"/>
      <c r="I80" s="5"/>
      <c r="J80" s="77"/>
    </row>
    <row r="81" spans="2:10" x14ac:dyDescent="0.25">
      <c r="B81" s="5"/>
      <c r="C81" s="75"/>
      <c r="D81" s="5"/>
      <c r="E81" s="5"/>
      <c r="F81" s="5"/>
      <c r="G81" s="5"/>
      <c r="H81" s="5"/>
      <c r="I81" s="5"/>
      <c r="J81" s="77"/>
    </row>
    <row r="82" spans="2:10" x14ac:dyDescent="0.25">
      <c r="B82" s="5"/>
      <c r="C82" s="75"/>
      <c r="D82" s="5"/>
      <c r="E82" s="5"/>
      <c r="F82" s="5"/>
      <c r="G82" s="5"/>
      <c r="H82" s="5"/>
      <c r="I82" s="5"/>
      <c r="J82" s="77"/>
    </row>
    <row r="83" spans="2:10" x14ac:dyDescent="0.25">
      <c r="B83" s="5"/>
      <c r="C83" s="75"/>
      <c r="D83" s="5"/>
      <c r="E83" s="5"/>
      <c r="F83" s="5"/>
      <c r="G83" s="5"/>
      <c r="H83" s="5"/>
      <c r="I83" s="5"/>
      <c r="J83" s="77"/>
    </row>
    <row r="84" spans="2:10" x14ac:dyDescent="0.25">
      <c r="B84" s="5"/>
      <c r="C84" s="75"/>
      <c r="D84" s="5"/>
      <c r="E84" s="5"/>
      <c r="F84" s="5"/>
      <c r="G84" s="5"/>
      <c r="H84" s="5"/>
      <c r="I84" s="5"/>
      <c r="J84" s="77"/>
    </row>
    <row r="85" spans="2:10" x14ac:dyDescent="0.25">
      <c r="B85" s="5"/>
      <c r="C85" s="75"/>
      <c r="D85" s="5"/>
      <c r="E85" s="5"/>
      <c r="F85" s="5"/>
      <c r="G85" s="5"/>
      <c r="H85" s="5"/>
      <c r="I85" s="5"/>
      <c r="J85" s="77"/>
    </row>
    <row r="86" spans="2:10" x14ac:dyDescent="0.25">
      <c r="B86" s="5"/>
      <c r="C86" s="75"/>
      <c r="D86" s="5"/>
      <c r="E86" s="5"/>
      <c r="F86" s="5"/>
      <c r="G86" s="5"/>
      <c r="H86" s="5"/>
      <c r="I86" s="5"/>
      <c r="J86" s="77"/>
    </row>
    <row r="87" spans="2:10" x14ac:dyDescent="0.25">
      <c r="B87" s="5"/>
      <c r="C87" s="75"/>
      <c r="D87" s="5"/>
      <c r="E87" s="5"/>
      <c r="F87" s="5"/>
      <c r="G87" s="5"/>
      <c r="H87" s="5"/>
      <c r="I87" s="5"/>
      <c r="J87" s="77"/>
    </row>
    <row r="88" spans="2:10" x14ac:dyDescent="0.25">
      <c r="B88" s="5"/>
      <c r="C88" s="75"/>
      <c r="D88" s="5"/>
      <c r="E88" s="5"/>
      <c r="F88" s="5"/>
      <c r="G88" s="5"/>
      <c r="H88" s="5"/>
      <c r="I88" s="5"/>
      <c r="J88" s="77"/>
    </row>
    <row r="89" spans="2:10" x14ac:dyDescent="0.25">
      <c r="B89" s="5"/>
      <c r="C89" s="75"/>
      <c r="D89" s="5"/>
      <c r="E89" s="5"/>
      <c r="F89" s="5"/>
      <c r="G89" s="5"/>
      <c r="H89" s="5"/>
      <c r="I89" s="5"/>
      <c r="J89" s="77"/>
    </row>
    <row r="90" spans="2:10" x14ac:dyDescent="0.25">
      <c r="B90" s="5"/>
      <c r="C90" s="75"/>
      <c r="D90" s="5"/>
      <c r="E90" s="5"/>
      <c r="F90" s="5"/>
      <c r="G90" s="5"/>
      <c r="H90" s="5"/>
      <c r="I90" s="5"/>
      <c r="J90" s="77"/>
    </row>
    <row r="91" spans="2:10" x14ac:dyDescent="0.25">
      <c r="B91" s="5"/>
      <c r="C91" s="75"/>
      <c r="D91" s="5"/>
      <c r="E91" s="5"/>
      <c r="F91" s="5"/>
      <c r="G91" s="5"/>
      <c r="H91" s="5"/>
      <c r="I91" s="5"/>
      <c r="J91" s="77"/>
    </row>
    <row r="92" spans="2:10" x14ac:dyDescent="0.25">
      <c r="B92" s="5"/>
      <c r="C92" s="75"/>
      <c r="D92" s="5"/>
      <c r="E92" s="5"/>
      <c r="F92" s="5"/>
      <c r="G92" s="5"/>
      <c r="H92" s="5"/>
      <c r="I92" s="5"/>
      <c r="J92" s="77"/>
    </row>
    <row r="93" spans="2:10" x14ac:dyDescent="0.25">
      <c r="B93" s="5"/>
      <c r="C93" s="75"/>
      <c r="D93" s="5"/>
      <c r="E93" s="5"/>
      <c r="F93" s="5"/>
      <c r="G93" s="5"/>
      <c r="H93" s="5"/>
      <c r="I93" s="5"/>
      <c r="J93" s="77"/>
    </row>
    <row r="94" spans="2:10" x14ac:dyDescent="0.25">
      <c r="B94" s="5"/>
      <c r="C94" s="75"/>
      <c r="D94" s="5"/>
      <c r="E94" s="5"/>
      <c r="F94" s="5"/>
      <c r="G94" s="5"/>
      <c r="H94" s="5"/>
      <c r="I94" s="5"/>
      <c r="J94" s="77"/>
    </row>
    <row r="95" spans="2:10" x14ac:dyDescent="0.25">
      <c r="B95" s="5"/>
      <c r="C95" s="75"/>
      <c r="D95" s="5"/>
      <c r="E95" s="5"/>
      <c r="F95" s="5"/>
      <c r="G95" s="5"/>
      <c r="H95" s="5"/>
      <c r="I95" s="5"/>
      <c r="J95" s="77"/>
    </row>
    <row r="96" spans="2:10" x14ac:dyDescent="0.25">
      <c r="B96" s="5"/>
      <c r="C96" s="75"/>
      <c r="D96" s="5"/>
      <c r="E96" s="5"/>
      <c r="F96" s="5"/>
      <c r="G96" s="5"/>
      <c r="H96" s="5"/>
      <c r="I96" s="5"/>
      <c r="J96" s="77"/>
    </row>
    <row r="97" spans="2:10" x14ac:dyDescent="0.25">
      <c r="B97" s="5"/>
      <c r="C97" s="75"/>
      <c r="D97" s="5"/>
      <c r="E97" s="5"/>
      <c r="F97" s="5"/>
      <c r="G97" s="5"/>
      <c r="H97" s="5"/>
      <c r="I97" s="5"/>
      <c r="J97" s="77"/>
    </row>
    <row r="98" spans="2:10" x14ac:dyDescent="0.25">
      <c r="B98" s="5"/>
      <c r="C98" s="75"/>
      <c r="D98" s="5"/>
      <c r="E98" s="5"/>
      <c r="F98" s="5"/>
      <c r="G98" s="5"/>
      <c r="H98" s="5"/>
      <c r="I98" s="5"/>
      <c r="J98" s="77"/>
    </row>
    <row r="99" spans="2:10" x14ac:dyDescent="0.25">
      <c r="B99" s="5"/>
      <c r="C99" s="75"/>
      <c r="D99" s="5"/>
      <c r="E99" s="5"/>
      <c r="F99" s="5"/>
      <c r="G99" s="5"/>
      <c r="H99" s="5"/>
      <c r="I99" s="5"/>
      <c r="J99" s="77"/>
    </row>
    <row r="100" spans="2:10" x14ac:dyDescent="0.25">
      <c r="B100" s="5"/>
      <c r="C100" s="75"/>
      <c r="D100" s="5"/>
      <c r="E100" s="5"/>
      <c r="F100" s="5"/>
      <c r="G100" s="5"/>
      <c r="H100" s="5"/>
      <c r="I100" s="5"/>
      <c r="J100" s="77"/>
    </row>
    <row r="101" spans="2:10" x14ac:dyDescent="0.25">
      <c r="B101" s="5"/>
      <c r="C101" s="75"/>
      <c r="D101" s="5"/>
      <c r="E101" s="5"/>
      <c r="F101" s="5"/>
      <c r="G101" s="5"/>
      <c r="H101" s="5"/>
      <c r="I101" s="5"/>
      <c r="J101" s="77"/>
    </row>
    <row r="102" spans="2:10" x14ac:dyDescent="0.25">
      <c r="B102" s="5"/>
      <c r="C102" s="75"/>
      <c r="D102" s="5"/>
      <c r="E102" s="5"/>
      <c r="F102" s="5"/>
      <c r="G102" s="5"/>
      <c r="H102" s="5"/>
      <c r="I102" s="5"/>
      <c r="J102" s="77"/>
    </row>
    <row r="103" spans="2:10" x14ac:dyDescent="0.25">
      <c r="B103" s="5"/>
      <c r="C103" s="75"/>
      <c r="D103" s="5"/>
      <c r="E103" s="5"/>
      <c r="F103" s="5"/>
      <c r="G103" s="5"/>
      <c r="H103" s="5"/>
      <c r="I103" s="5"/>
      <c r="J103" s="77"/>
    </row>
    <row r="104" spans="2:10" x14ac:dyDescent="0.25">
      <c r="B104" s="5"/>
      <c r="C104" s="75"/>
      <c r="D104" s="5"/>
      <c r="E104" s="5"/>
      <c r="F104" s="5"/>
      <c r="G104" s="5"/>
      <c r="H104" s="5"/>
      <c r="I104" s="5"/>
      <c r="J104" s="77"/>
    </row>
    <row r="105" spans="2:10" x14ac:dyDescent="0.25">
      <c r="B105" s="5"/>
      <c r="C105" s="75"/>
      <c r="D105" s="5"/>
      <c r="E105" s="5"/>
      <c r="F105" s="5"/>
      <c r="G105" s="5"/>
      <c r="H105" s="5"/>
      <c r="I105" s="5"/>
      <c r="J105" s="77"/>
    </row>
    <row r="106" spans="2:10" x14ac:dyDescent="0.25">
      <c r="B106" s="5"/>
      <c r="C106" s="75"/>
      <c r="D106" s="5"/>
      <c r="E106" s="5"/>
      <c r="F106" s="5"/>
      <c r="G106" s="5"/>
      <c r="H106" s="5"/>
      <c r="I106" s="5"/>
      <c r="J106" s="77"/>
    </row>
    <row r="107" spans="2:10" x14ac:dyDescent="0.25">
      <c r="B107" s="5"/>
      <c r="C107" s="75"/>
      <c r="D107" s="5"/>
      <c r="E107" s="5"/>
      <c r="F107" s="5"/>
      <c r="G107" s="5"/>
      <c r="H107" s="5"/>
      <c r="I107" s="5"/>
      <c r="J107" s="77"/>
    </row>
    <row r="108" spans="2:10" x14ac:dyDescent="0.25">
      <c r="B108" s="5"/>
      <c r="C108" s="75"/>
      <c r="D108" s="5"/>
      <c r="E108" s="5"/>
      <c r="F108" s="5"/>
      <c r="G108" s="5"/>
      <c r="H108" s="5"/>
      <c r="I108" s="5"/>
      <c r="J108" s="77"/>
    </row>
    <row r="109" spans="2:10" x14ac:dyDescent="0.25">
      <c r="B109" s="5"/>
      <c r="C109" s="75"/>
      <c r="D109" s="5"/>
      <c r="E109" s="5"/>
      <c r="F109" s="5"/>
      <c r="G109" s="5"/>
      <c r="H109" s="5"/>
      <c r="I109" s="5"/>
      <c r="J109" s="77"/>
    </row>
    <row r="110" spans="2:10" x14ac:dyDescent="0.25">
      <c r="B110" s="5"/>
      <c r="C110" s="75"/>
      <c r="D110" s="5"/>
      <c r="E110" s="5"/>
      <c r="F110" s="5"/>
      <c r="G110" s="5"/>
      <c r="H110" s="5"/>
      <c r="I110" s="5"/>
      <c r="J110" s="77"/>
    </row>
    <row r="111" spans="2:10" x14ac:dyDescent="0.25">
      <c r="B111" s="5"/>
      <c r="C111" s="75"/>
      <c r="D111" s="5"/>
      <c r="E111" s="5"/>
      <c r="F111" s="5"/>
      <c r="G111" s="5"/>
      <c r="H111" s="5"/>
      <c r="I111" s="5"/>
      <c r="J111" s="77"/>
    </row>
    <row r="112" spans="2:10" x14ac:dyDescent="0.25">
      <c r="B112" s="5"/>
      <c r="C112" s="75"/>
      <c r="D112" s="5"/>
      <c r="E112" s="5"/>
      <c r="F112" s="5"/>
      <c r="G112" s="5"/>
      <c r="H112" s="5"/>
      <c r="I112" s="5"/>
      <c r="J112" s="77"/>
    </row>
    <row r="113" spans="2:10" x14ac:dyDescent="0.25">
      <c r="B113" s="5"/>
      <c r="C113" s="75"/>
      <c r="D113" s="5"/>
      <c r="E113" s="5"/>
      <c r="F113" s="5"/>
      <c r="G113" s="5"/>
      <c r="H113" s="5"/>
      <c r="I113" s="5"/>
      <c r="J113" s="77"/>
    </row>
    <row r="114" spans="2:10" x14ac:dyDescent="0.25">
      <c r="B114" s="5"/>
      <c r="C114" s="75"/>
      <c r="D114" s="5"/>
      <c r="E114" s="5"/>
      <c r="F114" s="5"/>
      <c r="G114" s="5"/>
      <c r="H114" s="5"/>
      <c r="I114" s="5"/>
      <c r="J114" s="77"/>
    </row>
    <row r="115" spans="2:10" x14ac:dyDescent="0.25">
      <c r="B115" s="5"/>
      <c r="C115" s="75"/>
      <c r="D115" s="5"/>
      <c r="E115" s="5"/>
      <c r="F115" s="5"/>
      <c r="G115" s="5"/>
      <c r="H115" s="5"/>
      <c r="I115" s="5"/>
      <c r="J115" s="77"/>
    </row>
    <row r="116" spans="2:10" x14ac:dyDescent="0.25">
      <c r="B116" s="5"/>
      <c r="C116" s="75"/>
      <c r="D116" s="5"/>
      <c r="E116" s="5"/>
      <c r="F116" s="5"/>
      <c r="G116" s="5"/>
      <c r="H116" s="5"/>
      <c r="I116" s="5"/>
      <c r="J116" s="77"/>
    </row>
    <row r="117" spans="2:10" x14ac:dyDescent="0.25">
      <c r="B117" s="5"/>
      <c r="C117" s="75"/>
      <c r="D117" s="5"/>
      <c r="E117" s="5"/>
      <c r="F117" s="5"/>
      <c r="G117" s="5"/>
      <c r="H117" s="5"/>
      <c r="I117" s="5"/>
      <c r="J117" s="77"/>
    </row>
    <row r="118" spans="2:10" x14ac:dyDescent="0.25">
      <c r="B118" s="5"/>
      <c r="C118" s="75"/>
      <c r="D118" s="5"/>
      <c r="E118" s="5"/>
      <c r="F118" s="5"/>
      <c r="G118" s="5"/>
      <c r="H118" s="5"/>
      <c r="I118" s="5"/>
      <c r="J118" s="77"/>
    </row>
    <row r="119" spans="2:10" x14ac:dyDescent="0.25">
      <c r="B119" s="5"/>
      <c r="C119" s="75"/>
      <c r="D119" s="5"/>
      <c r="E119" s="5"/>
      <c r="F119" s="5"/>
      <c r="G119" s="5"/>
      <c r="H119" s="5"/>
      <c r="I119" s="5"/>
      <c r="J119" s="77"/>
    </row>
    <row r="120" spans="2:10" x14ac:dyDescent="0.25">
      <c r="B120" s="5"/>
      <c r="C120" s="75"/>
      <c r="D120" s="5"/>
      <c r="E120" s="5"/>
      <c r="F120" s="5"/>
      <c r="G120" s="5"/>
      <c r="H120" s="5"/>
      <c r="I120" s="5"/>
      <c r="J120" s="77"/>
    </row>
    <row r="121" spans="2:10" x14ac:dyDescent="0.25">
      <c r="B121" s="5"/>
      <c r="C121" s="75"/>
      <c r="D121" s="5"/>
      <c r="E121" s="5"/>
      <c r="F121" s="5"/>
      <c r="G121" s="5"/>
      <c r="H121" s="5"/>
      <c r="I121" s="5"/>
      <c r="J121" s="77"/>
    </row>
    <row r="122" spans="2:10" x14ac:dyDescent="0.25">
      <c r="B122" s="5"/>
      <c r="C122" s="75"/>
      <c r="D122" s="5"/>
      <c r="E122" s="5"/>
      <c r="F122" s="5"/>
      <c r="G122" s="5"/>
      <c r="H122" s="5"/>
      <c r="I122" s="5"/>
      <c r="J122" s="77"/>
    </row>
    <row r="123" spans="2:10" x14ac:dyDescent="0.25">
      <c r="B123" s="5"/>
      <c r="C123" s="75"/>
      <c r="D123" s="5"/>
      <c r="E123" s="5"/>
      <c r="F123" s="5"/>
      <c r="G123" s="5"/>
      <c r="H123" s="5"/>
      <c r="I123" s="5"/>
      <c r="J123" s="77"/>
    </row>
    <row r="124" spans="2:10" x14ac:dyDescent="0.25">
      <c r="B124" s="5"/>
      <c r="C124" s="75"/>
      <c r="D124" s="5"/>
      <c r="E124" s="5"/>
      <c r="F124" s="5"/>
      <c r="G124" s="5"/>
      <c r="H124" s="5"/>
      <c r="I124" s="5"/>
      <c r="J124" s="77"/>
    </row>
    <row r="125" spans="2:10" x14ac:dyDescent="0.25">
      <c r="B125" s="5"/>
      <c r="C125" s="75"/>
      <c r="D125" s="5"/>
      <c r="E125" s="5"/>
      <c r="F125" s="5"/>
      <c r="G125" s="5"/>
      <c r="H125" s="5"/>
      <c r="I125" s="5"/>
      <c r="J125" s="77"/>
    </row>
    <row r="126" spans="2:10" x14ac:dyDescent="0.25">
      <c r="B126" s="5"/>
      <c r="C126" s="75"/>
      <c r="D126" s="5"/>
      <c r="E126" s="5"/>
      <c r="F126" s="5"/>
      <c r="G126" s="5"/>
      <c r="H126" s="5"/>
      <c r="I126" s="5"/>
      <c r="J126" s="77"/>
    </row>
    <row r="127" spans="2:10" x14ac:dyDescent="0.25">
      <c r="B127" s="5"/>
      <c r="C127" s="75"/>
      <c r="D127" s="5"/>
      <c r="E127" s="5"/>
      <c r="F127" s="5"/>
      <c r="G127" s="5"/>
      <c r="H127" s="5"/>
      <c r="I127" s="5"/>
      <c r="J127" s="77"/>
    </row>
    <row r="128" spans="2:10" x14ac:dyDescent="0.25">
      <c r="B128" s="5"/>
      <c r="C128" s="75"/>
      <c r="D128" s="5"/>
      <c r="E128" s="5"/>
      <c r="F128" s="5"/>
      <c r="G128" s="5"/>
      <c r="H128" s="5"/>
      <c r="I128" s="5"/>
      <c r="J128" s="77"/>
    </row>
    <row r="129" spans="2:10" x14ac:dyDescent="0.25">
      <c r="B129" s="5"/>
      <c r="C129" s="75"/>
      <c r="D129" s="5"/>
      <c r="E129" s="5"/>
      <c r="F129" s="5"/>
      <c r="G129" s="5"/>
      <c r="H129" s="5"/>
      <c r="I129" s="5"/>
      <c r="J129" s="77"/>
    </row>
    <row r="130" spans="2:10" x14ac:dyDescent="0.25">
      <c r="B130" s="5"/>
      <c r="C130" s="75"/>
      <c r="D130" s="5"/>
      <c r="E130" s="5"/>
      <c r="F130" s="5"/>
      <c r="G130" s="5"/>
      <c r="H130" s="5"/>
      <c r="I130" s="5"/>
      <c r="J130" s="77"/>
    </row>
    <row r="131" spans="2:10" x14ac:dyDescent="0.25">
      <c r="B131" s="5"/>
      <c r="C131" s="75"/>
      <c r="D131" s="5"/>
      <c r="E131" s="5"/>
      <c r="F131" s="5"/>
      <c r="G131" s="5"/>
      <c r="H131" s="5"/>
      <c r="I131" s="5"/>
      <c r="J131" s="77"/>
    </row>
    <row r="132" spans="2:10" x14ac:dyDescent="0.25">
      <c r="B132" s="5"/>
      <c r="C132" s="75"/>
      <c r="D132" s="5"/>
      <c r="E132" s="5"/>
      <c r="F132" s="5"/>
      <c r="G132" s="5"/>
      <c r="H132" s="5"/>
      <c r="I132" s="5"/>
      <c r="J132" s="77"/>
    </row>
    <row r="133" spans="2:10" x14ac:dyDescent="0.25">
      <c r="B133" s="5"/>
      <c r="C133" s="75"/>
      <c r="D133" s="5"/>
      <c r="E133" s="5"/>
      <c r="F133" s="5"/>
      <c r="G133" s="5"/>
      <c r="H133" s="5"/>
      <c r="I133" s="5"/>
      <c r="J133" s="77"/>
    </row>
    <row r="134" spans="2:10" x14ac:dyDescent="0.25">
      <c r="B134" s="5"/>
      <c r="C134" s="75"/>
      <c r="D134" s="5"/>
      <c r="E134" s="5"/>
      <c r="F134" s="5"/>
      <c r="G134" s="5"/>
      <c r="H134" s="5"/>
      <c r="I134" s="5"/>
      <c r="J134" s="77"/>
    </row>
    <row r="135" spans="2:10" x14ac:dyDescent="0.25">
      <c r="B135" s="5"/>
      <c r="C135" s="75"/>
      <c r="D135" s="5"/>
      <c r="E135" s="5"/>
      <c r="F135" s="5"/>
      <c r="G135" s="5"/>
      <c r="H135" s="5"/>
      <c r="I135" s="5"/>
      <c r="J135" s="77"/>
    </row>
    <row r="136" spans="2:10" x14ac:dyDescent="0.25">
      <c r="B136" s="5"/>
      <c r="C136" s="75"/>
      <c r="D136" s="5"/>
      <c r="E136" s="5"/>
      <c r="F136" s="5"/>
      <c r="G136" s="5"/>
      <c r="H136" s="5"/>
      <c r="I136" s="5"/>
      <c r="J136" s="77"/>
    </row>
    <row r="137" spans="2:10" x14ac:dyDescent="0.25">
      <c r="B137" s="5"/>
      <c r="C137" s="75"/>
      <c r="D137" s="5"/>
      <c r="E137" s="5"/>
      <c r="F137" s="5"/>
      <c r="G137" s="5"/>
      <c r="H137" s="5"/>
      <c r="I137" s="5"/>
      <c r="J137" s="77"/>
    </row>
    <row r="138" spans="2:10" x14ac:dyDescent="0.25">
      <c r="B138" s="5"/>
      <c r="C138" s="75"/>
      <c r="D138" s="5"/>
      <c r="E138" s="5"/>
      <c r="F138" s="5"/>
      <c r="G138" s="5"/>
      <c r="H138" s="5"/>
      <c r="I138" s="5"/>
      <c r="J138" s="77"/>
    </row>
    <row r="139" spans="2:10" x14ac:dyDescent="0.25">
      <c r="B139" s="5"/>
      <c r="C139" s="75"/>
      <c r="D139" s="5"/>
      <c r="E139" s="5"/>
      <c r="F139" s="5"/>
      <c r="G139" s="5"/>
      <c r="H139" s="5"/>
      <c r="I139" s="5"/>
      <c r="J139" s="77"/>
    </row>
    <row r="140" spans="2:10" x14ac:dyDescent="0.25">
      <c r="B140" s="5"/>
      <c r="C140" s="75"/>
      <c r="D140" s="5"/>
      <c r="E140" s="5"/>
      <c r="F140" s="5"/>
      <c r="G140" s="5"/>
      <c r="H140" s="5"/>
      <c r="I140" s="5"/>
      <c r="J140" s="77"/>
    </row>
    <row r="141" spans="2:10" x14ac:dyDescent="0.25">
      <c r="B141" s="5"/>
      <c r="C141" s="75"/>
      <c r="D141" s="5"/>
      <c r="E141" s="5"/>
      <c r="F141" s="5"/>
      <c r="G141" s="5"/>
      <c r="H141" s="5"/>
      <c r="I141" s="5"/>
      <c r="J141" s="77"/>
    </row>
    <row r="142" spans="2:10" x14ac:dyDescent="0.25">
      <c r="B142" s="5"/>
      <c r="C142" s="75"/>
      <c r="D142" s="5"/>
      <c r="E142" s="5"/>
      <c r="F142" s="5"/>
      <c r="G142" s="5"/>
      <c r="H142" s="5"/>
      <c r="I142" s="5"/>
      <c r="J142" s="77"/>
    </row>
    <row r="143" spans="2:10" x14ac:dyDescent="0.25">
      <c r="B143" s="5"/>
      <c r="C143" s="75"/>
      <c r="D143" s="5"/>
      <c r="E143" s="5"/>
      <c r="F143" s="5"/>
      <c r="G143" s="5"/>
      <c r="H143" s="5"/>
      <c r="I143" s="5"/>
      <c r="J143" s="77"/>
    </row>
    <row r="144" spans="2:10" x14ac:dyDescent="0.25">
      <c r="B144" s="5"/>
      <c r="C144" s="75"/>
      <c r="D144" s="5"/>
      <c r="E144" s="5"/>
      <c r="F144" s="5"/>
      <c r="G144" s="5"/>
      <c r="H144" s="5"/>
      <c r="I144" s="5"/>
      <c r="J144" s="77"/>
    </row>
    <row r="145" spans="2:10" x14ac:dyDescent="0.25">
      <c r="B145" s="5"/>
      <c r="C145" s="75"/>
      <c r="D145" s="5"/>
      <c r="E145" s="5"/>
      <c r="F145" s="5"/>
      <c r="G145" s="5"/>
      <c r="H145" s="5"/>
      <c r="I145" s="5"/>
      <c r="J145" s="77"/>
    </row>
    <row r="146" spans="2:10" x14ac:dyDescent="0.25">
      <c r="B146" s="5"/>
      <c r="C146" s="75"/>
      <c r="D146" s="5"/>
      <c r="E146" s="5"/>
      <c r="F146" s="5"/>
      <c r="G146" s="5"/>
      <c r="H146" s="5"/>
      <c r="I146" s="5"/>
      <c r="J146" s="77"/>
    </row>
    <row r="147" spans="2:10" x14ac:dyDescent="0.25">
      <c r="B147" s="5"/>
      <c r="C147" s="75"/>
      <c r="D147" s="5"/>
      <c r="E147" s="5"/>
      <c r="F147" s="5"/>
      <c r="G147" s="5"/>
      <c r="H147" s="5"/>
      <c r="I147" s="5"/>
      <c r="J147" s="77"/>
    </row>
    <row r="148" spans="2:10" x14ac:dyDescent="0.25">
      <c r="B148" s="5"/>
      <c r="C148" s="75"/>
      <c r="D148" s="5"/>
      <c r="E148" s="5"/>
      <c r="F148" s="5"/>
      <c r="G148" s="5"/>
      <c r="H148" s="5"/>
      <c r="I148" s="5"/>
      <c r="J148" s="77"/>
    </row>
    <row r="149" spans="2:10" x14ac:dyDescent="0.25">
      <c r="B149" s="5"/>
      <c r="C149" s="75"/>
      <c r="D149" s="5"/>
      <c r="E149" s="5"/>
      <c r="F149" s="5"/>
      <c r="G149" s="5"/>
      <c r="H149" s="5"/>
      <c r="I149" s="5"/>
      <c r="J149" s="77"/>
    </row>
    <row r="150" spans="2:10" x14ac:dyDescent="0.25">
      <c r="B150" s="5"/>
      <c r="C150" s="75"/>
      <c r="D150" s="5"/>
      <c r="E150" s="5"/>
      <c r="F150" s="5"/>
      <c r="G150" s="5"/>
      <c r="H150" s="5"/>
      <c r="I150" s="5"/>
      <c r="J150" s="77"/>
    </row>
    <row r="151" spans="2:10" x14ac:dyDescent="0.25">
      <c r="B151" s="5"/>
      <c r="C151" s="75"/>
      <c r="D151" s="5"/>
      <c r="E151" s="5"/>
      <c r="F151" s="5"/>
      <c r="G151" s="5"/>
      <c r="H151" s="5"/>
      <c r="I151" s="5"/>
      <c r="J151" s="77"/>
    </row>
    <row r="152" spans="2:10" x14ac:dyDescent="0.25">
      <c r="B152" s="5"/>
      <c r="C152" s="75"/>
      <c r="D152" s="5"/>
      <c r="E152" s="5"/>
      <c r="F152" s="5"/>
      <c r="G152" s="5"/>
      <c r="H152" s="5"/>
      <c r="I152" s="5"/>
      <c r="J152" s="77"/>
    </row>
    <row r="153" spans="2:10" x14ac:dyDescent="0.25">
      <c r="B153" s="5"/>
      <c r="C153" s="75"/>
      <c r="D153" s="5"/>
      <c r="E153" s="5"/>
      <c r="F153" s="5"/>
      <c r="G153" s="5"/>
      <c r="H153" s="5"/>
      <c r="I153" s="5"/>
      <c r="J153" s="77"/>
    </row>
    <row r="154" spans="2:10" x14ac:dyDescent="0.25">
      <c r="B154" s="5"/>
      <c r="C154" s="75"/>
      <c r="D154" s="5"/>
      <c r="E154" s="5"/>
      <c r="F154" s="5"/>
      <c r="G154" s="5"/>
      <c r="H154" s="5"/>
      <c r="I154" s="5"/>
      <c r="J154" s="77"/>
    </row>
    <row r="155" spans="2:10" x14ac:dyDescent="0.25">
      <c r="B155" s="5"/>
      <c r="C155" s="75"/>
      <c r="D155" s="5"/>
      <c r="E155" s="5"/>
      <c r="F155" s="5"/>
      <c r="G155" s="5"/>
      <c r="H155" s="5"/>
      <c r="I155" s="5"/>
      <c r="J155" s="77"/>
    </row>
    <row r="156" spans="2:10" x14ac:dyDescent="0.25">
      <c r="B156" s="5"/>
      <c r="C156" s="75"/>
      <c r="D156" s="5"/>
      <c r="E156" s="5"/>
      <c r="F156" s="5"/>
      <c r="G156" s="5"/>
      <c r="H156" s="5"/>
      <c r="I156" s="5"/>
      <c r="J156" s="77"/>
    </row>
    <row r="157" spans="2:10" x14ac:dyDescent="0.25">
      <c r="B157" s="5"/>
      <c r="C157" s="75"/>
      <c r="D157" s="5"/>
      <c r="E157" s="5"/>
      <c r="F157" s="5"/>
      <c r="G157" s="5"/>
      <c r="H157" s="5"/>
      <c r="I157" s="5"/>
      <c r="J157" s="77"/>
    </row>
    <row r="158" spans="2:10" x14ac:dyDescent="0.25">
      <c r="B158" s="5"/>
      <c r="C158" s="75"/>
      <c r="D158" s="5"/>
      <c r="E158" s="5"/>
      <c r="F158" s="5"/>
      <c r="G158" s="5"/>
      <c r="H158" s="5"/>
      <c r="I158" s="5"/>
      <c r="J158" s="77"/>
    </row>
    <row r="159" spans="2:10" x14ac:dyDescent="0.25">
      <c r="B159" s="5"/>
      <c r="C159" s="75"/>
      <c r="D159" s="5"/>
      <c r="E159" s="5"/>
      <c r="F159" s="5"/>
      <c r="G159" s="5"/>
      <c r="H159" s="5"/>
      <c r="I159" s="5"/>
      <c r="J159" s="77"/>
    </row>
    <row r="160" spans="2:10" x14ac:dyDescent="0.25">
      <c r="B160" s="5"/>
      <c r="C160" s="75"/>
      <c r="D160" s="5"/>
      <c r="E160" s="5"/>
      <c r="F160" s="5"/>
      <c r="G160" s="5"/>
      <c r="H160" s="5"/>
      <c r="I160" s="5"/>
      <c r="J160" s="77"/>
    </row>
    <row r="161" spans="2:10" x14ac:dyDescent="0.25">
      <c r="B161" s="5"/>
      <c r="C161" s="75"/>
      <c r="D161" s="5"/>
      <c r="E161" s="5"/>
      <c r="F161" s="5"/>
      <c r="G161" s="5"/>
      <c r="H161" s="5"/>
      <c r="I161" s="5"/>
      <c r="J161" s="77"/>
    </row>
    <row r="162" spans="2:10" x14ac:dyDescent="0.25">
      <c r="B162" s="5"/>
      <c r="C162" s="75"/>
      <c r="D162" s="5"/>
      <c r="E162" s="5"/>
      <c r="F162" s="5"/>
      <c r="G162" s="5"/>
      <c r="H162" s="5"/>
      <c r="I162" s="5"/>
      <c r="J162" s="77"/>
    </row>
    <row r="163" spans="2:10" x14ac:dyDescent="0.25">
      <c r="B163" s="5"/>
      <c r="C163" s="75"/>
      <c r="D163" s="5"/>
      <c r="E163" s="5"/>
      <c r="F163" s="5"/>
      <c r="G163" s="5"/>
      <c r="H163" s="5"/>
      <c r="I163" s="5"/>
      <c r="J163" s="77"/>
    </row>
    <row r="164" spans="2:10" x14ac:dyDescent="0.25">
      <c r="B164" s="5"/>
      <c r="C164" s="75"/>
      <c r="D164" s="5"/>
      <c r="E164" s="5"/>
      <c r="F164" s="5"/>
      <c r="G164" s="5"/>
      <c r="H164" s="5"/>
      <c r="I164" s="5"/>
      <c r="J164" s="77"/>
    </row>
    <row r="165" spans="2:10" x14ac:dyDescent="0.25">
      <c r="B165" s="5"/>
      <c r="C165" s="75"/>
      <c r="D165" s="5"/>
      <c r="E165" s="5"/>
      <c r="F165" s="5"/>
      <c r="G165" s="5"/>
      <c r="H165" s="5"/>
      <c r="I165" s="5"/>
      <c r="J165" s="77"/>
    </row>
    <row r="166" spans="2:10" x14ac:dyDescent="0.25">
      <c r="B166" s="5"/>
      <c r="C166" s="75"/>
      <c r="D166" s="5"/>
      <c r="E166" s="5"/>
      <c r="F166" s="5"/>
      <c r="G166" s="5"/>
      <c r="H166" s="5"/>
      <c r="I166" s="5"/>
      <c r="J166" s="77"/>
    </row>
    <row r="167" spans="2:10" x14ac:dyDescent="0.25">
      <c r="B167" s="5"/>
      <c r="C167" s="75"/>
      <c r="D167" s="5"/>
      <c r="E167" s="5"/>
      <c r="F167" s="5"/>
      <c r="G167" s="5"/>
      <c r="H167" s="5"/>
      <c r="I167" s="5"/>
      <c r="J167" s="77"/>
    </row>
    <row r="168" spans="2:10" x14ac:dyDescent="0.25">
      <c r="B168" s="5"/>
      <c r="C168" s="75"/>
      <c r="D168" s="5"/>
      <c r="E168" s="5"/>
      <c r="F168" s="5"/>
      <c r="G168" s="5"/>
      <c r="H168" s="5"/>
      <c r="I168" s="5"/>
      <c r="J168" s="77"/>
    </row>
    <row r="169" spans="2:10" x14ac:dyDescent="0.25">
      <c r="B169" s="5"/>
      <c r="C169" s="75"/>
      <c r="D169" s="5"/>
      <c r="E169" s="5"/>
      <c r="F169" s="5"/>
      <c r="G169" s="5"/>
      <c r="H169" s="5"/>
      <c r="I169" s="5"/>
      <c r="J169" s="77"/>
    </row>
    <row r="170" spans="2:10" x14ac:dyDescent="0.25">
      <c r="B170" s="5"/>
      <c r="C170" s="75"/>
      <c r="D170" s="5"/>
      <c r="E170" s="5"/>
      <c r="F170" s="5"/>
      <c r="G170" s="5"/>
      <c r="H170" s="5"/>
      <c r="I170" s="5"/>
      <c r="J170" s="77"/>
    </row>
    <row r="171" spans="2:10" x14ac:dyDescent="0.25">
      <c r="B171" s="5"/>
      <c r="C171" s="75"/>
      <c r="D171" s="5"/>
      <c r="E171" s="5"/>
      <c r="F171" s="5"/>
      <c r="G171" s="5"/>
      <c r="H171" s="5"/>
      <c r="I171" s="5"/>
      <c r="J171" s="77"/>
    </row>
    <row r="172" spans="2:10" x14ac:dyDescent="0.25">
      <c r="B172" s="5"/>
      <c r="C172" s="75"/>
      <c r="D172" s="5"/>
      <c r="E172" s="5"/>
      <c r="F172" s="5"/>
      <c r="G172" s="5"/>
      <c r="H172" s="5"/>
      <c r="I172" s="5"/>
      <c r="J172" s="77"/>
    </row>
    <row r="173" spans="2:10" x14ac:dyDescent="0.25">
      <c r="B173" s="5"/>
      <c r="C173" s="75"/>
      <c r="D173" s="5"/>
      <c r="E173" s="5"/>
      <c r="F173" s="5"/>
      <c r="G173" s="5"/>
      <c r="H173" s="5"/>
      <c r="I173" s="5"/>
      <c r="J173" s="77"/>
    </row>
    <row r="174" spans="2:10" x14ac:dyDescent="0.25">
      <c r="B174" s="5"/>
      <c r="C174" s="75"/>
      <c r="D174" s="5"/>
      <c r="E174" s="5"/>
      <c r="F174" s="5"/>
      <c r="G174" s="5"/>
      <c r="H174" s="5"/>
      <c r="I174" s="5"/>
      <c r="J174" s="77"/>
    </row>
    <row r="175" spans="2:10" x14ac:dyDescent="0.25">
      <c r="B175" s="5"/>
      <c r="C175" s="75"/>
      <c r="D175" s="5"/>
      <c r="E175" s="5"/>
      <c r="F175" s="5"/>
      <c r="G175" s="5"/>
      <c r="H175" s="5"/>
      <c r="I175" s="5"/>
      <c r="J175" s="77"/>
    </row>
    <row r="176" spans="2:10" x14ac:dyDescent="0.25">
      <c r="B176" s="5"/>
      <c r="C176" s="75"/>
      <c r="D176" s="5"/>
      <c r="E176" s="5"/>
      <c r="F176" s="5"/>
      <c r="G176" s="5"/>
      <c r="H176" s="5"/>
      <c r="I176" s="5"/>
      <c r="J176" s="77"/>
    </row>
    <row r="177" spans="2:10" x14ac:dyDescent="0.25">
      <c r="B177" s="5"/>
      <c r="C177" s="75"/>
      <c r="D177" s="5"/>
      <c r="E177" s="5"/>
      <c r="F177" s="5"/>
      <c r="G177" s="5"/>
      <c r="H177" s="5"/>
      <c r="I177" s="5"/>
      <c r="J177" s="77"/>
    </row>
    <row r="178" spans="2:10" x14ac:dyDescent="0.25">
      <c r="B178" s="5"/>
      <c r="C178" s="75"/>
      <c r="D178" s="5"/>
      <c r="E178" s="5"/>
      <c r="F178" s="5"/>
      <c r="G178" s="5"/>
      <c r="H178" s="5"/>
      <c r="I178" s="5"/>
      <c r="J178" s="77"/>
    </row>
    <row r="179" spans="2:10" x14ac:dyDescent="0.25">
      <c r="B179" s="5"/>
      <c r="C179" s="75"/>
      <c r="D179" s="5"/>
      <c r="E179" s="5"/>
      <c r="F179" s="5"/>
      <c r="G179" s="5"/>
      <c r="H179" s="5"/>
      <c r="I179" s="5"/>
      <c r="J179" s="77"/>
    </row>
    <row r="180" spans="2:10" x14ac:dyDescent="0.25">
      <c r="B180" s="5"/>
      <c r="C180" s="75"/>
      <c r="D180" s="5"/>
      <c r="E180" s="5"/>
      <c r="F180" s="5"/>
      <c r="G180" s="5"/>
      <c r="H180" s="5"/>
      <c r="I180" s="5"/>
      <c r="J180" s="77"/>
    </row>
    <row r="181" spans="2:10" x14ac:dyDescent="0.25">
      <c r="B181" s="5"/>
      <c r="C181" s="75"/>
      <c r="D181" s="5"/>
      <c r="E181" s="5"/>
      <c r="F181" s="5"/>
      <c r="G181" s="5"/>
      <c r="H181" s="5"/>
      <c r="I181" s="5"/>
      <c r="J181" s="77"/>
    </row>
    <row r="182" spans="2:10" x14ac:dyDescent="0.25">
      <c r="B182" s="5"/>
      <c r="C182" s="75"/>
      <c r="D182" s="5"/>
      <c r="E182" s="5"/>
      <c r="F182" s="5"/>
      <c r="G182" s="5"/>
      <c r="H182" s="5"/>
      <c r="I182" s="5"/>
      <c r="J182" s="77"/>
    </row>
    <row r="183" spans="2:10" x14ac:dyDescent="0.25">
      <c r="B183" s="5"/>
      <c r="C183" s="75"/>
      <c r="D183" s="5"/>
      <c r="E183" s="5"/>
      <c r="F183" s="5"/>
      <c r="G183" s="5"/>
      <c r="H183" s="5"/>
      <c r="I183" s="5"/>
      <c r="J183" s="77"/>
    </row>
    <row r="184" spans="2:10" x14ac:dyDescent="0.25">
      <c r="B184" s="5"/>
      <c r="C184" s="75"/>
      <c r="D184" s="5"/>
      <c r="E184" s="5"/>
      <c r="F184" s="5"/>
      <c r="G184" s="5"/>
      <c r="H184" s="5"/>
      <c r="I184" s="5"/>
      <c r="J184" s="77"/>
    </row>
    <row r="185" spans="2:10" x14ac:dyDescent="0.25">
      <c r="B185" s="5"/>
      <c r="C185" s="75"/>
      <c r="D185" s="5"/>
      <c r="E185" s="5"/>
      <c r="F185" s="5"/>
      <c r="G185" s="5"/>
      <c r="H185" s="5"/>
      <c r="I185" s="5"/>
      <c r="J185" s="77"/>
    </row>
    <row r="186" spans="2:10" x14ac:dyDescent="0.25">
      <c r="B186" s="5"/>
      <c r="C186" s="75"/>
      <c r="D186" s="5"/>
      <c r="E186" s="5"/>
      <c r="F186" s="5"/>
      <c r="G186" s="5"/>
      <c r="H186" s="5"/>
      <c r="I186" s="5"/>
      <c r="J186" s="77"/>
    </row>
    <row r="187" spans="2:10" x14ac:dyDescent="0.25">
      <c r="B187" s="5"/>
      <c r="C187" s="75"/>
      <c r="D187" s="5"/>
      <c r="E187" s="5"/>
      <c r="F187" s="5"/>
      <c r="G187" s="5"/>
      <c r="H187" s="5"/>
      <c r="I187" s="5"/>
      <c r="J187" s="77"/>
    </row>
    <row r="188" spans="2:10" x14ac:dyDescent="0.25">
      <c r="B188" s="5"/>
      <c r="C188" s="75"/>
      <c r="D188" s="5"/>
      <c r="E188" s="5"/>
      <c r="F188" s="5"/>
      <c r="G188" s="5"/>
      <c r="H188" s="5"/>
      <c r="I188" s="5"/>
      <c r="J188" s="77"/>
    </row>
    <row r="189" spans="2:10" x14ac:dyDescent="0.25">
      <c r="B189" s="5"/>
      <c r="C189" s="75"/>
      <c r="D189" s="5"/>
      <c r="E189" s="5"/>
      <c r="F189" s="5"/>
      <c r="G189" s="5"/>
      <c r="H189" s="5"/>
      <c r="I189" s="5"/>
      <c r="J189" s="77"/>
    </row>
    <row r="190" spans="2:10" x14ac:dyDescent="0.25">
      <c r="B190" s="5"/>
      <c r="C190" s="75"/>
      <c r="D190" s="5"/>
      <c r="E190" s="5"/>
      <c r="F190" s="5"/>
      <c r="G190" s="5"/>
      <c r="H190" s="5"/>
      <c r="I190" s="5"/>
      <c r="J190" s="77"/>
    </row>
    <row r="191" spans="2:10" x14ac:dyDescent="0.25">
      <c r="B191" s="5"/>
      <c r="C191" s="75"/>
      <c r="D191" s="5"/>
      <c r="E191" s="5"/>
      <c r="F191" s="5"/>
      <c r="G191" s="5"/>
      <c r="H191" s="5"/>
      <c r="I191" s="5"/>
      <c r="J191" s="77"/>
    </row>
    <row r="192" spans="2:10" x14ac:dyDescent="0.25">
      <c r="B192" s="5"/>
      <c r="C192" s="75"/>
      <c r="D192" s="5"/>
      <c r="E192" s="5"/>
      <c r="F192" s="5"/>
      <c r="G192" s="5"/>
      <c r="H192" s="5"/>
      <c r="I192" s="5"/>
      <c r="J192" s="77"/>
    </row>
    <row r="193" spans="2:10" x14ac:dyDescent="0.25">
      <c r="B193" s="5"/>
      <c r="C193" s="75"/>
      <c r="D193" s="5"/>
      <c r="E193" s="5"/>
      <c r="F193" s="5"/>
      <c r="G193" s="5"/>
      <c r="H193" s="5"/>
      <c r="I193" s="5"/>
      <c r="J193" s="77"/>
    </row>
    <row r="194" spans="2:10" x14ac:dyDescent="0.25">
      <c r="B194" s="5"/>
      <c r="C194" s="75"/>
      <c r="D194" s="5"/>
      <c r="E194" s="5"/>
      <c r="F194" s="5"/>
      <c r="G194" s="5"/>
      <c r="H194" s="5"/>
      <c r="I194" s="5"/>
      <c r="J194" s="77"/>
    </row>
    <row r="195" spans="2:10" x14ac:dyDescent="0.25">
      <c r="B195" s="5"/>
      <c r="C195" s="75"/>
      <c r="D195" s="5"/>
      <c r="E195" s="5"/>
      <c r="F195" s="5"/>
      <c r="G195" s="5"/>
      <c r="H195" s="5"/>
      <c r="I195" s="5"/>
      <c r="J195" s="77"/>
    </row>
    <row r="196" spans="2:10" x14ac:dyDescent="0.25">
      <c r="B196" s="5"/>
      <c r="C196" s="75"/>
      <c r="D196" s="5"/>
      <c r="E196" s="5"/>
      <c r="F196" s="5"/>
      <c r="G196" s="5"/>
      <c r="H196" s="5"/>
      <c r="I196" s="5"/>
      <c r="J196" s="77"/>
    </row>
    <row r="197" spans="2:10" x14ac:dyDescent="0.25">
      <c r="B197" s="5"/>
      <c r="C197" s="75"/>
      <c r="D197" s="5"/>
      <c r="E197" s="5"/>
      <c r="F197" s="5"/>
      <c r="G197" s="5"/>
      <c r="H197" s="5"/>
      <c r="I197" s="5"/>
      <c r="J197" s="77"/>
    </row>
    <row r="198" spans="2:10" x14ac:dyDescent="0.25">
      <c r="B198" s="5"/>
      <c r="C198" s="75"/>
      <c r="D198" s="5"/>
      <c r="E198" s="5"/>
      <c r="F198" s="5"/>
      <c r="G198" s="5"/>
      <c r="H198" s="5"/>
      <c r="I198" s="5"/>
      <c r="J198" s="77"/>
    </row>
    <row r="199" spans="2:10" x14ac:dyDescent="0.25">
      <c r="B199" s="5"/>
      <c r="C199" s="75"/>
      <c r="D199" s="5"/>
      <c r="E199" s="5"/>
      <c r="F199" s="5"/>
      <c r="G199" s="5"/>
      <c r="H199" s="5"/>
      <c r="I199" s="5"/>
      <c r="J199" s="77"/>
    </row>
    <row r="200" spans="2:10" x14ac:dyDescent="0.25">
      <c r="B200" s="5"/>
      <c r="C200" s="75"/>
      <c r="D200" s="5"/>
      <c r="E200" s="5"/>
      <c r="F200" s="5"/>
      <c r="G200" s="5"/>
      <c r="H200" s="5"/>
      <c r="I200" s="5"/>
      <c r="J200" s="77"/>
    </row>
    <row r="201" spans="2:10" x14ac:dyDescent="0.25">
      <c r="B201" s="5"/>
      <c r="C201" s="75"/>
      <c r="D201" s="5"/>
      <c r="E201" s="5"/>
      <c r="F201" s="5"/>
      <c r="G201" s="5"/>
      <c r="H201" s="5"/>
      <c r="I201" s="5"/>
      <c r="J201" s="77"/>
    </row>
    <row r="202" spans="2:10" x14ac:dyDescent="0.25">
      <c r="B202" s="5"/>
      <c r="C202" s="75"/>
      <c r="D202" s="5"/>
      <c r="E202" s="5"/>
      <c r="F202" s="5"/>
      <c r="G202" s="5"/>
      <c r="H202" s="5"/>
      <c r="I202" s="5"/>
      <c r="J202" s="77"/>
    </row>
    <row r="203" spans="2:10" x14ac:dyDescent="0.25">
      <c r="B203" s="5"/>
      <c r="C203" s="75"/>
      <c r="D203" s="5"/>
      <c r="E203" s="5"/>
      <c r="F203" s="5"/>
      <c r="G203" s="5"/>
      <c r="H203" s="5"/>
      <c r="I203" s="5"/>
      <c r="J203" s="77"/>
    </row>
    <row r="204" spans="2:10" x14ac:dyDescent="0.25">
      <c r="B204" s="5"/>
      <c r="C204" s="75"/>
      <c r="D204" s="5"/>
      <c r="E204" s="5"/>
      <c r="F204" s="5"/>
      <c r="G204" s="5"/>
      <c r="H204" s="5"/>
      <c r="I204" s="5"/>
      <c r="J204" s="77"/>
    </row>
    <row r="205" spans="2:10" x14ac:dyDescent="0.25">
      <c r="B205" s="5"/>
      <c r="C205" s="75"/>
      <c r="D205" s="5"/>
      <c r="E205" s="5"/>
      <c r="F205" s="5"/>
      <c r="G205" s="5"/>
      <c r="H205" s="5"/>
      <c r="I205" s="5"/>
      <c r="J205" s="77"/>
    </row>
    <row r="206" spans="2:10" x14ac:dyDescent="0.25">
      <c r="B206" s="5"/>
      <c r="C206" s="75"/>
      <c r="D206" s="5"/>
      <c r="E206" s="5"/>
      <c r="F206" s="5"/>
      <c r="G206" s="5"/>
      <c r="H206" s="5"/>
      <c r="I206" s="5"/>
      <c r="J206" s="77"/>
    </row>
    <row r="207" spans="2:10" x14ac:dyDescent="0.25">
      <c r="B207" s="5"/>
      <c r="C207" s="75"/>
      <c r="D207" s="5"/>
      <c r="E207" s="5"/>
      <c r="F207" s="5"/>
      <c r="G207" s="5"/>
      <c r="H207" s="5"/>
      <c r="I207" s="5"/>
      <c r="J207" s="77"/>
    </row>
    <row r="208" spans="2:10" x14ac:dyDescent="0.25">
      <c r="B208" s="5"/>
      <c r="C208" s="75"/>
      <c r="D208" s="5"/>
      <c r="E208" s="5"/>
      <c r="F208" s="5"/>
      <c r="G208" s="5"/>
      <c r="H208" s="5"/>
      <c r="I208" s="5"/>
      <c r="J208" s="77"/>
    </row>
    <row r="209" spans="2:10" x14ac:dyDescent="0.25">
      <c r="B209" s="5"/>
      <c r="C209" s="75"/>
      <c r="D209" s="5"/>
      <c r="E209" s="5"/>
      <c r="F209" s="5"/>
      <c r="G209" s="5"/>
      <c r="H209" s="5"/>
      <c r="I209" s="5"/>
      <c r="J209" s="77"/>
    </row>
    <row r="210" spans="2:10" x14ac:dyDescent="0.25">
      <c r="B210" s="5"/>
      <c r="C210" s="75"/>
      <c r="D210" s="5"/>
      <c r="E210" s="5"/>
      <c r="F210" s="5"/>
      <c r="G210" s="5"/>
      <c r="H210" s="5"/>
      <c r="I210" s="5"/>
      <c r="J210" s="77"/>
    </row>
    <row r="211" spans="2:10" x14ac:dyDescent="0.25">
      <c r="B211" s="5"/>
      <c r="C211" s="75"/>
      <c r="D211" s="5"/>
      <c r="E211" s="5"/>
      <c r="F211" s="5"/>
      <c r="G211" s="5"/>
      <c r="H211" s="5"/>
      <c r="I211" s="5"/>
      <c r="J211" s="77"/>
    </row>
    <row r="212" spans="2:10" x14ac:dyDescent="0.25">
      <c r="B212" s="5"/>
      <c r="C212" s="75"/>
      <c r="D212" s="5"/>
      <c r="E212" s="5"/>
      <c r="F212" s="5"/>
      <c r="G212" s="5"/>
      <c r="H212" s="5"/>
      <c r="I212" s="5"/>
      <c r="J212" s="77"/>
    </row>
    <row r="213" spans="2:10" x14ac:dyDescent="0.25">
      <c r="B213" s="5"/>
      <c r="C213" s="75"/>
      <c r="D213" s="5"/>
      <c r="E213" s="5"/>
      <c r="F213" s="5"/>
      <c r="G213" s="5"/>
      <c r="H213" s="5"/>
      <c r="I213" s="5"/>
      <c r="J213" s="77"/>
    </row>
    <row r="214" spans="2:10" x14ac:dyDescent="0.25">
      <c r="B214" s="5"/>
      <c r="C214" s="75"/>
      <c r="D214" s="5"/>
      <c r="E214" s="5"/>
      <c r="F214" s="5"/>
      <c r="G214" s="5"/>
      <c r="H214" s="5"/>
      <c r="I214" s="5"/>
      <c r="J214" s="77"/>
    </row>
    <row r="215" spans="2:10" x14ac:dyDescent="0.25">
      <c r="B215" s="5"/>
      <c r="C215" s="75"/>
      <c r="D215" s="5"/>
      <c r="E215" s="5"/>
      <c r="F215" s="5"/>
      <c r="G215" s="5"/>
      <c r="H215" s="5"/>
      <c r="I215" s="5"/>
      <c r="J215" s="77"/>
    </row>
    <row r="216" spans="2:10" x14ac:dyDescent="0.25">
      <c r="B216" s="77"/>
      <c r="C216" s="78"/>
      <c r="D216" s="77"/>
      <c r="E216" s="77"/>
      <c r="F216" s="78"/>
      <c r="G216" s="77"/>
      <c r="J216" s="77"/>
    </row>
    <row r="217" spans="2:10" x14ac:dyDescent="0.25">
      <c r="B217" s="77"/>
      <c r="C217" s="78"/>
      <c r="D217" s="77"/>
      <c r="E217" s="77"/>
      <c r="F217" s="78"/>
      <c r="G217" s="77"/>
      <c r="J217" s="77"/>
    </row>
    <row r="218" spans="2:10" x14ac:dyDescent="0.25">
      <c r="B218" s="77"/>
      <c r="C218" s="78"/>
      <c r="D218" s="77"/>
      <c r="E218" s="77"/>
      <c r="F218" s="78"/>
      <c r="G218" s="77"/>
      <c r="J218" s="77"/>
    </row>
    <row r="219" spans="2:10" x14ac:dyDescent="0.25">
      <c r="B219" s="77"/>
      <c r="C219" s="78"/>
      <c r="D219" s="77"/>
      <c r="E219" s="77"/>
      <c r="F219" s="78"/>
      <c r="G219" s="77"/>
      <c r="J219" s="77"/>
    </row>
    <row r="220" spans="2:10" x14ac:dyDescent="0.25">
      <c r="B220" s="77"/>
      <c r="C220" s="78"/>
      <c r="D220" s="77"/>
      <c r="E220" s="77"/>
      <c r="F220" s="78"/>
      <c r="G220" s="77"/>
      <c r="J220" s="77"/>
    </row>
    <row r="221" spans="2:10" x14ac:dyDescent="0.25">
      <c r="B221" s="77"/>
      <c r="C221" s="78"/>
      <c r="D221" s="77"/>
      <c r="E221" s="77"/>
      <c r="F221" s="78"/>
      <c r="G221" s="77"/>
      <c r="J221" s="77"/>
    </row>
    <row r="222" spans="2:10" x14ac:dyDescent="0.25">
      <c r="B222" s="77"/>
      <c r="C222" s="78"/>
      <c r="D222" s="77"/>
      <c r="E222" s="77"/>
      <c r="F222" s="78"/>
      <c r="G222" s="77"/>
      <c r="J222" s="77"/>
    </row>
    <row r="223" spans="2:10" x14ac:dyDescent="0.25">
      <c r="B223" s="77"/>
      <c r="C223" s="78"/>
      <c r="D223" s="77"/>
      <c r="E223" s="77"/>
      <c r="F223" s="78"/>
      <c r="G223" s="77"/>
      <c r="J223" s="77"/>
    </row>
    <row r="224" spans="2:10" x14ac:dyDescent="0.25">
      <c r="B224" s="77"/>
      <c r="C224" s="78"/>
      <c r="D224" s="77"/>
      <c r="E224" s="77"/>
      <c r="F224" s="78"/>
      <c r="G224" s="77"/>
      <c r="J224" s="77"/>
    </row>
    <row r="225" spans="2:10" x14ac:dyDescent="0.25">
      <c r="B225" s="77"/>
      <c r="C225" s="78"/>
      <c r="D225" s="77"/>
      <c r="E225" s="77"/>
      <c r="F225" s="78"/>
      <c r="G225" s="77"/>
      <c r="J225" s="77"/>
    </row>
  </sheetData>
  <sheetProtection pivotTables="0"/>
  <mergeCells count="3">
    <mergeCell ref="B8:C8"/>
    <mergeCell ref="B9:C9"/>
    <mergeCell ref="B11:C11"/>
  </mergeCells>
  <conditionalFormatting sqref="J14:AI14">
    <cfRule type="expression" dxfId="729" priority="17">
      <formula>J$14&lt;&gt;""</formula>
    </cfRule>
  </conditionalFormatting>
  <conditionalFormatting sqref="I15:I214">
    <cfRule type="dataBar" priority="7">
      <dataBar>
        <cfvo type="percent" val="0"/>
        <cfvo type="percent" val="100"/>
        <color theme="2" tint="-0.249977111117893"/>
      </dataBar>
      <extLst>
        <ext xmlns:x14="http://schemas.microsoft.com/office/spreadsheetml/2009/9/main" uri="{B025F937-C7B1-47D3-B67F-A62EFF666E3E}">
          <x14:id>{E0925094-E235-4113-B929-2C33F493A70E}</x14:id>
        </ext>
      </extLst>
    </cfRule>
  </conditionalFormatting>
  <conditionalFormatting sqref="J15:AI214">
    <cfRule type="expression" dxfId="728" priority="1">
      <formula>$B15="Grand Total"</formula>
    </cfRule>
    <cfRule type="expression" dxfId="727" priority="12" stopIfTrue="1">
      <formula>AND(WEEKDAY(J$14,2)&gt;5,$C15&lt;&gt;"")</formula>
    </cfRule>
    <cfRule type="expression" dxfId="726" priority="14">
      <formula>AND(J$14&gt;=WORKDAY.INTL($E15,$H15,1),$I15=0,J$14&lt;=$G15)</formula>
    </cfRule>
    <cfRule type="expression" dxfId="725" priority="15">
      <formula>AND(J$14&gt;=WORKDAY.INTL($E15,$H15,1),$I15&lt;&gt;1,J$14&lt;=$G15)</formula>
    </cfRule>
    <cfRule type="expression" dxfId="724" priority="16">
      <formula>AND(J$14&gt;=$E15,WORKDAY.INTL($E15,$H15,1)-1&gt;=J$14)</formula>
    </cfRule>
  </conditionalFormatting>
  <pageMargins left="0.19685039370078741" right="0.19685039370078741" top="0.39370078740157483" bottom="0.39370078740157483" header="0.19685039370078741" footer="0.19685039370078741"/>
  <pageSetup paperSize="8" scale="58" orientation="landscape" horizontalDpi="360" verticalDpi="360" r:id="rId2"/>
  <headerFooter>
    <oddFooter>&amp;L&amp;D&amp;CPage &amp;P of &amp;N</oddFooter>
  </headerFooter>
  <colBreaks count="2" manualBreakCount="2">
    <brk id="12" max="1048575" man="1"/>
    <brk id="18" max="1048575" man="1"/>
  </colBreak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5" name="Scroll Bar 3">
              <controlPr defaultSize="0" autoPict="0">
                <anchor moveWithCells="1">
                  <from>
                    <xdr:col>1</xdr:col>
                    <xdr:colOff>19050</xdr:colOff>
                    <xdr:row>11</xdr:row>
                    <xdr:rowOff>0</xdr:rowOff>
                  </from>
                  <to>
                    <xdr:col>2</xdr:col>
                    <xdr:colOff>3971925</xdr:colOff>
                    <xdr:row>11</xdr:row>
                    <xdr:rowOff>276225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25094-E235-4113-B929-2C33F493A70E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I15:I214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FD00C-F281-45B6-B04B-8DEAAFDB071C}">
  <sheetPr>
    <pageSetUpPr fitToPage="1"/>
  </sheetPr>
  <dimension ref="B1:Z427"/>
  <sheetViews>
    <sheetView showGridLines="0" zoomScaleNormal="100" workbookViewId="0"/>
  </sheetViews>
  <sheetFormatPr defaultColWidth="12.7109375" defaultRowHeight="15" x14ac:dyDescent="0.25"/>
  <cols>
    <col min="1" max="1" width="2.85546875" style="12" customWidth="1"/>
    <col min="2" max="2" width="8.7109375" style="12" customWidth="1"/>
    <col min="3" max="3" width="13.140625" style="12" customWidth="1"/>
    <col min="4" max="6" width="8.7109375" style="12" customWidth="1"/>
    <col min="7" max="7" width="16.28515625" style="12" customWidth="1"/>
    <col min="8" max="9" width="8.7109375" style="20" customWidth="1"/>
    <col min="10" max="10" width="8.7109375" style="12" customWidth="1"/>
    <col min="11" max="11" width="8.7109375" style="20" customWidth="1"/>
    <col min="12" max="24" width="8.7109375" style="12" customWidth="1"/>
    <col min="25" max="16384" width="12.7109375" style="12"/>
  </cols>
  <sheetData>
    <row r="1" spans="2:26" x14ac:dyDescent="0.25">
      <c r="H1" s="12"/>
      <c r="I1" s="12"/>
      <c r="K1" s="12"/>
    </row>
    <row r="2" spans="2:26" ht="15" customHeight="1" x14ac:dyDescent="0.25">
      <c r="G2" s="13"/>
      <c r="H2" s="12"/>
      <c r="I2" s="12"/>
      <c r="K2" s="12"/>
    </row>
    <row r="3" spans="2:26" x14ac:dyDescent="0.25">
      <c r="H3" s="12"/>
      <c r="I3" s="12"/>
      <c r="K3" s="12"/>
    </row>
    <row r="4" spans="2:26" x14ac:dyDescent="0.25">
      <c r="H4" s="12"/>
      <c r="I4" s="12"/>
      <c r="K4" s="12"/>
    </row>
    <row r="5" spans="2:26" x14ac:dyDescent="0.25">
      <c r="H5" s="12"/>
      <c r="I5" s="12"/>
      <c r="K5" s="12"/>
    </row>
    <row r="6" spans="2:26" x14ac:dyDescent="0.25">
      <c r="H6" s="12"/>
      <c r="I6" s="12"/>
      <c r="K6" s="12"/>
      <c r="N6" s="14"/>
    </row>
    <row r="7" spans="2:26" x14ac:dyDescent="0.25">
      <c r="H7" s="12"/>
      <c r="I7" s="12"/>
      <c r="K7" s="12"/>
      <c r="N7" s="14"/>
    </row>
    <row r="8" spans="2:26" ht="21" x14ac:dyDescent="0.25">
      <c r="B8" s="72" t="s">
        <v>57</v>
      </c>
      <c r="G8" s="70"/>
      <c r="H8" s="12"/>
      <c r="I8" s="12"/>
      <c r="K8" s="12"/>
      <c r="N8" s="14"/>
    </row>
    <row r="9" spans="2:26" ht="15.75" x14ac:dyDescent="0.25">
      <c r="B9" s="95" t="s">
        <v>48</v>
      </c>
      <c r="G9" s="70"/>
      <c r="H9" s="12"/>
      <c r="I9" s="12"/>
      <c r="K9" s="12"/>
      <c r="N9" s="14"/>
    </row>
    <row r="10" spans="2:26" x14ac:dyDescent="0.25">
      <c r="B10" s="15"/>
      <c r="H10" s="12"/>
      <c r="I10" s="12"/>
      <c r="K10" s="12"/>
      <c r="N10" s="14"/>
    </row>
    <row r="11" spans="2:26" ht="18.75" x14ac:dyDescent="0.25">
      <c r="B11" s="66" t="s">
        <v>53</v>
      </c>
      <c r="C11" s="66"/>
      <c r="D11" s="67" t="str">
        <f>TEXT(MIN('Project Gantt Chart'!E15:E49),"d-mmmm-yyyy")&amp;" to "&amp;TEXT(MAX('Project Gantt Chart'!G15:G49),"d-mmmm-yyyy")</f>
        <v>2-June-2020 to 2-July-2020</v>
      </c>
      <c r="E11" s="66"/>
      <c r="F11" s="66"/>
      <c r="G11" s="66"/>
      <c r="J11" s="26"/>
      <c r="L11" s="26"/>
      <c r="M11" s="26"/>
      <c r="N11" s="26"/>
      <c r="O11" s="26"/>
    </row>
    <row r="12" spans="2:26" s="26" customFormat="1" ht="18.75" x14ac:dyDescent="0.25">
      <c r="B12" s="58"/>
      <c r="C12" s="59"/>
      <c r="D12" s="59"/>
      <c r="E12" s="59"/>
      <c r="H12" s="60"/>
      <c r="I12" s="60"/>
      <c r="K12" s="60"/>
    </row>
    <row r="13" spans="2:26" x14ac:dyDescent="0.25">
      <c r="F13" s="26"/>
      <c r="J13" s="26"/>
      <c r="L13" s="26"/>
      <c r="M13" s="26"/>
      <c r="N13" s="26"/>
      <c r="O13" s="26"/>
    </row>
    <row r="14" spans="2:26" ht="20.100000000000001" customHeight="1" x14ac:dyDescent="0.3">
      <c r="B14" s="62" t="s">
        <v>54</v>
      </c>
      <c r="C14" s="50"/>
      <c r="D14" s="50"/>
      <c r="E14" s="50"/>
      <c r="F14" s="50"/>
      <c r="G14" s="50"/>
      <c r="H14" s="50"/>
      <c r="I14" s="61"/>
      <c r="J14" s="57"/>
      <c r="K14" s="63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2:26" x14ac:dyDescent="0.25">
      <c r="F15" s="26"/>
      <c r="J15" s="26"/>
      <c r="L15" s="26"/>
      <c r="M15" s="26"/>
      <c r="N15" s="26"/>
      <c r="O15" s="26"/>
    </row>
    <row r="16" spans="2:26" x14ac:dyDescent="0.25">
      <c r="F16" s="26"/>
      <c r="J16" s="26"/>
      <c r="L16" s="26"/>
      <c r="M16" s="26"/>
      <c r="N16" s="26"/>
      <c r="O16" s="26"/>
    </row>
    <row r="17" spans="6:18" x14ac:dyDescent="0.25">
      <c r="F17" s="26"/>
      <c r="J17" s="26"/>
      <c r="L17" s="26"/>
      <c r="M17" s="26"/>
      <c r="N17" s="26"/>
      <c r="O17" s="26"/>
    </row>
    <row r="18" spans="6:18" x14ac:dyDescent="0.25">
      <c r="F18" s="26"/>
      <c r="J18" s="26"/>
      <c r="L18" s="26"/>
      <c r="M18" s="26"/>
      <c r="N18" s="26"/>
      <c r="O18" s="26"/>
      <c r="P18" s="26"/>
      <c r="Q18" s="26"/>
      <c r="R18" s="26"/>
    </row>
    <row r="19" spans="6:18" x14ac:dyDescent="0.25">
      <c r="F19" s="26"/>
      <c r="J19" s="26"/>
      <c r="L19" s="26"/>
      <c r="M19" s="26"/>
      <c r="N19" s="26"/>
      <c r="O19" s="26"/>
      <c r="P19" s="26"/>
      <c r="Q19" s="26"/>
      <c r="R19" s="26"/>
    </row>
    <row r="20" spans="6:18" x14ac:dyDescent="0.25">
      <c r="F20" s="26"/>
      <c r="J20" s="26"/>
      <c r="L20" s="26"/>
      <c r="M20" s="26"/>
      <c r="N20" s="26"/>
      <c r="O20" s="26"/>
      <c r="P20" s="26"/>
      <c r="Q20" s="26"/>
      <c r="R20" s="26"/>
    </row>
    <row r="21" spans="6:18" x14ac:dyDescent="0.25">
      <c r="F21" s="26"/>
      <c r="J21" s="26"/>
      <c r="L21" s="26"/>
      <c r="M21" s="26"/>
      <c r="N21" s="26"/>
      <c r="O21" s="26"/>
      <c r="P21" s="26"/>
      <c r="Q21" s="26"/>
      <c r="R21" s="26"/>
    </row>
    <row r="22" spans="6:18" x14ac:dyDescent="0.25">
      <c r="F22" s="26"/>
      <c r="J22" s="26"/>
      <c r="L22" s="26"/>
      <c r="M22" s="26"/>
      <c r="N22" s="26"/>
      <c r="O22" s="26"/>
      <c r="P22" s="26"/>
      <c r="Q22" s="26"/>
      <c r="R22" s="26"/>
    </row>
    <row r="23" spans="6:18" x14ac:dyDescent="0.25">
      <c r="F23" s="26"/>
      <c r="J23" s="26"/>
      <c r="L23" s="26"/>
      <c r="M23" s="26"/>
      <c r="N23" s="26"/>
      <c r="O23" s="26"/>
      <c r="P23" s="26"/>
      <c r="Q23" s="26"/>
      <c r="R23" s="26"/>
    </row>
    <row r="24" spans="6:18" ht="15" customHeight="1" x14ac:dyDescent="0.25">
      <c r="F24" s="26"/>
      <c r="J24" s="26"/>
      <c r="L24" s="26"/>
      <c r="M24" s="26"/>
      <c r="N24" s="26"/>
      <c r="O24" s="26"/>
      <c r="P24" s="26"/>
      <c r="Q24" s="26"/>
      <c r="R24" s="26"/>
    </row>
    <row r="25" spans="6:18" x14ac:dyDescent="0.25">
      <c r="F25" s="26"/>
      <c r="J25" s="26"/>
      <c r="L25" s="26"/>
      <c r="M25" s="26"/>
      <c r="N25" s="26"/>
      <c r="O25" s="26"/>
      <c r="P25" s="26"/>
      <c r="Q25" s="26"/>
      <c r="R25" s="26"/>
    </row>
    <row r="26" spans="6:18" x14ac:dyDescent="0.25">
      <c r="F26" s="26"/>
      <c r="J26" s="26"/>
      <c r="L26" s="26"/>
      <c r="M26" s="26"/>
      <c r="N26" s="26"/>
      <c r="O26" s="26"/>
      <c r="P26" s="26"/>
      <c r="Q26" s="26"/>
      <c r="R26" s="26"/>
    </row>
    <row r="27" spans="6:18" x14ac:dyDescent="0.25">
      <c r="F27" s="26"/>
      <c r="J27" s="26"/>
      <c r="L27" s="26"/>
      <c r="M27" s="26"/>
      <c r="N27" s="26"/>
      <c r="O27" s="26"/>
      <c r="P27" s="26"/>
      <c r="Q27" s="26"/>
      <c r="R27" s="26"/>
    </row>
    <row r="28" spans="6:18" x14ac:dyDescent="0.25">
      <c r="F28" s="26"/>
      <c r="J28" s="26"/>
      <c r="L28" s="26"/>
      <c r="M28" s="26"/>
      <c r="N28" s="26"/>
      <c r="O28" s="26"/>
      <c r="P28" s="26"/>
      <c r="Q28" s="26"/>
      <c r="R28" s="26"/>
    </row>
    <row r="29" spans="6:18" x14ac:dyDescent="0.25">
      <c r="F29" s="26"/>
      <c r="J29" s="26"/>
      <c r="L29" s="26"/>
      <c r="M29" s="26"/>
      <c r="N29" s="26"/>
      <c r="O29" s="26"/>
      <c r="P29" s="26"/>
      <c r="Q29" s="26"/>
      <c r="R29" s="26"/>
    </row>
    <row r="30" spans="6:18" x14ac:dyDescent="0.25">
      <c r="F30" s="26"/>
      <c r="J30" s="26"/>
      <c r="L30" s="26"/>
      <c r="M30" s="26"/>
      <c r="N30" s="26"/>
      <c r="O30" s="26"/>
      <c r="P30" s="26"/>
      <c r="Q30" s="26"/>
      <c r="R30" s="26"/>
    </row>
    <row r="31" spans="6:18" x14ac:dyDescent="0.25">
      <c r="F31" s="26"/>
      <c r="J31" s="26"/>
      <c r="L31" s="26"/>
      <c r="M31" s="26"/>
      <c r="N31" s="26"/>
      <c r="O31" s="26"/>
      <c r="P31" s="26"/>
      <c r="Q31" s="26"/>
      <c r="R31" s="26"/>
    </row>
    <row r="32" spans="6:18" x14ac:dyDescent="0.25">
      <c r="F32" s="26"/>
      <c r="J32" s="26"/>
      <c r="L32" s="26"/>
      <c r="M32" s="26"/>
      <c r="N32" s="26"/>
      <c r="O32" s="26"/>
      <c r="P32" s="26"/>
      <c r="Q32" s="26"/>
      <c r="R32" s="26"/>
    </row>
    <row r="33" spans="2:26" x14ac:dyDescent="0.25">
      <c r="F33" s="26"/>
      <c r="J33" s="26"/>
      <c r="L33" s="26"/>
      <c r="M33" s="26"/>
      <c r="N33" s="26"/>
      <c r="O33" s="26"/>
      <c r="P33" s="26"/>
      <c r="Q33" s="26"/>
      <c r="R33" s="26"/>
    </row>
    <row r="34" spans="2:26" x14ac:dyDescent="0.25">
      <c r="F34" s="26"/>
      <c r="J34" s="26"/>
      <c r="L34" s="26"/>
      <c r="M34" s="26"/>
      <c r="N34" s="26"/>
      <c r="O34" s="26"/>
      <c r="P34" s="26"/>
      <c r="Q34" s="26"/>
      <c r="R34" s="26"/>
    </row>
    <row r="35" spans="2:26" x14ac:dyDescent="0.25">
      <c r="F35" s="26"/>
      <c r="J35" s="26"/>
      <c r="L35" s="26"/>
      <c r="M35" s="26"/>
      <c r="N35" s="26"/>
      <c r="O35" s="26"/>
      <c r="P35" s="26"/>
      <c r="Q35" s="26"/>
      <c r="R35" s="26"/>
    </row>
    <row r="36" spans="2:26" ht="18.75" x14ac:dyDescent="0.3">
      <c r="B36" s="62" t="s">
        <v>55</v>
      </c>
      <c r="C36" s="50"/>
      <c r="D36" s="50"/>
      <c r="E36" s="50"/>
      <c r="F36" s="50"/>
      <c r="G36" s="50"/>
      <c r="H36" s="50"/>
      <c r="I36" s="61"/>
      <c r="J36" s="57"/>
      <c r="K36" s="63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2:26" x14ac:dyDescent="0.25">
      <c r="F37" s="26"/>
      <c r="J37" s="26"/>
      <c r="L37" s="26"/>
      <c r="M37" s="26"/>
      <c r="N37" s="26"/>
      <c r="O37" s="26"/>
      <c r="P37" s="26"/>
      <c r="Q37" s="26"/>
      <c r="R37" s="26"/>
    </row>
    <row r="38" spans="2:26" x14ac:dyDescent="0.25">
      <c r="F38" s="26"/>
      <c r="J38" s="26"/>
      <c r="L38" s="26"/>
      <c r="M38" s="26"/>
      <c r="N38" s="26"/>
      <c r="O38" s="26"/>
      <c r="P38" s="26"/>
      <c r="Q38" s="26"/>
      <c r="R38" s="26"/>
    </row>
    <row r="39" spans="2:26" x14ac:dyDescent="0.25">
      <c r="F39" s="26"/>
      <c r="J39" s="26"/>
      <c r="L39" s="26"/>
      <c r="M39" s="26"/>
      <c r="N39" s="26"/>
      <c r="O39" s="26"/>
      <c r="P39" s="26"/>
      <c r="Q39" s="26"/>
      <c r="R39" s="26"/>
    </row>
    <row r="40" spans="2:26" x14ac:dyDescent="0.25">
      <c r="F40" s="26"/>
      <c r="J40" s="26"/>
      <c r="L40" s="26"/>
      <c r="M40" s="26"/>
      <c r="N40" s="26"/>
      <c r="O40" s="26"/>
      <c r="P40" s="26"/>
      <c r="Q40" s="26"/>
      <c r="R40" s="26"/>
    </row>
    <row r="41" spans="2:26" x14ac:dyDescent="0.25">
      <c r="F41" s="26"/>
      <c r="J41" s="26"/>
      <c r="L41" s="26"/>
      <c r="M41" s="26"/>
      <c r="N41" s="26"/>
      <c r="O41" s="26"/>
      <c r="P41" s="26"/>
      <c r="Q41" s="26"/>
      <c r="R41" s="26"/>
    </row>
    <row r="42" spans="2:26" x14ac:dyDescent="0.25">
      <c r="F42" s="26"/>
      <c r="J42" s="26"/>
      <c r="L42" s="26"/>
      <c r="M42" s="26"/>
      <c r="N42" s="26"/>
      <c r="O42" s="26"/>
      <c r="P42" s="26"/>
      <c r="Q42" s="26"/>
      <c r="R42" s="26"/>
    </row>
    <row r="43" spans="2:26" x14ac:dyDescent="0.25">
      <c r="F43" s="26"/>
      <c r="J43" s="26"/>
      <c r="L43" s="26"/>
      <c r="M43" s="26"/>
      <c r="N43" s="26"/>
      <c r="O43" s="26"/>
      <c r="P43" s="26"/>
      <c r="Q43" s="26"/>
      <c r="R43" s="26"/>
    </row>
    <row r="44" spans="2:26" x14ac:dyDescent="0.25">
      <c r="F44" s="26"/>
      <c r="J44" s="26"/>
      <c r="L44" s="26"/>
      <c r="M44" s="26"/>
      <c r="N44" s="26"/>
      <c r="O44" s="26"/>
      <c r="P44" s="26"/>
      <c r="Q44" s="26"/>
      <c r="R44" s="26"/>
    </row>
    <row r="45" spans="2:26" x14ac:dyDescent="0.25">
      <c r="F45" s="26"/>
      <c r="J45" s="26"/>
      <c r="L45" s="26"/>
      <c r="M45" s="26"/>
      <c r="N45" s="26"/>
      <c r="O45" s="26"/>
      <c r="P45" s="26"/>
      <c r="Q45" s="26"/>
      <c r="R45" s="26"/>
    </row>
    <row r="46" spans="2:26" x14ac:dyDescent="0.25">
      <c r="F46" s="26"/>
      <c r="J46" s="26"/>
      <c r="L46" s="26"/>
      <c r="M46" s="26"/>
      <c r="N46" s="26"/>
      <c r="O46" s="26"/>
      <c r="P46" s="26"/>
      <c r="Q46" s="26"/>
      <c r="R46" s="26"/>
    </row>
    <row r="47" spans="2:26" x14ac:dyDescent="0.25">
      <c r="F47" s="26"/>
      <c r="J47" s="26"/>
      <c r="L47" s="26"/>
      <c r="M47" s="26"/>
      <c r="N47" s="26"/>
      <c r="O47" s="26"/>
      <c r="P47" s="26"/>
      <c r="Q47" s="26"/>
      <c r="R47" s="26"/>
    </row>
    <row r="48" spans="2:26" x14ac:dyDescent="0.25">
      <c r="F48" s="26"/>
      <c r="J48" s="26"/>
      <c r="L48" s="26"/>
      <c r="M48" s="26"/>
      <c r="N48" s="26"/>
      <c r="O48" s="26"/>
      <c r="P48" s="26"/>
      <c r="Q48" s="26"/>
      <c r="R48" s="26"/>
    </row>
    <row r="49" spans="6:18" x14ac:dyDescent="0.25">
      <c r="F49" s="26"/>
      <c r="J49" s="26"/>
      <c r="L49" s="26"/>
      <c r="M49" s="26"/>
      <c r="N49" s="26"/>
      <c r="O49" s="26"/>
      <c r="P49" s="26"/>
      <c r="Q49" s="26"/>
      <c r="R49" s="26"/>
    </row>
    <row r="50" spans="6:18" x14ac:dyDescent="0.25">
      <c r="F50" s="26"/>
      <c r="J50" s="26"/>
      <c r="L50" s="26"/>
      <c r="M50" s="26"/>
      <c r="N50" s="26"/>
      <c r="O50" s="26"/>
      <c r="P50" s="26"/>
      <c r="Q50" s="26"/>
      <c r="R50" s="26"/>
    </row>
    <row r="51" spans="6:18" x14ac:dyDescent="0.25">
      <c r="F51" s="26"/>
      <c r="J51" s="26"/>
      <c r="L51" s="26"/>
      <c r="M51" s="26"/>
      <c r="N51" s="26"/>
      <c r="O51" s="26"/>
      <c r="P51" s="26"/>
      <c r="Q51" s="26"/>
      <c r="R51" s="26"/>
    </row>
    <row r="52" spans="6:18" x14ac:dyDescent="0.25">
      <c r="F52" s="26"/>
      <c r="J52" s="26"/>
      <c r="L52" s="26"/>
      <c r="M52" s="26"/>
      <c r="N52" s="26"/>
      <c r="O52" s="26"/>
      <c r="P52" s="26"/>
      <c r="Q52" s="26"/>
      <c r="R52" s="26"/>
    </row>
    <row r="53" spans="6:18" x14ac:dyDescent="0.25">
      <c r="F53" s="26"/>
      <c r="J53" s="26"/>
      <c r="L53" s="26"/>
      <c r="M53" s="26"/>
      <c r="N53" s="26"/>
      <c r="O53" s="26"/>
      <c r="P53" s="26"/>
      <c r="Q53" s="26"/>
      <c r="R53" s="26"/>
    </row>
    <row r="54" spans="6:18" x14ac:dyDescent="0.25">
      <c r="F54" s="26"/>
      <c r="J54" s="26"/>
      <c r="L54" s="26"/>
      <c r="M54" s="26"/>
      <c r="N54" s="26"/>
      <c r="O54" s="26"/>
      <c r="P54" s="26"/>
      <c r="Q54" s="26"/>
      <c r="R54" s="26"/>
    </row>
    <row r="55" spans="6:18" x14ac:dyDescent="0.25">
      <c r="F55" s="26"/>
      <c r="J55" s="26"/>
      <c r="L55" s="26"/>
      <c r="M55" s="26"/>
      <c r="N55" s="26"/>
      <c r="O55" s="26"/>
      <c r="P55" s="26"/>
      <c r="Q55" s="26"/>
      <c r="R55" s="26"/>
    </row>
    <row r="56" spans="6:18" x14ac:dyDescent="0.25">
      <c r="F56" s="26"/>
      <c r="J56" s="26"/>
      <c r="L56" s="26"/>
      <c r="M56" s="26"/>
      <c r="N56" s="26"/>
      <c r="O56" s="26"/>
      <c r="P56" s="26"/>
      <c r="Q56" s="26"/>
      <c r="R56" s="26"/>
    </row>
    <row r="57" spans="6:18" x14ac:dyDescent="0.25">
      <c r="F57" s="26"/>
      <c r="J57" s="26"/>
      <c r="L57" s="26"/>
      <c r="M57" s="26"/>
      <c r="N57" s="26"/>
      <c r="O57" s="26"/>
      <c r="P57" s="26"/>
      <c r="Q57" s="26"/>
      <c r="R57" s="26"/>
    </row>
    <row r="58" spans="6:18" x14ac:dyDescent="0.25">
      <c r="F58" s="26"/>
      <c r="J58" s="26"/>
      <c r="L58" s="26"/>
      <c r="M58" s="26"/>
      <c r="N58" s="26"/>
      <c r="O58" s="26"/>
      <c r="P58" s="26"/>
      <c r="Q58" s="26"/>
      <c r="R58" s="26"/>
    </row>
    <row r="59" spans="6:18" x14ac:dyDescent="0.25">
      <c r="F59" s="26"/>
      <c r="J59" s="26"/>
      <c r="L59" s="26"/>
      <c r="M59" s="26"/>
      <c r="N59" s="26"/>
      <c r="O59" s="26"/>
      <c r="P59" s="26"/>
      <c r="Q59" s="26"/>
      <c r="R59" s="26"/>
    </row>
    <row r="60" spans="6:18" x14ac:dyDescent="0.25">
      <c r="F60" s="26"/>
      <c r="J60" s="26"/>
      <c r="L60" s="26"/>
      <c r="M60" s="26"/>
      <c r="N60" s="26"/>
      <c r="O60" s="26"/>
      <c r="P60" s="26"/>
      <c r="Q60" s="26"/>
      <c r="R60" s="26"/>
    </row>
    <row r="61" spans="6:18" x14ac:dyDescent="0.25">
      <c r="F61" s="26"/>
      <c r="J61" s="26"/>
      <c r="L61" s="26"/>
      <c r="M61" s="26"/>
      <c r="N61" s="26"/>
      <c r="O61" s="26"/>
      <c r="P61" s="26"/>
      <c r="Q61" s="26"/>
      <c r="R61" s="26"/>
    </row>
    <row r="62" spans="6:18" x14ac:dyDescent="0.25">
      <c r="F62" s="26"/>
      <c r="J62" s="26"/>
      <c r="L62" s="26"/>
      <c r="M62" s="26"/>
      <c r="N62" s="26"/>
      <c r="O62" s="26"/>
      <c r="P62" s="26"/>
      <c r="Q62" s="26"/>
      <c r="R62" s="26"/>
    </row>
    <row r="63" spans="6:18" x14ac:dyDescent="0.25">
      <c r="F63" s="26"/>
      <c r="J63" s="26"/>
      <c r="L63" s="26"/>
      <c r="M63" s="26"/>
      <c r="N63" s="26"/>
      <c r="O63" s="26"/>
      <c r="P63" s="26"/>
      <c r="Q63" s="26"/>
      <c r="R63" s="26"/>
    </row>
    <row r="64" spans="6:18" x14ac:dyDescent="0.25">
      <c r="F64" s="26"/>
      <c r="J64" s="26"/>
      <c r="L64" s="26"/>
      <c r="M64" s="26"/>
      <c r="N64" s="26"/>
      <c r="O64" s="26"/>
      <c r="P64" s="26"/>
      <c r="Q64" s="26"/>
      <c r="R64" s="26"/>
    </row>
    <row r="65" spans="6:18" x14ac:dyDescent="0.25">
      <c r="F65" s="26"/>
      <c r="J65" s="26"/>
      <c r="L65" s="26"/>
      <c r="M65" s="26"/>
      <c r="N65" s="26"/>
      <c r="O65" s="26"/>
      <c r="P65" s="26"/>
      <c r="Q65" s="26"/>
      <c r="R65" s="26"/>
    </row>
    <row r="66" spans="6:18" x14ac:dyDescent="0.25">
      <c r="F66" s="26"/>
      <c r="J66" s="26"/>
      <c r="L66" s="26"/>
      <c r="M66" s="26"/>
      <c r="N66" s="26"/>
      <c r="O66" s="26"/>
      <c r="P66" s="26"/>
      <c r="Q66" s="26"/>
      <c r="R66" s="26"/>
    </row>
    <row r="67" spans="6:18" x14ac:dyDescent="0.25">
      <c r="F67" s="26"/>
      <c r="J67" s="26"/>
      <c r="L67" s="26"/>
      <c r="M67" s="26"/>
      <c r="N67" s="26"/>
      <c r="O67" s="26"/>
      <c r="P67" s="26"/>
      <c r="Q67" s="26"/>
      <c r="R67" s="26"/>
    </row>
    <row r="68" spans="6:18" x14ac:dyDescent="0.25">
      <c r="F68" s="26"/>
      <c r="J68" s="26"/>
      <c r="L68" s="26"/>
      <c r="M68" s="26"/>
      <c r="N68" s="26"/>
      <c r="O68" s="26"/>
      <c r="P68" s="26"/>
      <c r="Q68" s="26"/>
      <c r="R68" s="26"/>
    </row>
    <row r="69" spans="6:18" x14ac:dyDescent="0.25">
      <c r="F69" s="26"/>
      <c r="J69" s="26"/>
      <c r="L69" s="26"/>
      <c r="M69" s="26"/>
      <c r="N69" s="26"/>
      <c r="O69" s="26"/>
      <c r="P69" s="26"/>
      <c r="Q69" s="26"/>
      <c r="R69" s="26"/>
    </row>
    <row r="70" spans="6:18" x14ac:dyDescent="0.25">
      <c r="F70" s="26"/>
      <c r="J70" s="26"/>
      <c r="L70" s="26"/>
      <c r="M70" s="26"/>
      <c r="N70" s="26"/>
      <c r="O70" s="26"/>
      <c r="P70" s="26"/>
      <c r="Q70" s="26"/>
      <c r="R70" s="26"/>
    </row>
    <row r="71" spans="6:18" x14ac:dyDescent="0.25">
      <c r="F71" s="26"/>
      <c r="J71" s="26"/>
      <c r="L71" s="26"/>
      <c r="M71" s="26"/>
      <c r="N71" s="26"/>
      <c r="O71" s="26"/>
      <c r="P71" s="26"/>
      <c r="Q71" s="26"/>
      <c r="R71" s="26"/>
    </row>
    <row r="72" spans="6:18" x14ac:dyDescent="0.25">
      <c r="F72" s="26"/>
      <c r="J72" s="26"/>
      <c r="L72" s="26"/>
      <c r="M72" s="26"/>
      <c r="N72" s="26"/>
      <c r="O72" s="26"/>
      <c r="P72" s="26"/>
      <c r="Q72" s="26"/>
      <c r="R72" s="26"/>
    </row>
    <row r="73" spans="6:18" x14ac:dyDescent="0.25">
      <c r="F73" s="26"/>
      <c r="J73" s="26"/>
      <c r="L73" s="26"/>
      <c r="M73" s="26"/>
      <c r="N73" s="26"/>
      <c r="O73" s="26"/>
      <c r="P73" s="26"/>
      <c r="Q73" s="26"/>
      <c r="R73" s="26"/>
    </row>
    <row r="74" spans="6:18" x14ac:dyDescent="0.25">
      <c r="F74" s="26"/>
      <c r="J74" s="26"/>
      <c r="L74" s="26"/>
      <c r="M74" s="26"/>
      <c r="N74" s="26"/>
      <c r="O74" s="26"/>
      <c r="P74" s="26"/>
      <c r="Q74" s="26"/>
      <c r="R74" s="26"/>
    </row>
    <row r="75" spans="6:18" x14ac:dyDescent="0.25">
      <c r="F75" s="26"/>
      <c r="J75" s="26"/>
      <c r="L75" s="26"/>
      <c r="M75" s="26"/>
      <c r="N75" s="26"/>
      <c r="O75" s="26"/>
      <c r="P75" s="26"/>
      <c r="Q75" s="26"/>
      <c r="R75" s="26"/>
    </row>
    <row r="76" spans="6:18" x14ac:dyDescent="0.25">
      <c r="F76" s="26"/>
      <c r="J76" s="26"/>
      <c r="L76" s="26"/>
      <c r="M76" s="26"/>
      <c r="N76" s="26"/>
      <c r="O76" s="26"/>
      <c r="P76" s="26"/>
      <c r="Q76" s="26"/>
      <c r="R76" s="26"/>
    </row>
    <row r="77" spans="6:18" x14ac:dyDescent="0.25">
      <c r="F77" s="26"/>
      <c r="J77" s="26"/>
      <c r="L77" s="26"/>
      <c r="M77" s="26"/>
      <c r="N77" s="26"/>
      <c r="O77" s="26"/>
      <c r="P77" s="26"/>
      <c r="Q77" s="26"/>
      <c r="R77" s="26"/>
    </row>
    <row r="78" spans="6:18" x14ac:dyDescent="0.25">
      <c r="F78" s="26"/>
      <c r="J78" s="26"/>
      <c r="L78" s="26"/>
      <c r="M78" s="26"/>
      <c r="N78" s="26"/>
      <c r="O78" s="26"/>
      <c r="P78" s="26"/>
      <c r="Q78" s="26"/>
      <c r="R78" s="26"/>
    </row>
    <row r="79" spans="6:18" x14ac:dyDescent="0.25">
      <c r="F79" s="26"/>
      <c r="J79" s="26"/>
      <c r="L79" s="26"/>
      <c r="M79" s="26"/>
      <c r="N79" s="26"/>
      <c r="O79" s="26"/>
      <c r="P79" s="26"/>
      <c r="Q79" s="26"/>
      <c r="R79" s="26"/>
    </row>
    <row r="80" spans="6:18" x14ac:dyDescent="0.25">
      <c r="F80" s="26"/>
      <c r="J80" s="26"/>
      <c r="L80" s="26"/>
      <c r="M80" s="26"/>
      <c r="N80" s="26"/>
      <c r="O80" s="26"/>
      <c r="P80" s="26"/>
      <c r="Q80" s="26"/>
      <c r="R80" s="26"/>
    </row>
    <row r="81" spans="6:18" x14ac:dyDescent="0.25">
      <c r="F81" s="26"/>
      <c r="J81" s="26"/>
      <c r="L81" s="26"/>
      <c r="M81" s="26"/>
      <c r="N81" s="26"/>
      <c r="O81" s="26"/>
      <c r="P81" s="26"/>
      <c r="Q81" s="26"/>
      <c r="R81" s="26"/>
    </row>
    <row r="82" spans="6:18" x14ac:dyDescent="0.25">
      <c r="F82" s="26"/>
      <c r="J82" s="26"/>
      <c r="L82" s="26"/>
      <c r="M82" s="26"/>
      <c r="N82" s="26"/>
      <c r="O82" s="26"/>
      <c r="P82" s="26"/>
      <c r="Q82" s="26"/>
      <c r="R82" s="26"/>
    </row>
    <row r="83" spans="6:18" x14ac:dyDescent="0.25">
      <c r="F83" s="26"/>
      <c r="J83" s="26"/>
      <c r="L83" s="26"/>
      <c r="M83" s="26"/>
      <c r="N83" s="26"/>
      <c r="O83" s="26"/>
      <c r="P83" s="26"/>
      <c r="Q83" s="26"/>
      <c r="R83" s="26"/>
    </row>
    <row r="84" spans="6:18" x14ac:dyDescent="0.25">
      <c r="F84" s="26"/>
      <c r="J84" s="26"/>
      <c r="L84" s="26"/>
      <c r="M84" s="26"/>
      <c r="N84" s="26"/>
      <c r="O84" s="26"/>
      <c r="P84" s="26"/>
      <c r="Q84" s="26"/>
      <c r="R84" s="26"/>
    </row>
    <row r="85" spans="6:18" ht="15" customHeight="1" x14ac:dyDescent="0.25">
      <c r="F85" s="26"/>
      <c r="J85" s="26"/>
      <c r="L85" s="26"/>
      <c r="M85" s="26"/>
      <c r="N85" s="26"/>
      <c r="O85" s="26"/>
      <c r="P85" s="26"/>
      <c r="Q85" s="26"/>
      <c r="R85" s="26"/>
    </row>
    <row r="86" spans="6:18" x14ac:dyDescent="0.25">
      <c r="F86" s="26"/>
      <c r="J86" s="26"/>
      <c r="L86" s="26"/>
      <c r="M86" s="26"/>
      <c r="N86" s="26"/>
      <c r="O86" s="26"/>
      <c r="P86" s="26"/>
      <c r="Q86" s="26"/>
      <c r="R86" s="26"/>
    </row>
    <row r="87" spans="6:18" x14ac:dyDescent="0.25">
      <c r="F87" s="26"/>
      <c r="J87" s="26"/>
      <c r="L87" s="26"/>
      <c r="M87" s="26"/>
      <c r="N87" s="26"/>
      <c r="O87" s="26"/>
      <c r="P87" s="26"/>
      <c r="Q87" s="26"/>
      <c r="R87" s="26"/>
    </row>
    <row r="88" spans="6:18" x14ac:dyDescent="0.25">
      <c r="F88" s="26"/>
      <c r="J88" s="26"/>
      <c r="L88" s="26"/>
      <c r="M88" s="26"/>
      <c r="N88" s="26"/>
      <c r="O88" s="26"/>
      <c r="P88" s="26"/>
      <c r="Q88" s="26"/>
      <c r="R88" s="26"/>
    </row>
    <row r="89" spans="6:18" x14ac:dyDescent="0.25">
      <c r="F89" s="26"/>
      <c r="J89" s="26"/>
      <c r="L89" s="26"/>
      <c r="M89" s="26"/>
      <c r="N89" s="26"/>
      <c r="O89" s="26"/>
      <c r="P89" s="26"/>
      <c r="Q89" s="26"/>
      <c r="R89" s="26"/>
    </row>
    <row r="90" spans="6:18" x14ac:dyDescent="0.25">
      <c r="F90" s="26"/>
      <c r="J90" s="26"/>
      <c r="L90" s="26"/>
      <c r="M90" s="26"/>
      <c r="N90" s="26"/>
      <c r="O90" s="26"/>
      <c r="P90" s="26"/>
      <c r="Q90" s="26"/>
      <c r="R90" s="26"/>
    </row>
    <row r="91" spans="6:18" x14ac:dyDescent="0.25">
      <c r="F91" s="26"/>
      <c r="J91" s="26"/>
      <c r="L91" s="26"/>
      <c r="M91" s="26"/>
      <c r="N91" s="26"/>
      <c r="O91" s="26"/>
      <c r="P91" s="26"/>
      <c r="Q91" s="26"/>
      <c r="R91" s="26"/>
    </row>
    <row r="92" spans="6:18" x14ac:dyDescent="0.25">
      <c r="F92" s="26"/>
      <c r="J92" s="26"/>
      <c r="L92" s="26"/>
      <c r="M92" s="26"/>
      <c r="N92" s="26"/>
      <c r="O92" s="26"/>
      <c r="P92" s="26"/>
      <c r="Q92" s="26"/>
      <c r="R92" s="26"/>
    </row>
    <row r="93" spans="6:18" x14ac:dyDescent="0.25">
      <c r="F93" s="26"/>
      <c r="J93" s="26"/>
      <c r="L93" s="26"/>
      <c r="M93" s="26"/>
      <c r="N93" s="26"/>
      <c r="O93" s="26"/>
      <c r="P93" s="26"/>
      <c r="Q93" s="26"/>
      <c r="R93" s="26"/>
    </row>
    <row r="94" spans="6:18" x14ac:dyDescent="0.25">
      <c r="F94" s="26"/>
      <c r="J94" s="26"/>
      <c r="L94" s="26"/>
      <c r="M94" s="26"/>
      <c r="N94" s="26"/>
      <c r="O94" s="26"/>
      <c r="P94" s="26"/>
      <c r="Q94" s="26"/>
      <c r="R94" s="26"/>
    </row>
    <row r="95" spans="6:18" x14ac:dyDescent="0.25">
      <c r="F95" s="26"/>
      <c r="J95" s="26"/>
      <c r="L95" s="26"/>
      <c r="M95" s="26"/>
      <c r="N95" s="26"/>
      <c r="O95" s="26"/>
      <c r="P95" s="26"/>
      <c r="Q95" s="26"/>
      <c r="R95" s="26"/>
    </row>
    <row r="96" spans="6:18" x14ac:dyDescent="0.25">
      <c r="F96" s="26"/>
      <c r="J96" s="26"/>
      <c r="L96" s="26"/>
      <c r="M96" s="26"/>
      <c r="N96" s="26"/>
      <c r="O96" s="26"/>
      <c r="P96" s="26"/>
      <c r="Q96" s="26"/>
      <c r="R96" s="26"/>
    </row>
    <row r="97" spans="6:18" x14ac:dyDescent="0.25">
      <c r="F97" s="26"/>
      <c r="J97" s="26"/>
      <c r="L97" s="26"/>
      <c r="M97" s="26"/>
      <c r="N97" s="26"/>
      <c r="O97" s="26"/>
      <c r="P97" s="26"/>
      <c r="Q97" s="26"/>
      <c r="R97" s="26"/>
    </row>
    <row r="98" spans="6:18" ht="15" customHeight="1" x14ac:dyDescent="0.25">
      <c r="F98" s="26"/>
      <c r="J98" s="26"/>
      <c r="L98" s="26"/>
      <c r="M98" s="26"/>
      <c r="N98" s="26"/>
      <c r="O98" s="26"/>
      <c r="P98" s="26"/>
      <c r="Q98" s="26"/>
      <c r="R98" s="26"/>
    </row>
    <row r="99" spans="6:18" x14ac:dyDescent="0.25">
      <c r="F99" s="26"/>
      <c r="J99" s="26"/>
      <c r="L99" s="26"/>
      <c r="M99" s="26"/>
      <c r="N99" s="26"/>
      <c r="O99" s="26"/>
      <c r="P99" s="26"/>
      <c r="Q99" s="26"/>
      <c r="R99" s="26"/>
    </row>
    <row r="100" spans="6:18" x14ac:dyDescent="0.25">
      <c r="F100" s="26"/>
      <c r="J100" s="26"/>
      <c r="L100" s="26"/>
      <c r="M100" s="26"/>
      <c r="N100" s="26"/>
      <c r="O100" s="26"/>
      <c r="P100" s="26"/>
      <c r="Q100" s="26"/>
      <c r="R100" s="26"/>
    </row>
    <row r="101" spans="6:18" x14ac:dyDescent="0.25">
      <c r="F101" s="26"/>
      <c r="J101" s="26"/>
      <c r="L101" s="26"/>
      <c r="M101" s="26"/>
      <c r="N101" s="26"/>
      <c r="O101" s="26"/>
      <c r="P101" s="26"/>
      <c r="Q101" s="26"/>
      <c r="R101" s="26"/>
    </row>
    <row r="102" spans="6:18" x14ac:dyDescent="0.25">
      <c r="F102" s="26"/>
      <c r="J102" s="26"/>
      <c r="L102" s="26"/>
      <c r="M102" s="26"/>
      <c r="N102" s="26"/>
      <c r="O102" s="26"/>
      <c r="P102" s="26"/>
      <c r="Q102" s="26"/>
      <c r="R102" s="26"/>
    </row>
    <row r="103" spans="6:18" x14ac:dyDescent="0.25">
      <c r="F103" s="26"/>
      <c r="J103" s="26"/>
      <c r="L103" s="26"/>
      <c r="M103" s="26"/>
      <c r="N103" s="26"/>
      <c r="O103" s="26"/>
      <c r="P103" s="26"/>
      <c r="Q103" s="26"/>
      <c r="R103" s="26"/>
    </row>
    <row r="104" spans="6:18" x14ac:dyDescent="0.25">
      <c r="F104" s="26"/>
      <c r="J104" s="26"/>
      <c r="L104" s="26"/>
      <c r="M104" s="26"/>
      <c r="N104" s="26"/>
      <c r="O104" s="26"/>
      <c r="P104" s="26"/>
      <c r="Q104" s="26"/>
      <c r="R104" s="26"/>
    </row>
    <row r="105" spans="6:18" x14ac:dyDescent="0.25">
      <c r="F105" s="26"/>
      <c r="J105" s="26"/>
      <c r="L105" s="26"/>
      <c r="M105" s="26"/>
      <c r="N105" s="26"/>
      <c r="O105" s="26"/>
      <c r="P105" s="26"/>
      <c r="Q105" s="26"/>
      <c r="R105" s="26"/>
    </row>
    <row r="106" spans="6:18" x14ac:dyDescent="0.25">
      <c r="F106" s="26"/>
      <c r="J106" s="26"/>
      <c r="L106" s="26"/>
      <c r="M106" s="26"/>
      <c r="N106" s="26"/>
      <c r="O106" s="26"/>
      <c r="P106" s="26"/>
      <c r="Q106" s="26"/>
      <c r="R106" s="26"/>
    </row>
    <row r="107" spans="6:18" x14ac:dyDescent="0.25">
      <c r="F107" s="26"/>
      <c r="J107" s="26"/>
      <c r="L107" s="26"/>
      <c r="M107" s="26"/>
      <c r="N107" s="26"/>
      <c r="O107" s="26"/>
      <c r="P107" s="26"/>
      <c r="Q107" s="26"/>
      <c r="R107" s="26"/>
    </row>
    <row r="108" spans="6:18" x14ac:dyDescent="0.25">
      <c r="F108" s="26"/>
      <c r="J108" s="26"/>
      <c r="L108" s="26"/>
      <c r="M108" s="26"/>
      <c r="N108" s="26"/>
      <c r="O108" s="26"/>
      <c r="P108" s="26"/>
      <c r="Q108" s="26"/>
      <c r="R108" s="26"/>
    </row>
    <row r="109" spans="6:18" x14ac:dyDescent="0.25">
      <c r="F109" s="26"/>
      <c r="J109" s="26"/>
      <c r="L109" s="26"/>
      <c r="M109" s="26"/>
      <c r="N109" s="26"/>
      <c r="O109" s="26"/>
      <c r="P109" s="26"/>
      <c r="Q109" s="26"/>
      <c r="R109" s="26"/>
    </row>
    <row r="110" spans="6:18" x14ac:dyDescent="0.25">
      <c r="F110" s="26"/>
      <c r="J110" s="26"/>
      <c r="L110" s="26"/>
      <c r="M110" s="26"/>
      <c r="N110" s="26"/>
      <c r="O110" s="26"/>
      <c r="P110" s="26"/>
      <c r="Q110" s="26"/>
      <c r="R110" s="26"/>
    </row>
    <row r="111" spans="6:18" x14ac:dyDescent="0.25">
      <c r="F111" s="26"/>
      <c r="J111" s="26"/>
      <c r="L111" s="26"/>
      <c r="M111" s="26"/>
      <c r="N111" s="26"/>
      <c r="O111" s="26"/>
      <c r="P111" s="26"/>
      <c r="Q111" s="26"/>
      <c r="R111" s="26"/>
    </row>
    <row r="112" spans="6:18" x14ac:dyDescent="0.25">
      <c r="F112" s="26"/>
      <c r="J112" s="26"/>
      <c r="L112" s="26"/>
      <c r="M112" s="26"/>
      <c r="N112" s="26"/>
      <c r="O112" s="26"/>
      <c r="P112" s="26"/>
      <c r="Q112" s="26"/>
      <c r="R112" s="26"/>
    </row>
    <row r="113" spans="6:18" x14ac:dyDescent="0.25">
      <c r="F113" s="26"/>
      <c r="J113" s="26"/>
      <c r="L113" s="26"/>
      <c r="M113" s="26"/>
      <c r="N113" s="26"/>
      <c r="O113" s="26"/>
      <c r="P113" s="26"/>
      <c r="Q113" s="26"/>
      <c r="R113" s="26"/>
    </row>
    <row r="114" spans="6:18" x14ac:dyDescent="0.25">
      <c r="F114" s="26"/>
      <c r="J114" s="26"/>
      <c r="L114" s="26"/>
      <c r="M114" s="26"/>
      <c r="N114" s="26"/>
      <c r="O114" s="26"/>
      <c r="P114" s="26"/>
      <c r="Q114" s="26"/>
      <c r="R114" s="26"/>
    </row>
    <row r="115" spans="6:18" x14ac:dyDescent="0.25">
      <c r="F115" s="26"/>
      <c r="J115" s="26"/>
      <c r="L115" s="26"/>
      <c r="M115" s="26"/>
      <c r="N115" s="26"/>
      <c r="O115" s="26"/>
      <c r="P115" s="26"/>
      <c r="Q115" s="26"/>
      <c r="R115" s="26"/>
    </row>
    <row r="116" spans="6:18" x14ac:dyDescent="0.25">
      <c r="F116" s="26"/>
      <c r="J116" s="26"/>
      <c r="L116" s="26"/>
      <c r="M116" s="26"/>
      <c r="N116" s="26"/>
      <c r="O116" s="26"/>
      <c r="P116" s="26"/>
      <c r="Q116" s="26"/>
      <c r="R116" s="26"/>
    </row>
    <row r="117" spans="6:18" x14ac:dyDescent="0.25">
      <c r="F117" s="26"/>
      <c r="J117" s="26"/>
      <c r="L117" s="26"/>
      <c r="M117" s="26"/>
      <c r="N117" s="26"/>
      <c r="O117" s="26"/>
      <c r="P117" s="26"/>
      <c r="Q117" s="26"/>
      <c r="R117" s="26"/>
    </row>
    <row r="118" spans="6:18" x14ac:dyDescent="0.25">
      <c r="F118" s="26"/>
      <c r="J118" s="26"/>
      <c r="L118" s="26"/>
      <c r="M118" s="26"/>
      <c r="N118" s="26"/>
      <c r="O118" s="26"/>
      <c r="P118" s="26"/>
      <c r="Q118" s="26"/>
      <c r="R118" s="26"/>
    </row>
    <row r="119" spans="6:18" x14ac:dyDescent="0.25">
      <c r="F119" s="26"/>
      <c r="J119" s="26"/>
      <c r="L119" s="26"/>
      <c r="M119" s="26"/>
      <c r="N119" s="26"/>
      <c r="O119" s="26"/>
      <c r="P119" s="26"/>
      <c r="Q119" s="26"/>
      <c r="R119" s="26"/>
    </row>
    <row r="120" spans="6:18" x14ac:dyDescent="0.25">
      <c r="F120" s="26"/>
      <c r="J120" s="26"/>
      <c r="L120" s="26"/>
      <c r="M120" s="26"/>
      <c r="N120" s="26"/>
      <c r="O120" s="26"/>
      <c r="P120" s="26"/>
      <c r="Q120" s="26"/>
      <c r="R120" s="26"/>
    </row>
    <row r="121" spans="6:18" x14ac:dyDescent="0.25">
      <c r="F121" s="26"/>
      <c r="J121" s="26"/>
      <c r="L121" s="26"/>
      <c r="M121" s="26"/>
      <c r="N121" s="26"/>
      <c r="O121" s="26"/>
      <c r="P121" s="26"/>
      <c r="Q121" s="26"/>
      <c r="R121" s="26"/>
    </row>
    <row r="122" spans="6:18" x14ac:dyDescent="0.25">
      <c r="F122" s="26"/>
      <c r="J122" s="26"/>
      <c r="L122" s="26"/>
      <c r="M122" s="26"/>
      <c r="N122" s="26"/>
      <c r="O122" s="26"/>
      <c r="P122" s="26"/>
      <c r="Q122" s="26"/>
      <c r="R122" s="26"/>
    </row>
    <row r="123" spans="6:18" x14ac:dyDescent="0.25">
      <c r="F123" s="26"/>
      <c r="J123" s="26"/>
      <c r="L123" s="26"/>
      <c r="M123" s="26"/>
      <c r="N123" s="26"/>
      <c r="O123" s="26"/>
      <c r="P123" s="26"/>
      <c r="Q123" s="26"/>
      <c r="R123" s="26"/>
    </row>
    <row r="124" spans="6:18" x14ac:dyDescent="0.25">
      <c r="F124" s="26"/>
      <c r="J124" s="26"/>
      <c r="L124" s="26"/>
      <c r="M124" s="26"/>
      <c r="N124" s="26"/>
      <c r="O124" s="26"/>
      <c r="P124" s="26"/>
      <c r="Q124" s="26"/>
      <c r="R124" s="26"/>
    </row>
    <row r="125" spans="6:18" x14ac:dyDescent="0.25">
      <c r="F125" s="26"/>
      <c r="J125" s="26"/>
      <c r="L125" s="26"/>
      <c r="M125" s="26"/>
      <c r="N125" s="26"/>
      <c r="O125" s="26"/>
      <c r="P125" s="26"/>
      <c r="Q125" s="26"/>
      <c r="R125" s="26"/>
    </row>
    <row r="126" spans="6:18" x14ac:dyDescent="0.25">
      <c r="F126" s="26"/>
      <c r="J126" s="26"/>
      <c r="L126" s="26"/>
      <c r="M126" s="26"/>
      <c r="N126" s="26"/>
      <c r="O126" s="26"/>
      <c r="P126" s="26"/>
      <c r="Q126" s="26"/>
      <c r="R126" s="26"/>
    </row>
    <row r="127" spans="6:18" x14ac:dyDescent="0.25">
      <c r="F127" s="26"/>
      <c r="J127" s="26"/>
      <c r="L127" s="26"/>
      <c r="M127" s="26"/>
      <c r="N127" s="26"/>
      <c r="O127" s="26"/>
      <c r="P127" s="26"/>
      <c r="Q127" s="26"/>
      <c r="R127" s="26"/>
    </row>
    <row r="128" spans="6:18" x14ac:dyDescent="0.25">
      <c r="F128" s="26"/>
      <c r="J128" s="26"/>
      <c r="L128" s="26"/>
      <c r="M128" s="26"/>
      <c r="N128" s="26"/>
      <c r="O128" s="26"/>
      <c r="P128" s="26"/>
      <c r="Q128" s="26"/>
      <c r="R128" s="26"/>
    </row>
    <row r="129" spans="6:18" ht="21.75" customHeight="1" x14ac:dyDescent="0.25">
      <c r="F129" s="26"/>
      <c r="J129" s="26"/>
      <c r="L129" s="26"/>
      <c r="M129" s="26"/>
      <c r="N129" s="26"/>
      <c r="O129" s="26"/>
      <c r="P129" s="26"/>
      <c r="Q129" s="26"/>
      <c r="R129" s="26"/>
    </row>
    <row r="130" spans="6:18" x14ac:dyDescent="0.25">
      <c r="F130" s="26"/>
      <c r="J130" s="26"/>
      <c r="L130" s="26"/>
      <c r="M130" s="26"/>
      <c r="N130" s="26"/>
      <c r="O130" s="26"/>
      <c r="P130" s="26"/>
      <c r="Q130" s="26"/>
      <c r="R130" s="26"/>
    </row>
    <row r="131" spans="6:18" x14ac:dyDescent="0.25">
      <c r="F131" s="26"/>
      <c r="J131" s="26"/>
      <c r="L131" s="26"/>
      <c r="M131" s="26"/>
      <c r="N131" s="26"/>
      <c r="O131" s="26"/>
      <c r="P131" s="26"/>
      <c r="Q131" s="26"/>
      <c r="R131" s="26"/>
    </row>
    <row r="132" spans="6:18" x14ac:dyDescent="0.25">
      <c r="F132" s="26"/>
      <c r="J132" s="26"/>
      <c r="L132" s="26"/>
      <c r="M132" s="26"/>
      <c r="N132" s="26"/>
      <c r="O132" s="26"/>
      <c r="P132" s="26"/>
      <c r="Q132" s="26"/>
      <c r="R132" s="26"/>
    </row>
    <row r="133" spans="6:18" x14ac:dyDescent="0.25">
      <c r="F133" s="26"/>
      <c r="J133" s="26"/>
      <c r="L133" s="26"/>
      <c r="M133" s="26"/>
      <c r="N133" s="26"/>
      <c r="O133" s="26"/>
      <c r="P133" s="26"/>
      <c r="Q133" s="26"/>
      <c r="R133" s="26"/>
    </row>
    <row r="134" spans="6:18" x14ac:dyDescent="0.25">
      <c r="F134" s="26"/>
      <c r="J134" s="26"/>
      <c r="L134" s="26"/>
      <c r="M134" s="26"/>
      <c r="N134" s="26"/>
      <c r="O134" s="26"/>
      <c r="P134" s="26"/>
      <c r="Q134" s="26"/>
      <c r="R134" s="26"/>
    </row>
    <row r="135" spans="6:18" x14ac:dyDescent="0.25">
      <c r="F135" s="26"/>
      <c r="J135" s="26"/>
      <c r="L135" s="26"/>
      <c r="M135" s="26"/>
      <c r="N135" s="26"/>
      <c r="O135" s="26"/>
      <c r="P135" s="26"/>
      <c r="Q135" s="26"/>
      <c r="R135" s="26"/>
    </row>
    <row r="136" spans="6:18" x14ac:dyDescent="0.25">
      <c r="F136" s="26"/>
      <c r="J136" s="26"/>
      <c r="L136" s="26"/>
      <c r="M136" s="26"/>
      <c r="N136" s="26"/>
      <c r="O136" s="26"/>
      <c r="P136" s="26"/>
      <c r="Q136" s="26"/>
      <c r="R136" s="26"/>
    </row>
    <row r="137" spans="6:18" x14ac:dyDescent="0.25">
      <c r="F137" s="26"/>
      <c r="J137" s="26"/>
      <c r="L137" s="26"/>
      <c r="M137" s="26"/>
      <c r="N137" s="26"/>
      <c r="O137" s="26"/>
      <c r="P137" s="26"/>
      <c r="Q137" s="26"/>
      <c r="R137" s="26"/>
    </row>
    <row r="138" spans="6:18" x14ac:dyDescent="0.25">
      <c r="F138" s="26"/>
      <c r="J138" s="26"/>
      <c r="L138" s="26"/>
      <c r="M138" s="26"/>
      <c r="N138" s="26"/>
      <c r="O138" s="26"/>
      <c r="P138" s="26"/>
      <c r="Q138" s="26"/>
      <c r="R138" s="26"/>
    </row>
    <row r="139" spans="6:18" x14ac:dyDescent="0.25">
      <c r="F139" s="26"/>
      <c r="J139" s="26"/>
      <c r="L139" s="26"/>
      <c r="M139" s="26"/>
      <c r="N139" s="26"/>
      <c r="O139" s="26"/>
      <c r="P139" s="26"/>
      <c r="Q139" s="26"/>
      <c r="R139" s="26"/>
    </row>
    <row r="140" spans="6:18" x14ac:dyDescent="0.25">
      <c r="F140" s="26"/>
      <c r="J140" s="26"/>
      <c r="L140" s="26"/>
      <c r="M140" s="26"/>
      <c r="N140" s="26"/>
      <c r="O140" s="26"/>
      <c r="P140" s="26"/>
      <c r="Q140" s="26"/>
      <c r="R140" s="26"/>
    </row>
    <row r="141" spans="6:18" x14ac:dyDescent="0.25">
      <c r="F141" s="26"/>
      <c r="J141" s="26"/>
      <c r="L141" s="26"/>
      <c r="M141" s="26"/>
      <c r="N141" s="26"/>
      <c r="O141" s="26"/>
      <c r="P141" s="26"/>
      <c r="Q141" s="26"/>
      <c r="R141" s="26"/>
    </row>
    <row r="142" spans="6:18" x14ac:dyDescent="0.25">
      <c r="F142" s="26"/>
      <c r="J142" s="26"/>
      <c r="L142" s="26"/>
      <c r="M142" s="26"/>
      <c r="N142" s="26"/>
      <c r="O142" s="26"/>
      <c r="P142" s="26"/>
      <c r="Q142" s="26"/>
      <c r="R142" s="26"/>
    </row>
    <row r="143" spans="6:18" x14ac:dyDescent="0.25">
      <c r="F143" s="26"/>
      <c r="J143" s="26"/>
      <c r="L143" s="26"/>
      <c r="M143" s="26"/>
      <c r="N143" s="26"/>
      <c r="O143" s="26"/>
      <c r="P143" s="26"/>
      <c r="Q143" s="26"/>
      <c r="R143" s="26"/>
    </row>
    <row r="144" spans="6:18" x14ac:dyDescent="0.25">
      <c r="F144" s="26"/>
      <c r="J144" s="26"/>
      <c r="L144" s="26"/>
      <c r="M144" s="26"/>
      <c r="N144" s="26"/>
      <c r="O144" s="26"/>
      <c r="P144" s="26"/>
      <c r="Q144" s="26"/>
      <c r="R144" s="26"/>
    </row>
    <row r="145" spans="6:18" x14ac:dyDescent="0.25">
      <c r="F145" s="26"/>
      <c r="J145" s="26"/>
      <c r="L145" s="26"/>
      <c r="M145" s="26"/>
      <c r="N145" s="26"/>
      <c r="O145" s="26"/>
      <c r="P145" s="26"/>
      <c r="Q145" s="26"/>
      <c r="R145" s="26"/>
    </row>
    <row r="146" spans="6:18" ht="15" customHeight="1" x14ac:dyDescent="0.25">
      <c r="F146" s="26"/>
      <c r="J146" s="26"/>
      <c r="L146" s="26"/>
      <c r="M146" s="26"/>
      <c r="N146" s="26"/>
      <c r="O146" s="26"/>
      <c r="P146" s="26"/>
      <c r="Q146" s="26"/>
      <c r="R146" s="26"/>
    </row>
    <row r="147" spans="6:18" x14ac:dyDescent="0.25">
      <c r="F147" s="26"/>
      <c r="J147" s="26"/>
      <c r="L147" s="26"/>
      <c r="M147" s="26"/>
      <c r="N147" s="26"/>
      <c r="O147" s="26"/>
      <c r="P147" s="26"/>
      <c r="Q147" s="26"/>
      <c r="R147" s="26"/>
    </row>
    <row r="148" spans="6:18" x14ac:dyDescent="0.25">
      <c r="F148" s="26"/>
      <c r="J148" s="26"/>
      <c r="L148" s="26"/>
      <c r="M148" s="26"/>
      <c r="N148" s="26"/>
      <c r="O148" s="26"/>
      <c r="P148" s="26"/>
      <c r="Q148" s="26"/>
      <c r="R148" s="26"/>
    </row>
    <row r="149" spans="6:18" x14ac:dyDescent="0.25">
      <c r="F149" s="26"/>
      <c r="J149" s="26"/>
      <c r="L149" s="26"/>
      <c r="M149" s="26"/>
      <c r="N149" s="26"/>
      <c r="O149" s="26"/>
      <c r="P149" s="26"/>
      <c r="Q149" s="26"/>
      <c r="R149" s="26"/>
    </row>
    <row r="150" spans="6:18" x14ac:dyDescent="0.25">
      <c r="F150" s="26"/>
      <c r="J150" s="26"/>
      <c r="L150" s="26"/>
      <c r="M150" s="26"/>
      <c r="N150" s="26"/>
      <c r="O150" s="26"/>
      <c r="P150" s="26"/>
      <c r="Q150" s="26"/>
      <c r="R150" s="26"/>
    </row>
    <row r="151" spans="6:18" x14ac:dyDescent="0.25">
      <c r="F151" s="26"/>
      <c r="J151" s="26"/>
      <c r="L151" s="26"/>
      <c r="M151" s="26"/>
      <c r="N151" s="26"/>
      <c r="O151" s="26"/>
      <c r="P151" s="26"/>
      <c r="Q151" s="26"/>
      <c r="R151" s="26"/>
    </row>
    <row r="152" spans="6:18" x14ac:dyDescent="0.25">
      <c r="F152" s="26"/>
      <c r="J152" s="26"/>
      <c r="L152" s="26"/>
      <c r="M152" s="26"/>
      <c r="N152" s="26"/>
      <c r="O152" s="26"/>
      <c r="P152" s="26"/>
      <c r="Q152" s="26"/>
      <c r="R152" s="26"/>
    </row>
    <row r="153" spans="6:18" x14ac:dyDescent="0.25">
      <c r="F153" s="26"/>
      <c r="J153" s="26"/>
      <c r="L153" s="26"/>
      <c r="M153" s="26"/>
      <c r="N153" s="26"/>
      <c r="O153" s="26"/>
      <c r="P153" s="26"/>
      <c r="Q153" s="26"/>
      <c r="R153" s="26"/>
    </row>
    <row r="154" spans="6:18" x14ac:dyDescent="0.25">
      <c r="F154" s="26"/>
      <c r="J154" s="26"/>
      <c r="L154" s="26"/>
      <c r="M154" s="26"/>
      <c r="N154" s="26"/>
      <c r="O154" s="26"/>
      <c r="P154" s="26"/>
      <c r="Q154" s="26"/>
      <c r="R154" s="26"/>
    </row>
    <row r="155" spans="6:18" x14ac:dyDescent="0.25">
      <c r="F155" s="26"/>
      <c r="J155" s="26"/>
      <c r="L155" s="26"/>
      <c r="M155" s="26"/>
      <c r="N155" s="26"/>
      <c r="O155" s="26"/>
      <c r="P155" s="26"/>
      <c r="Q155" s="26"/>
      <c r="R155" s="26"/>
    </row>
    <row r="156" spans="6:18" x14ac:dyDescent="0.25">
      <c r="F156" s="26"/>
      <c r="J156" s="26"/>
      <c r="L156" s="26"/>
      <c r="M156" s="26"/>
      <c r="N156" s="26"/>
      <c r="O156" s="26"/>
      <c r="P156" s="26"/>
      <c r="Q156" s="26"/>
      <c r="R156" s="26"/>
    </row>
    <row r="157" spans="6:18" x14ac:dyDescent="0.25">
      <c r="F157" s="26"/>
      <c r="J157" s="26"/>
      <c r="L157" s="26"/>
      <c r="M157" s="26"/>
      <c r="N157" s="26"/>
      <c r="O157" s="26"/>
      <c r="P157" s="26"/>
      <c r="Q157" s="26"/>
      <c r="R157" s="26"/>
    </row>
    <row r="158" spans="6:18" x14ac:dyDescent="0.25">
      <c r="F158" s="26"/>
      <c r="J158" s="26"/>
      <c r="L158" s="26"/>
      <c r="M158" s="26"/>
      <c r="N158" s="26"/>
      <c r="O158" s="26"/>
      <c r="P158" s="26"/>
      <c r="Q158" s="26"/>
      <c r="R158" s="26"/>
    </row>
    <row r="159" spans="6:18" x14ac:dyDescent="0.25">
      <c r="F159" s="26"/>
      <c r="J159" s="26"/>
      <c r="L159" s="26"/>
      <c r="M159" s="26"/>
      <c r="N159" s="26"/>
      <c r="O159" s="26"/>
      <c r="P159" s="26"/>
      <c r="Q159" s="26"/>
      <c r="R159" s="26"/>
    </row>
    <row r="160" spans="6:18" ht="21.75" customHeight="1" x14ac:dyDescent="0.25">
      <c r="F160" s="26"/>
      <c r="J160" s="26"/>
      <c r="L160" s="26"/>
      <c r="M160" s="26"/>
      <c r="N160" s="26"/>
      <c r="O160" s="26"/>
      <c r="P160" s="26"/>
      <c r="Q160" s="26"/>
      <c r="R160" s="26"/>
    </row>
    <row r="161" spans="6:18" x14ac:dyDescent="0.25">
      <c r="F161" s="26"/>
      <c r="J161" s="26"/>
      <c r="L161" s="26"/>
      <c r="M161" s="26"/>
      <c r="N161" s="26"/>
      <c r="O161" s="26"/>
      <c r="P161" s="26"/>
      <c r="Q161" s="26"/>
      <c r="R161" s="26"/>
    </row>
    <row r="162" spans="6:18" x14ac:dyDescent="0.25">
      <c r="F162" s="26"/>
      <c r="J162" s="26"/>
      <c r="L162" s="26"/>
      <c r="M162" s="26"/>
      <c r="N162" s="26"/>
      <c r="O162" s="26"/>
      <c r="P162" s="26"/>
      <c r="Q162" s="26"/>
      <c r="R162" s="26"/>
    </row>
    <row r="163" spans="6:18" x14ac:dyDescent="0.25">
      <c r="F163" s="26"/>
      <c r="J163" s="26"/>
      <c r="L163" s="26"/>
      <c r="M163" s="26"/>
      <c r="N163" s="26"/>
      <c r="O163" s="26"/>
      <c r="P163" s="26"/>
      <c r="Q163" s="26"/>
      <c r="R163" s="26"/>
    </row>
    <row r="164" spans="6:18" x14ac:dyDescent="0.25">
      <c r="F164" s="26"/>
      <c r="J164" s="26"/>
      <c r="L164" s="26"/>
      <c r="M164" s="26"/>
      <c r="N164" s="26"/>
      <c r="O164" s="26"/>
      <c r="P164" s="26"/>
      <c r="Q164" s="26"/>
      <c r="R164" s="26"/>
    </row>
    <row r="165" spans="6:18" x14ac:dyDescent="0.25">
      <c r="F165" s="26"/>
      <c r="J165" s="26"/>
      <c r="L165" s="26"/>
      <c r="M165" s="26"/>
      <c r="N165" s="26"/>
      <c r="O165" s="26"/>
      <c r="P165" s="26"/>
      <c r="Q165" s="26"/>
      <c r="R165" s="26"/>
    </row>
    <row r="166" spans="6:18" x14ac:dyDescent="0.25">
      <c r="F166" s="26"/>
      <c r="J166" s="26"/>
      <c r="L166" s="26"/>
      <c r="M166" s="26"/>
      <c r="N166" s="26"/>
      <c r="O166" s="26"/>
      <c r="P166" s="26"/>
      <c r="Q166" s="26"/>
      <c r="R166" s="26"/>
    </row>
    <row r="167" spans="6:18" x14ac:dyDescent="0.25">
      <c r="F167" s="26"/>
      <c r="J167" s="26"/>
      <c r="L167" s="26"/>
      <c r="M167" s="26"/>
      <c r="N167" s="26"/>
      <c r="O167" s="26"/>
      <c r="P167" s="26"/>
      <c r="Q167" s="26"/>
      <c r="R167" s="26"/>
    </row>
    <row r="168" spans="6:18" x14ac:dyDescent="0.25">
      <c r="F168" s="26"/>
      <c r="J168" s="26"/>
      <c r="L168" s="26"/>
      <c r="M168" s="26"/>
      <c r="N168" s="26"/>
      <c r="O168" s="26"/>
      <c r="P168" s="26"/>
      <c r="Q168" s="26"/>
      <c r="R168" s="26"/>
    </row>
    <row r="169" spans="6:18" x14ac:dyDescent="0.25">
      <c r="F169" s="26"/>
      <c r="J169" s="26"/>
      <c r="L169" s="26"/>
      <c r="M169" s="26"/>
      <c r="N169" s="26"/>
      <c r="O169" s="26"/>
      <c r="P169" s="26"/>
      <c r="Q169" s="26"/>
      <c r="R169" s="26"/>
    </row>
    <row r="170" spans="6:18" x14ac:dyDescent="0.25">
      <c r="F170" s="26"/>
      <c r="J170" s="26"/>
      <c r="L170" s="26"/>
      <c r="M170" s="26"/>
      <c r="N170" s="26"/>
      <c r="O170" s="26"/>
      <c r="P170" s="26"/>
      <c r="Q170" s="26"/>
      <c r="R170" s="26"/>
    </row>
    <row r="171" spans="6:18" x14ac:dyDescent="0.25">
      <c r="F171" s="26"/>
      <c r="J171" s="26"/>
      <c r="L171" s="26"/>
      <c r="M171" s="26"/>
      <c r="N171" s="26"/>
      <c r="O171" s="26"/>
      <c r="P171" s="26"/>
      <c r="Q171" s="26"/>
      <c r="R171" s="26"/>
    </row>
    <row r="172" spans="6:18" x14ac:dyDescent="0.25">
      <c r="F172" s="26"/>
      <c r="J172" s="26"/>
      <c r="L172" s="26"/>
      <c r="M172" s="26"/>
      <c r="N172" s="26"/>
      <c r="O172" s="26"/>
      <c r="P172" s="26"/>
      <c r="Q172" s="26"/>
      <c r="R172" s="26"/>
    </row>
    <row r="173" spans="6:18" x14ac:dyDescent="0.25">
      <c r="F173" s="26"/>
      <c r="J173" s="26"/>
      <c r="L173" s="26"/>
      <c r="M173" s="26"/>
      <c r="N173" s="26"/>
      <c r="O173" s="26"/>
      <c r="P173" s="26"/>
      <c r="Q173" s="26"/>
      <c r="R173" s="26"/>
    </row>
    <row r="174" spans="6:18" x14ac:dyDescent="0.25">
      <c r="F174" s="26"/>
      <c r="J174" s="26"/>
      <c r="L174" s="26"/>
      <c r="M174" s="26"/>
      <c r="N174" s="26"/>
      <c r="O174" s="26"/>
      <c r="P174" s="26"/>
      <c r="Q174" s="26"/>
      <c r="R174" s="26"/>
    </row>
    <row r="175" spans="6:18" x14ac:dyDescent="0.25">
      <c r="F175" s="26"/>
      <c r="J175" s="26"/>
      <c r="L175" s="26"/>
      <c r="M175" s="26"/>
      <c r="N175" s="26"/>
      <c r="O175" s="26"/>
      <c r="P175" s="26"/>
      <c r="Q175" s="26"/>
      <c r="R175" s="26"/>
    </row>
    <row r="176" spans="6:18" x14ac:dyDescent="0.25">
      <c r="F176" s="26"/>
      <c r="J176" s="26"/>
      <c r="L176" s="26"/>
      <c r="M176" s="26"/>
      <c r="N176" s="26"/>
      <c r="O176" s="26"/>
      <c r="P176" s="26"/>
      <c r="Q176" s="26"/>
      <c r="R176" s="26"/>
    </row>
    <row r="177" spans="6:18" x14ac:dyDescent="0.25">
      <c r="F177" s="26"/>
      <c r="J177" s="26"/>
      <c r="L177" s="26"/>
      <c r="M177" s="26"/>
      <c r="N177" s="26"/>
      <c r="O177" s="26"/>
      <c r="P177" s="26"/>
      <c r="Q177" s="26"/>
      <c r="R177" s="26"/>
    </row>
    <row r="178" spans="6:18" x14ac:dyDescent="0.25">
      <c r="F178" s="26"/>
      <c r="J178" s="26"/>
      <c r="L178" s="26"/>
      <c r="M178" s="26"/>
      <c r="N178" s="26"/>
      <c r="O178" s="26"/>
      <c r="P178" s="26"/>
      <c r="Q178" s="26"/>
      <c r="R178" s="26"/>
    </row>
    <row r="179" spans="6:18" x14ac:dyDescent="0.25">
      <c r="F179" s="26"/>
      <c r="J179" s="26"/>
      <c r="L179" s="26"/>
      <c r="M179" s="26"/>
      <c r="N179" s="26"/>
      <c r="O179" s="26"/>
      <c r="P179" s="26"/>
      <c r="Q179" s="26"/>
      <c r="R179" s="26"/>
    </row>
    <row r="180" spans="6:18" x14ac:dyDescent="0.25">
      <c r="F180" s="26"/>
      <c r="J180" s="26"/>
      <c r="L180" s="26"/>
      <c r="M180" s="26"/>
      <c r="N180" s="26"/>
      <c r="O180" s="26"/>
      <c r="P180" s="26"/>
      <c r="Q180" s="26"/>
      <c r="R180" s="26"/>
    </row>
    <row r="181" spans="6:18" x14ac:dyDescent="0.25">
      <c r="F181" s="26"/>
      <c r="J181" s="26"/>
      <c r="L181" s="26"/>
      <c r="M181" s="26"/>
      <c r="N181" s="26"/>
      <c r="O181" s="26"/>
      <c r="P181" s="26"/>
      <c r="Q181" s="26"/>
      <c r="R181" s="26"/>
    </row>
    <row r="182" spans="6:18" x14ac:dyDescent="0.25">
      <c r="F182" s="26"/>
      <c r="J182" s="26"/>
      <c r="L182" s="26"/>
      <c r="M182" s="26"/>
      <c r="N182" s="26"/>
      <c r="O182" s="26"/>
      <c r="P182" s="26"/>
      <c r="Q182" s="26"/>
      <c r="R182" s="26"/>
    </row>
    <row r="183" spans="6:18" x14ac:dyDescent="0.25">
      <c r="F183" s="26"/>
      <c r="J183" s="26"/>
      <c r="L183" s="26"/>
      <c r="M183" s="26"/>
      <c r="N183" s="26"/>
      <c r="O183" s="26"/>
      <c r="P183" s="26"/>
      <c r="Q183" s="26"/>
      <c r="R183" s="26"/>
    </row>
    <row r="184" spans="6:18" x14ac:dyDescent="0.25">
      <c r="F184" s="26"/>
      <c r="J184" s="26"/>
      <c r="L184" s="26"/>
      <c r="M184" s="26"/>
      <c r="N184" s="26"/>
      <c r="O184" s="26"/>
      <c r="P184" s="26"/>
      <c r="Q184" s="26"/>
      <c r="R184" s="26"/>
    </row>
    <row r="185" spans="6:18" x14ac:dyDescent="0.25">
      <c r="F185" s="26"/>
      <c r="J185" s="26"/>
      <c r="L185" s="26"/>
      <c r="M185" s="26"/>
      <c r="N185" s="26"/>
      <c r="O185" s="26"/>
      <c r="P185" s="26"/>
      <c r="Q185" s="26"/>
      <c r="R185" s="26"/>
    </row>
    <row r="186" spans="6:18" x14ac:dyDescent="0.25">
      <c r="F186" s="26"/>
      <c r="J186" s="26"/>
      <c r="L186" s="26"/>
      <c r="M186" s="26"/>
      <c r="N186" s="26"/>
      <c r="O186" s="26"/>
      <c r="P186" s="26"/>
      <c r="Q186" s="26"/>
      <c r="R186" s="26"/>
    </row>
    <row r="187" spans="6:18" x14ac:dyDescent="0.25">
      <c r="F187" s="26"/>
      <c r="J187" s="26"/>
      <c r="L187" s="26"/>
      <c r="M187" s="26"/>
      <c r="N187" s="26"/>
      <c r="O187" s="26"/>
      <c r="P187" s="26"/>
      <c r="Q187" s="26"/>
      <c r="R187" s="26"/>
    </row>
    <row r="188" spans="6:18" x14ac:dyDescent="0.25">
      <c r="F188" s="26"/>
      <c r="J188" s="26"/>
      <c r="L188" s="26"/>
      <c r="M188" s="26"/>
      <c r="N188" s="26"/>
      <c r="O188" s="26"/>
      <c r="P188" s="26"/>
      <c r="Q188" s="26"/>
      <c r="R188" s="26"/>
    </row>
    <row r="189" spans="6:18" x14ac:dyDescent="0.25">
      <c r="F189" s="26"/>
      <c r="J189" s="26"/>
      <c r="L189" s="26"/>
      <c r="M189" s="26"/>
      <c r="N189" s="26"/>
      <c r="O189" s="26"/>
      <c r="P189" s="26"/>
      <c r="Q189" s="26"/>
      <c r="R189" s="26"/>
    </row>
    <row r="190" spans="6:18" x14ac:dyDescent="0.25">
      <c r="F190" s="26"/>
      <c r="J190" s="26"/>
      <c r="L190" s="26"/>
      <c r="M190" s="26"/>
      <c r="N190" s="26"/>
      <c r="O190" s="26"/>
      <c r="P190" s="26"/>
      <c r="Q190" s="26"/>
      <c r="R190" s="26"/>
    </row>
    <row r="191" spans="6:18" x14ac:dyDescent="0.25">
      <c r="F191" s="26"/>
      <c r="J191" s="26"/>
      <c r="L191" s="26"/>
      <c r="M191" s="26"/>
      <c r="N191" s="26"/>
      <c r="O191" s="26"/>
      <c r="P191" s="26"/>
      <c r="Q191" s="26"/>
      <c r="R191" s="26"/>
    </row>
    <row r="192" spans="6:18" x14ac:dyDescent="0.25">
      <c r="F192" s="26"/>
      <c r="J192" s="26"/>
      <c r="L192" s="26"/>
      <c r="M192" s="26"/>
      <c r="N192" s="26"/>
      <c r="O192" s="26"/>
      <c r="P192" s="26"/>
      <c r="Q192" s="26"/>
      <c r="R192" s="26"/>
    </row>
    <row r="193" spans="6:18" x14ac:dyDescent="0.25">
      <c r="F193" s="26"/>
      <c r="J193" s="26"/>
      <c r="L193" s="26"/>
      <c r="M193" s="26"/>
      <c r="N193" s="26"/>
      <c r="O193" s="26"/>
      <c r="P193" s="26"/>
      <c r="Q193" s="26"/>
      <c r="R193" s="26"/>
    </row>
    <row r="194" spans="6:18" x14ac:dyDescent="0.25">
      <c r="F194" s="26"/>
      <c r="J194" s="26"/>
      <c r="L194" s="26"/>
      <c r="M194" s="26"/>
      <c r="N194" s="26"/>
      <c r="O194" s="26"/>
      <c r="P194" s="26"/>
      <c r="Q194" s="26"/>
      <c r="R194" s="26"/>
    </row>
    <row r="195" spans="6:18" x14ac:dyDescent="0.25">
      <c r="F195" s="26"/>
      <c r="J195" s="26"/>
      <c r="L195" s="26"/>
      <c r="M195" s="26"/>
      <c r="N195" s="26"/>
      <c r="O195" s="26"/>
      <c r="P195" s="26"/>
      <c r="Q195" s="26"/>
      <c r="R195" s="26"/>
    </row>
    <row r="196" spans="6:18" x14ac:dyDescent="0.25">
      <c r="F196" s="26"/>
      <c r="J196" s="26"/>
      <c r="L196" s="26"/>
      <c r="M196" s="26"/>
      <c r="N196" s="26"/>
      <c r="O196" s="26"/>
      <c r="P196" s="26"/>
      <c r="Q196" s="26"/>
      <c r="R196" s="26"/>
    </row>
    <row r="197" spans="6:18" x14ac:dyDescent="0.25">
      <c r="F197" s="26"/>
      <c r="J197" s="26"/>
      <c r="L197" s="26"/>
      <c r="M197" s="26"/>
      <c r="N197" s="26"/>
      <c r="O197" s="26"/>
      <c r="P197" s="26"/>
      <c r="Q197" s="26"/>
      <c r="R197" s="26"/>
    </row>
    <row r="198" spans="6:18" x14ac:dyDescent="0.25">
      <c r="F198" s="26"/>
      <c r="J198" s="26"/>
      <c r="L198" s="26"/>
      <c r="M198" s="26"/>
      <c r="N198" s="26"/>
      <c r="O198" s="26"/>
      <c r="P198" s="26"/>
      <c r="Q198" s="26"/>
      <c r="R198" s="26"/>
    </row>
    <row r="199" spans="6:18" x14ac:dyDescent="0.25">
      <c r="F199" s="26"/>
      <c r="J199" s="26"/>
      <c r="L199" s="26"/>
      <c r="M199" s="26"/>
      <c r="N199" s="26"/>
      <c r="O199" s="26"/>
      <c r="P199" s="26"/>
      <c r="Q199" s="26"/>
      <c r="R199" s="26"/>
    </row>
    <row r="200" spans="6:18" x14ac:dyDescent="0.25">
      <c r="F200" s="26"/>
      <c r="J200" s="26"/>
      <c r="L200" s="26"/>
      <c r="M200" s="26"/>
      <c r="N200" s="26"/>
      <c r="O200" s="26"/>
      <c r="P200" s="26"/>
      <c r="Q200" s="26"/>
      <c r="R200" s="26"/>
    </row>
    <row r="201" spans="6:18" x14ac:dyDescent="0.25">
      <c r="F201" s="26"/>
      <c r="J201" s="26"/>
      <c r="L201" s="26"/>
      <c r="M201" s="26"/>
      <c r="N201" s="26"/>
      <c r="O201" s="26"/>
      <c r="P201" s="26"/>
      <c r="Q201" s="26"/>
      <c r="R201" s="26"/>
    </row>
    <row r="202" spans="6:18" x14ac:dyDescent="0.25">
      <c r="F202" s="26"/>
      <c r="J202" s="26"/>
      <c r="L202" s="26"/>
      <c r="M202" s="26"/>
      <c r="N202" s="26"/>
      <c r="O202" s="26"/>
      <c r="P202" s="26"/>
      <c r="Q202" s="26"/>
      <c r="R202" s="26"/>
    </row>
    <row r="203" spans="6:18" x14ac:dyDescent="0.25">
      <c r="F203" s="26"/>
      <c r="J203" s="26"/>
      <c r="L203" s="26"/>
      <c r="M203" s="26"/>
      <c r="N203" s="26"/>
      <c r="O203" s="26"/>
      <c r="P203" s="26"/>
      <c r="Q203" s="26"/>
      <c r="R203" s="26"/>
    </row>
    <row r="204" spans="6:18" x14ac:dyDescent="0.25">
      <c r="F204" s="26"/>
      <c r="J204" s="26"/>
      <c r="L204" s="26"/>
      <c r="M204" s="26"/>
      <c r="N204" s="26"/>
      <c r="O204" s="26"/>
      <c r="P204" s="26"/>
      <c r="Q204" s="26"/>
      <c r="R204" s="26"/>
    </row>
    <row r="205" spans="6:18" x14ac:dyDescent="0.25">
      <c r="F205" s="26"/>
      <c r="J205" s="26"/>
      <c r="L205" s="26"/>
      <c r="M205" s="26"/>
      <c r="N205" s="26"/>
      <c r="O205" s="26"/>
      <c r="P205" s="26"/>
      <c r="Q205" s="26"/>
      <c r="R205" s="26"/>
    </row>
    <row r="206" spans="6:18" x14ac:dyDescent="0.25">
      <c r="F206" s="26"/>
      <c r="J206" s="26"/>
      <c r="L206" s="26"/>
      <c r="M206" s="26"/>
      <c r="N206" s="26"/>
      <c r="O206" s="26"/>
      <c r="P206" s="26"/>
      <c r="Q206" s="26"/>
      <c r="R206" s="26"/>
    </row>
    <row r="207" spans="6:18" x14ac:dyDescent="0.25">
      <c r="F207" s="26"/>
      <c r="J207" s="26"/>
      <c r="L207" s="26"/>
      <c r="M207" s="26"/>
      <c r="N207" s="26"/>
      <c r="O207" s="26"/>
      <c r="P207" s="26"/>
      <c r="Q207" s="26"/>
      <c r="R207" s="26"/>
    </row>
    <row r="208" spans="6:18" x14ac:dyDescent="0.25">
      <c r="F208" s="26"/>
      <c r="J208" s="26"/>
      <c r="L208" s="26"/>
      <c r="M208" s="26"/>
      <c r="N208" s="26"/>
      <c r="O208" s="26"/>
      <c r="P208" s="26"/>
      <c r="Q208" s="26"/>
      <c r="R208" s="26"/>
    </row>
    <row r="209" spans="6:18" x14ac:dyDescent="0.25">
      <c r="F209" s="26"/>
      <c r="J209" s="26"/>
      <c r="L209" s="26"/>
      <c r="M209" s="26"/>
      <c r="N209" s="26"/>
      <c r="O209" s="26"/>
      <c r="P209" s="26"/>
      <c r="Q209" s="26"/>
      <c r="R209" s="26"/>
    </row>
    <row r="210" spans="6:18" x14ac:dyDescent="0.25">
      <c r="F210" s="26"/>
      <c r="J210" s="26"/>
      <c r="L210" s="26"/>
      <c r="M210" s="26"/>
      <c r="N210" s="26"/>
      <c r="O210" s="26"/>
      <c r="P210" s="26"/>
      <c r="Q210" s="26"/>
      <c r="R210" s="26"/>
    </row>
    <row r="211" spans="6:18" x14ac:dyDescent="0.25">
      <c r="F211" s="26"/>
      <c r="J211" s="26"/>
      <c r="L211" s="26"/>
      <c r="M211" s="26"/>
      <c r="N211" s="26"/>
      <c r="O211" s="26"/>
      <c r="P211" s="26"/>
      <c r="Q211" s="26"/>
      <c r="R211" s="26"/>
    </row>
    <row r="212" spans="6:18" x14ac:dyDescent="0.25">
      <c r="F212" s="26"/>
      <c r="J212" s="26"/>
      <c r="L212" s="26"/>
      <c r="M212" s="26"/>
      <c r="N212" s="26"/>
      <c r="O212" s="26"/>
      <c r="P212" s="26"/>
      <c r="Q212" s="26"/>
      <c r="R212" s="26"/>
    </row>
    <row r="213" spans="6:18" x14ac:dyDescent="0.25">
      <c r="F213" s="26"/>
      <c r="J213" s="26"/>
      <c r="L213" s="26"/>
      <c r="M213" s="26"/>
      <c r="N213" s="26"/>
      <c r="O213" s="26"/>
      <c r="P213" s="26"/>
      <c r="Q213" s="26"/>
      <c r="R213" s="26"/>
    </row>
    <row r="214" spans="6:18" x14ac:dyDescent="0.25">
      <c r="F214" s="26"/>
      <c r="J214" s="26"/>
      <c r="L214" s="26"/>
      <c r="M214" s="26"/>
      <c r="N214" s="26"/>
      <c r="O214" s="26"/>
      <c r="P214" s="26"/>
      <c r="Q214" s="26"/>
      <c r="R214" s="26"/>
    </row>
    <row r="215" spans="6:18" x14ac:dyDescent="0.25">
      <c r="F215" s="26"/>
      <c r="J215" s="26"/>
      <c r="L215" s="26"/>
      <c r="M215" s="26"/>
      <c r="N215" s="26"/>
      <c r="O215" s="26"/>
      <c r="P215" s="26"/>
      <c r="Q215" s="26"/>
      <c r="R215" s="26"/>
    </row>
    <row r="216" spans="6:18" x14ac:dyDescent="0.25">
      <c r="F216" s="26"/>
      <c r="J216" s="26"/>
      <c r="L216" s="26"/>
      <c r="M216" s="26"/>
      <c r="N216" s="26"/>
      <c r="O216" s="26"/>
      <c r="P216" s="26"/>
      <c r="Q216" s="26"/>
      <c r="R216" s="26"/>
    </row>
    <row r="217" spans="6:18" x14ac:dyDescent="0.25">
      <c r="F217" s="26"/>
      <c r="J217" s="26"/>
      <c r="L217" s="26"/>
      <c r="M217" s="26"/>
      <c r="N217" s="26"/>
      <c r="O217" s="26"/>
      <c r="P217" s="26"/>
      <c r="Q217" s="26"/>
      <c r="R217" s="26"/>
    </row>
    <row r="218" spans="6:18" x14ac:dyDescent="0.25">
      <c r="F218" s="26"/>
      <c r="J218" s="26"/>
      <c r="L218" s="26"/>
      <c r="M218" s="26"/>
      <c r="N218" s="26"/>
      <c r="O218" s="26"/>
      <c r="P218" s="26"/>
      <c r="Q218" s="26"/>
      <c r="R218" s="26"/>
    </row>
    <row r="219" spans="6:18" x14ac:dyDescent="0.25">
      <c r="F219" s="26"/>
      <c r="J219" s="26"/>
      <c r="L219" s="26"/>
      <c r="M219" s="26"/>
      <c r="N219" s="26"/>
      <c r="O219" s="26"/>
      <c r="P219" s="26"/>
      <c r="Q219" s="26"/>
      <c r="R219" s="26"/>
    </row>
    <row r="220" spans="6:18" x14ac:dyDescent="0.25">
      <c r="F220" s="26"/>
      <c r="J220" s="26"/>
      <c r="L220" s="26"/>
      <c r="M220" s="26"/>
      <c r="N220" s="26"/>
      <c r="O220" s="26"/>
      <c r="P220" s="26"/>
      <c r="Q220" s="26"/>
      <c r="R220" s="26"/>
    </row>
    <row r="221" spans="6:18" x14ac:dyDescent="0.25">
      <c r="F221" s="26"/>
      <c r="J221" s="26"/>
      <c r="L221" s="26"/>
      <c r="M221" s="26"/>
      <c r="N221" s="26"/>
      <c r="O221" s="26"/>
      <c r="P221" s="26"/>
      <c r="Q221" s="26"/>
      <c r="R221" s="26"/>
    </row>
    <row r="222" spans="6:18" x14ac:dyDescent="0.25">
      <c r="F222" s="26"/>
      <c r="J222" s="26"/>
      <c r="L222" s="26"/>
      <c r="M222" s="26"/>
      <c r="N222" s="26"/>
      <c r="O222" s="26"/>
      <c r="P222" s="26"/>
      <c r="Q222" s="26"/>
      <c r="R222" s="26"/>
    </row>
    <row r="223" spans="6:18" x14ac:dyDescent="0.25">
      <c r="F223" s="26"/>
      <c r="J223" s="26"/>
      <c r="L223" s="26"/>
      <c r="M223" s="26"/>
      <c r="N223" s="26"/>
      <c r="O223" s="26"/>
      <c r="P223" s="26"/>
      <c r="Q223" s="26"/>
      <c r="R223" s="26"/>
    </row>
    <row r="224" spans="6:18" x14ac:dyDescent="0.25">
      <c r="F224" s="26"/>
      <c r="J224" s="26"/>
      <c r="L224" s="26"/>
      <c r="M224" s="26"/>
      <c r="N224" s="26"/>
      <c r="O224" s="26"/>
      <c r="P224" s="26"/>
      <c r="Q224" s="26"/>
      <c r="R224" s="26"/>
    </row>
    <row r="225" spans="6:18" x14ac:dyDescent="0.25">
      <c r="F225" s="26"/>
      <c r="J225" s="26"/>
      <c r="L225" s="26"/>
      <c r="M225" s="26"/>
      <c r="N225" s="26"/>
      <c r="O225" s="26"/>
      <c r="P225" s="26"/>
      <c r="Q225" s="26"/>
      <c r="R225" s="26"/>
    </row>
    <row r="226" spans="6:18" x14ac:dyDescent="0.25">
      <c r="F226" s="26"/>
      <c r="J226" s="26"/>
      <c r="L226" s="26"/>
      <c r="M226" s="26"/>
      <c r="N226" s="26"/>
      <c r="O226" s="26"/>
      <c r="P226" s="26"/>
      <c r="Q226" s="26"/>
      <c r="R226" s="26"/>
    </row>
    <row r="227" spans="6:18" x14ac:dyDescent="0.25">
      <c r="F227" s="26"/>
      <c r="J227" s="26"/>
      <c r="L227" s="26"/>
      <c r="M227" s="26"/>
      <c r="N227" s="26"/>
      <c r="O227" s="26"/>
      <c r="P227" s="26"/>
      <c r="Q227" s="26"/>
      <c r="R227" s="26"/>
    </row>
    <row r="228" spans="6:18" x14ac:dyDescent="0.25">
      <c r="F228" s="26"/>
      <c r="J228" s="26"/>
      <c r="L228" s="26"/>
      <c r="M228" s="26"/>
      <c r="N228" s="26"/>
      <c r="O228" s="26"/>
      <c r="P228" s="26"/>
      <c r="Q228" s="26"/>
      <c r="R228" s="26"/>
    </row>
    <row r="229" spans="6:18" x14ac:dyDescent="0.25">
      <c r="F229" s="26"/>
      <c r="J229" s="26"/>
      <c r="L229" s="26"/>
      <c r="M229" s="26"/>
      <c r="N229" s="26"/>
      <c r="O229" s="26"/>
      <c r="P229" s="26"/>
      <c r="Q229" s="26"/>
      <c r="R229" s="26"/>
    </row>
    <row r="230" spans="6:18" x14ac:dyDescent="0.25">
      <c r="F230" s="26"/>
      <c r="J230" s="26"/>
      <c r="L230" s="26"/>
      <c r="M230" s="26"/>
      <c r="N230" s="26"/>
      <c r="O230" s="26"/>
      <c r="P230" s="26"/>
      <c r="Q230" s="26"/>
      <c r="R230" s="26"/>
    </row>
    <row r="231" spans="6:18" x14ac:dyDescent="0.25">
      <c r="F231" s="26"/>
      <c r="J231" s="26"/>
      <c r="L231" s="26"/>
      <c r="M231" s="26"/>
      <c r="N231" s="26"/>
      <c r="O231" s="26"/>
      <c r="P231" s="26"/>
      <c r="Q231" s="26"/>
      <c r="R231" s="26"/>
    </row>
    <row r="232" spans="6:18" x14ac:dyDescent="0.25">
      <c r="F232" s="26"/>
      <c r="J232" s="26"/>
      <c r="L232" s="26"/>
      <c r="M232" s="26"/>
      <c r="N232" s="26"/>
      <c r="O232" s="26"/>
      <c r="P232" s="26"/>
      <c r="Q232" s="26"/>
      <c r="R232" s="26"/>
    </row>
    <row r="233" spans="6:18" x14ac:dyDescent="0.25">
      <c r="F233" s="26"/>
      <c r="J233" s="26"/>
      <c r="L233" s="26"/>
      <c r="M233" s="26"/>
      <c r="N233" s="26"/>
      <c r="O233" s="26"/>
      <c r="P233" s="26"/>
      <c r="Q233" s="26"/>
      <c r="R233" s="26"/>
    </row>
    <row r="234" spans="6:18" x14ac:dyDescent="0.25">
      <c r="F234" s="26"/>
      <c r="J234" s="26"/>
      <c r="L234" s="26"/>
      <c r="M234" s="26"/>
      <c r="N234" s="26"/>
      <c r="O234" s="26"/>
      <c r="P234" s="26"/>
      <c r="Q234" s="26"/>
      <c r="R234" s="26"/>
    </row>
    <row r="235" spans="6:18" x14ac:dyDescent="0.25">
      <c r="F235" s="26"/>
      <c r="J235" s="26"/>
      <c r="L235" s="26"/>
      <c r="M235" s="26"/>
      <c r="N235" s="26"/>
      <c r="O235" s="26"/>
      <c r="P235" s="26"/>
      <c r="Q235" s="26"/>
      <c r="R235" s="26"/>
    </row>
    <row r="236" spans="6:18" x14ac:dyDescent="0.25">
      <c r="F236" s="26"/>
      <c r="J236" s="26"/>
      <c r="L236" s="26"/>
      <c r="M236" s="26"/>
      <c r="N236" s="26"/>
      <c r="O236" s="26"/>
      <c r="P236" s="26"/>
      <c r="Q236" s="26"/>
      <c r="R236" s="26"/>
    </row>
    <row r="237" spans="6:18" x14ac:dyDescent="0.25">
      <c r="F237" s="26"/>
      <c r="J237" s="26"/>
      <c r="L237" s="26"/>
      <c r="M237" s="26"/>
      <c r="N237" s="26"/>
      <c r="O237" s="26"/>
      <c r="P237" s="26"/>
      <c r="Q237" s="26"/>
      <c r="R237" s="26"/>
    </row>
    <row r="238" spans="6:18" x14ac:dyDescent="0.25">
      <c r="F238" s="26"/>
      <c r="J238" s="26"/>
      <c r="L238" s="26"/>
      <c r="M238" s="26"/>
      <c r="N238" s="26"/>
      <c r="O238" s="26"/>
      <c r="P238" s="26"/>
      <c r="Q238" s="26"/>
      <c r="R238" s="26"/>
    </row>
    <row r="239" spans="6:18" x14ac:dyDescent="0.25">
      <c r="F239" s="26"/>
      <c r="J239" s="26"/>
      <c r="L239" s="26"/>
      <c r="M239" s="26"/>
      <c r="N239" s="26"/>
      <c r="O239" s="26"/>
      <c r="P239" s="26"/>
      <c r="Q239" s="26"/>
      <c r="R239" s="26"/>
    </row>
    <row r="240" spans="6:18" x14ac:dyDescent="0.25">
      <c r="F240" s="26"/>
      <c r="J240" s="26"/>
      <c r="L240" s="26"/>
      <c r="M240" s="26"/>
      <c r="N240" s="26"/>
      <c r="O240" s="26"/>
      <c r="P240" s="26"/>
      <c r="Q240" s="26"/>
      <c r="R240" s="26"/>
    </row>
    <row r="241" spans="6:18" x14ac:dyDescent="0.25">
      <c r="F241" s="26"/>
      <c r="J241" s="26"/>
      <c r="L241" s="26"/>
      <c r="M241" s="26"/>
      <c r="N241" s="26"/>
      <c r="O241" s="26"/>
      <c r="P241" s="26"/>
      <c r="Q241" s="26"/>
      <c r="R241" s="26"/>
    </row>
    <row r="242" spans="6:18" x14ac:dyDescent="0.25">
      <c r="F242" s="26"/>
      <c r="J242" s="26"/>
      <c r="L242" s="26"/>
      <c r="M242" s="26"/>
      <c r="N242" s="26"/>
      <c r="O242" s="26"/>
      <c r="P242" s="26"/>
      <c r="Q242" s="26"/>
      <c r="R242" s="26"/>
    </row>
    <row r="243" spans="6:18" x14ac:dyDescent="0.25">
      <c r="F243" s="26"/>
      <c r="J243" s="26"/>
      <c r="L243" s="26"/>
      <c r="M243" s="26"/>
      <c r="N243" s="26"/>
      <c r="O243" s="26"/>
      <c r="P243" s="26"/>
      <c r="Q243" s="26"/>
      <c r="R243" s="26"/>
    </row>
    <row r="244" spans="6:18" x14ac:dyDescent="0.25">
      <c r="F244" s="26"/>
      <c r="J244" s="26"/>
      <c r="L244" s="26"/>
      <c r="M244" s="26"/>
      <c r="N244" s="26"/>
      <c r="O244" s="26"/>
      <c r="P244" s="26"/>
      <c r="Q244" s="26"/>
      <c r="R244" s="26"/>
    </row>
    <row r="245" spans="6:18" x14ac:dyDescent="0.25">
      <c r="F245" s="26"/>
      <c r="J245" s="26"/>
      <c r="L245" s="26"/>
      <c r="M245" s="26"/>
      <c r="N245" s="26"/>
      <c r="O245" s="26"/>
      <c r="P245" s="26"/>
      <c r="Q245" s="26"/>
      <c r="R245" s="26"/>
    </row>
    <row r="246" spans="6:18" x14ac:dyDescent="0.25">
      <c r="F246" s="26"/>
      <c r="J246" s="26"/>
      <c r="L246" s="26"/>
      <c r="M246" s="26"/>
      <c r="N246" s="26"/>
      <c r="O246" s="26"/>
      <c r="P246" s="26"/>
      <c r="Q246" s="26"/>
      <c r="R246" s="26"/>
    </row>
    <row r="247" spans="6:18" x14ac:dyDescent="0.25">
      <c r="F247" s="26"/>
      <c r="J247" s="26"/>
      <c r="L247" s="26"/>
      <c r="M247" s="26"/>
      <c r="N247" s="26"/>
      <c r="O247" s="26"/>
      <c r="P247" s="26"/>
      <c r="Q247" s="26"/>
      <c r="R247" s="26"/>
    </row>
    <row r="248" spans="6:18" x14ac:dyDescent="0.25">
      <c r="F248" s="26"/>
      <c r="J248" s="26"/>
      <c r="L248" s="26"/>
      <c r="M248" s="26"/>
      <c r="N248" s="26"/>
      <c r="O248" s="26"/>
      <c r="P248" s="26"/>
      <c r="Q248" s="26"/>
      <c r="R248" s="26"/>
    </row>
    <row r="249" spans="6:18" x14ac:dyDescent="0.25">
      <c r="F249" s="26"/>
      <c r="J249" s="26"/>
      <c r="L249" s="26"/>
      <c r="M249" s="26"/>
      <c r="N249" s="26"/>
      <c r="O249" s="26"/>
      <c r="P249" s="26"/>
      <c r="Q249" s="26"/>
      <c r="R249" s="26"/>
    </row>
    <row r="250" spans="6:18" x14ac:dyDescent="0.25">
      <c r="F250" s="26"/>
      <c r="J250" s="26"/>
      <c r="L250" s="26"/>
      <c r="M250" s="26"/>
      <c r="N250" s="26"/>
      <c r="O250" s="26"/>
      <c r="P250" s="26"/>
      <c r="Q250" s="26"/>
      <c r="R250" s="26"/>
    </row>
    <row r="251" spans="6:18" x14ac:dyDescent="0.25">
      <c r="F251" s="26"/>
      <c r="J251" s="26"/>
      <c r="L251" s="26"/>
      <c r="M251" s="26"/>
      <c r="N251" s="26"/>
      <c r="O251" s="26"/>
      <c r="P251" s="26"/>
      <c r="Q251" s="26"/>
      <c r="R251" s="26"/>
    </row>
    <row r="252" spans="6:18" x14ac:dyDescent="0.25">
      <c r="F252" s="26"/>
      <c r="J252" s="26"/>
      <c r="L252" s="26"/>
      <c r="M252" s="26"/>
      <c r="N252" s="26"/>
      <c r="O252" s="26"/>
      <c r="P252" s="26"/>
      <c r="Q252" s="26"/>
      <c r="R252" s="26"/>
    </row>
    <row r="253" spans="6:18" x14ac:dyDescent="0.25">
      <c r="F253" s="26"/>
      <c r="J253" s="26"/>
      <c r="L253" s="26"/>
      <c r="M253" s="26"/>
      <c r="N253" s="26"/>
      <c r="O253" s="26"/>
      <c r="P253" s="26"/>
      <c r="Q253" s="26"/>
      <c r="R253" s="26"/>
    </row>
    <row r="254" spans="6:18" x14ac:dyDescent="0.25">
      <c r="F254" s="26"/>
      <c r="J254" s="26"/>
      <c r="L254" s="26"/>
      <c r="M254" s="26"/>
      <c r="N254" s="26"/>
      <c r="O254" s="26"/>
      <c r="P254" s="26"/>
      <c r="Q254" s="26"/>
      <c r="R254" s="26"/>
    </row>
    <row r="255" spans="6:18" x14ac:dyDescent="0.25">
      <c r="F255" s="26"/>
      <c r="J255" s="26"/>
      <c r="L255" s="26"/>
      <c r="M255" s="26"/>
      <c r="N255" s="26"/>
      <c r="O255" s="26"/>
      <c r="P255" s="26"/>
      <c r="Q255" s="26"/>
      <c r="R255" s="26"/>
    </row>
    <row r="256" spans="6:18" x14ac:dyDescent="0.25">
      <c r="F256" s="26"/>
      <c r="J256" s="26"/>
      <c r="L256" s="26"/>
      <c r="M256" s="26"/>
      <c r="N256" s="26"/>
      <c r="O256" s="26"/>
      <c r="P256" s="26"/>
      <c r="Q256" s="26"/>
      <c r="R256" s="26"/>
    </row>
    <row r="257" spans="6:18" x14ac:dyDescent="0.25">
      <c r="F257" s="26"/>
      <c r="J257" s="26"/>
      <c r="L257" s="26"/>
      <c r="M257" s="26"/>
      <c r="N257" s="26"/>
      <c r="O257" s="26"/>
      <c r="P257" s="26"/>
      <c r="Q257" s="26"/>
      <c r="R257" s="26"/>
    </row>
    <row r="258" spans="6:18" x14ac:dyDescent="0.25">
      <c r="F258" s="26"/>
      <c r="J258" s="26"/>
      <c r="L258" s="26"/>
      <c r="M258" s="26"/>
      <c r="N258" s="26"/>
      <c r="O258" s="26"/>
      <c r="P258" s="26"/>
      <c r="Q258" s="26"/>
      <c r="R258" s="26"/>
    </row>
    <row r="259" spans="6:18" x14ac:dyDescent="0.25">
      <c r="F259" s="26"/>
      <c r="J259" s="26"/>
      <c r="L259" s="26"/>
      <c r="M259" s="26"/>
      <c r="N259" s="26"/>
      <c r="O259" s="26"/>
      <c r="P259" s="26"/>
      <c r="Q259" s="26"/>
      <c r="R259" s="26"/>
    </row>
    <row r="260" spans="6:18" x14ac:dyDescent="0.25">
      <c r="F260" s="26"/>
      <c r="J260" s="26"/>
      <c r="L260" s="26"/>
      <c r="M260" s="26"/>
      <c r="N260" s="26"/>
      <c r="O260" s="26"/>
      <c r="P260" s="26"/>
      <c r="Q260" s="26"/>
      <c r="R260" s="26"/>
    </row>
    <row r="261" spans="6:18" x14ac:dyDescent="0.25">
      <c r="F261" s="26"/>
      <c r="J261" s="26"/>
      <c r="L261" s="26"/>
      <c r="M261" s="26"/>
      <c r="N261" s="26"/>
      <c r="O261" s="26"/>
      <c r="P261" s="26"/>
      <c r="Q261" s="26"/>
      <c r="R261" s="26"/>
    </row>
    <row r="262" spans="6:18" x14ac:dyDescent="0.25">
      <c r="F262" s="26"/>
      <c r="J262" s="26"/>
      <c r="L262" s="26"/>
      <c r="M262" s="26"/>
      <c r="N262" s="26"/>
      <c r="O262" s="26"/>
      <c r="P262" s="26"/>
      <c r="Q262" s="26"/>
      <c r="R262" s="26"/>
    </row>
    <row r="263" spans="6:18" x14ac:dyDescent="0.25">
      <c r="F263" s="26"/>
      <c r="J263" s="26"/>
      <c r="L263" s="26"/>
      <c r="M263" s="26"/>
      <c r="N263" s="26"/>
      <c r="O263" s="26"/>
      <c r="P263" s="26"/>
      <c r="Q263" s="26"/>
      <c r="R263" s="26"/>
    </row>
    <row r="264" spans="6:18" x14ac:dyDescent="0.25">
      <c r="F264" s="26"/>
      <c r="J264" s="26"/>
      <c r="L264" s="26"/>
      <c r="M264" s="26"/>
      <c r="N264" s="26"/>
      <c r="O264" s="26"/>
      <c r="P264" s="26"/>
      <c r="Q264" s="26"/>
      <c r="R264" s="26"/>
    </row>
    <row r="265" spans="6:18" x14ac:dyDescent="0.25">
      <c r="F265" s="26"/>
      <c r="J265" s="26"/>
      <c r="L265" s="26"/>
      <c r="M265" s="26"/>
      <c r="N265" s="26"/>
      <c r="O265" s="26"/>
      <c r="P265" s="26"/>
      <c r="Q265" s="26"/>
      <c r="R265" s="26"/>
    </row>
    <row r="266" spans="6:18" x14ac:dyDescent="0.25">
      <c r="F266" s="26"/>
      <c r="J266" s="26"/>
      <c r="L266" s="26"/>
      <c r="M266" s="26"/>
      <c r="N266" s="26"/>
      <c r="O266" s="26"/>
      <c r="P266" s="26"/>
      <c r="Q266" s="26"/>
      <c r="R266" s="26"/>
    </row>
    <row r="267" spans="6:18" x14ac:dyDescent="0.25">
      <c r="F267" s="26"/>
      <c r="J267" s="26"/>
      <c r="L267" s="26"/>
      <c r="M267" s="26"/>
      <c r="N267" s="26"/>
      <c r="O267" s="26"/>
      <c r="P267" s="26"/>
      <c r="Q267" s="26"/>
      <c r="R267" s="26"/>
    </row>
    <row r="268" spans="6:18" x14ac:dyDescent="0.25">
      <c r="F268" s="26"/>
      <c r="J268" s="26"/>
      <c r="L268" s="26"/>
      <c r="M268" s="26"/>
      <c r="N268" s="26"/>
      <c r="O268" s="26"/>
      <c r="P268" s="26"/>
      <c r="Q268" s="26"/>
      <c r="R268" s="26"/>
    </row>
    <row r="269" spans="6:18" x14ac:dyDescent="0.25">
      <c r="F269" s="26"/>
      <c r="J269" s="26"/>
      <c r="L269" s="26"/>
      <c r="M269" s="26"/>
      <c r="N269" s="26"/>
      <c r="O269" s="26"/>
      <c r="P269" s="26"/>
      <c r="Q269" s="26"/>
      <c r="R269" s="26"/>
    </row>
    <row r="270" spans="6:18" x14ac:dyDescent="0.25">
      <c r="F270" s="26"/>
      <c r="J270" s="26"/>
      <c r="L270" s="26"/>
      <c r="M270" s="26"/>
      <c r="N270" s="26"/>
      <c r="O270" s="26"/>
      <c r="P270" s="26"/>
      <c r="Q270" s="26"/>
      <c r="R270" s="26"/>
    </row>
    <row r="271" spans="6:18" x14ac:dyDescent="0.25">
      <c r="F271" s="26"/>
      <c r="J271" s="26"/>
      <c r="L271" s="26"/>
      <c r="M271" s="26"/>
      <c r="N271" s="26"/>
      <c r="O271" s="26"/>
      <c r="P271" s="26"/>
      <c r="Q271" s="26"/>
      <c r="R271" s="26"/>
    </row>
    <row r="272" spans="6:18" x14ac:dyDescent="0.25">
      <c r="F272" s="26"/>
      <c r="J272" s="26"/>
      <c r="L272" s="26"/>
      <c r="M272" s="26"/>
      <c r="N272" s="26"/>
      <c r="O272" s="26"/>
      <c r="P272" s="26"/>
      <c r="Q272" s="26"/>
      <c r="R272" s="26"/>
    </row>
    <row r="273" spans="6:18" x14ac:dyDescent="0.25">
      <c r="F273" s="26"/>
      <c r="J273" s="26"/>
      <c r="L273" s="26"/>
      <c r="M273" s="26"/>
      <c r="N273" s="26"/>
      <c r="O273" s="26"/>
      <c r="P273" s="26"/>
      <c r="Q273" s="26"/>
      <c r="R273" s="26"/>
    </row>
    <row r="274" spans="6:18" x14ac:dyDescent="0.25">
      <c r="F274" s="26"/>
      <c r="J274" s="26"/>
      <c r="L274" s="26"/>
      <c r="M274" s="26"/>
      <c r="N274" s="26"/>
      <c r="O274" s="26"/>
      <c r="P274" s="26"/>
      <c r="Q274" s="26"/>
      <c r="R274" s="26"/>
    </row>
    <row r="275" spans="6:18" x14ac:dyDescent="0.25">
      <c r="F275" s="26"/>
      <c r="J275" s="26"/>
      <c r="L275" s="26"/>
      <c r="M275" s="26"/>
      <c r="N275" s="26"/>
      <c r="O275" s="26"/>
      <c r="P275" s="26"/>
      <c r="Q275" s="26"/>
      <c r="R275" s="26"/>
    </row>
    <row r="276" spans="6:18" x14ac:dyDescent="0.25">
      <c r="F276" s="26"/>
      <c r="J276" s="26"/>
      <c r="L276" s="26"/>
      <c r="M276" s="26"/>
      <c r="N276" s="26"/>
      <c r="O276" s="26"/>
      <c r="P276" s="26"/>
      <c r="Q276" s="26"/>
      <c r="R276" s="26"/>
    </row>
    <row r="277" spans="6:18" x14ac:dyDescent="0.25">
      <c r="F277" s="26"/>
      <c r="J277" s="26"/>
      <c r="L277" s="26"/>
      <c r="M277" s="26"/>
      <c r="N277" s="26"/>
      <c r="O277" s="26"/>
      <c r="P277" s="26"/>
      <c r="Q277" s="26"/>
      <c r="R277" s="26"/>
    </row>
    <row r="278" spans="6:18" x14ac:dyDescent="0.25">
      <c r="F278" s="26"/>
      <c r="J278" s="26"/>
      <c r="L278" s="26"/>
      <c r="M278" s="26"/>
      <c r="N278" s="26"/>
      <c r="O278" s="26"/>
      <c r="P278" s="26"/>
      <c r="Q278" s="26"/>
      <c r="R278" s="26"/>
    </row>
    <row r="279" spans="6:18" x14ac:dyDescent="0.25">
      <c r="F279" s="26"/>
      <c r="J279" s="26"/>
      <c r="L279" s="26"/>
      <c r="M279" s="26"/>
      <c r="N279" s="26"/>
      <c r="O279" s="26"/>
      <c r="P279" s="26"/>
      <c r="Q279" s="26"/>
      <c r="R279" s="26"/>
    </row>
    <row r="280" spans="6:18" x14ac:dyDescent="0.25">
      <c r="F280" s="26"/>
      <c r="J280" s="26"/>
      <c r="L280" s="26"/>
      <c r="M280" s="26"/>
      <c r="N280" s="26"/>
      <c r="O280" s="26"/>
      <c r="P280" s="26"/>
      <c r="Q280" s="26"/>
      <c r="R280" s="26"/>
    </row>
    <row r="281" spans="6:18" x14ac:dyDescent="0.25">
      <c r="F281" s="26"/>
      <c r="J281" s="26"/>
      <c r="L281" s="26"/>
      <c r="M281" s="26"/>
      <c r="N281" s="26"/>
      <c r="O281" s="26"/>
      <c r="P281" s="26"/>
      <c r="Q281" s="26"/>
      <c r="R281" s="26"/>
    </row>
    <row r="282" spans="6:18" x14ac:dyDescent="0.25">
      <c r="F282" s="26"/>
      <c r="J282" s="26"/>
      <c r="L282" s="26"/>
      <c r="M282" s="26"/>
      <c r="N282" s="26"/>
      <c r="O282" s="26"/>
      <c r="P282" s="26"/>
      <c r="Q282" s="26"/>
      <c r="R282" s="26"/>
    </row>
    <row r="283" spans="6:18" x14ac:dyDescent="0.25">
      <c r="F283" s="26"/>
      <c r="J283" s="26"/>
      <c r="L283" s="26"/>
      <c r="M283" s="26"/>
      <c r="N283" s="26"/>
      <c r="O283" s="26"/>
      <c r="P283" s="26"/>
      <c r="Q283" s="26"/>
      <c r="R283" s="26"/>
    </row>
    <row r="284" spans="6:18" x14ac:dyDescent="0.25">
      <c r="F284" s="26"/>
      <c r="J284" s="26"/>
      <c r="L284" s="26"/>
      <c r="M284" s="26"/>
      <c r="N284" s="26"/>
      <c r="O284" s="26"/>
      <c r="P284" s="26"/>
      <c r="Q284" s="26"/>
      <c r="R284" s="26"/>
    </row>
    <row r="285" spans="6:18" x14ac:dyDescent="0.25">
      <c r="F285" s="26"/>
      <c r="J285" s="26"/>
      <c r="L285" s="26"/>
      <c r="M285" s="26"/>
      <c r="N285" s="26"/>
      <c r="O285" s="26"/>
      <c r="P285" s="26"/>
      <c r="Q285" s="26"/>
      <c r="R285" s="26"/>
    </row>
    <row r="286" spans="6:18" x14ac:dyDescent="0.25">
      <c r="F286" s="26"/>
      <c r="J286" s="26"/>
      <c r="L286" s="26"/>
      <c r="M286" s="26"/>
      <c r="N286" s="26"/>
      <c r="O286" s="26"/>
      <c r="P286" s="26"/>
      <c r="Q286" s="26"/>
      <c r="R286" s="26"/>
    </row>
    <row r="287" spans="6:18" x14ac:dyDescent="0.25">
      <c r="F287" s="26"/>
      <c r="J287" s="26"/>
      <c r="L287" s="26"/>
      <c r="M287" s="26"/>
      <c r="N287" s="26"/>
      <c r="O287" s="26"/>
      <c r="P287" s="26"/>
      <c r="Q287" s="26"/>
      <c r="R287" s="26"/>
    </row>
    <row r="288" spans="6:18" x14ac:dyDescent="0.25">
      <c r="F288" s="26"/>
      <c r="J288" s="26"/>
      <c r="L288" s="26"/>
      <c r="M288" s="26"/>
      <c r="N288" s="26"/>
      <c r="O288" s="26"/>
      <c r="P288" s="26"/>
      <c r="Q288" s="26"/>
      <c r="R288" s="26"/>
    </row>
    <row r="289" spans="6:18" x14ac:dyDescent="0.25">
      <c r="F289" s="26"/>
      <c r="J289" s="26"/>
      <c r="L289" s="26"/>
      <c r="M289" s="26"/>
      <c r="N289" s="26"/>
      <c r="O289" s="26"/>
      <c r="P289" s="26"/>
      <c r="Q289" s="26"/>
      <c r="R289" s="26"/>
    </row>
    <row r="290" spans="6:18" x14ac:dyDescent="0.25">
      <c r="F290" s="26"/>
      <c r="J290" s="26"/>
      <c r="L290" s="26"/>
      <c r="M290" s="26"/>
      <c r="N290" s="26"/>
      <c r="O290" s="26"/>
      <c r="P290" s="26"/>
      <c r="Q290" s="26"/>
      <c r="R290" s="26"/>
    </row>
    <row r="291" spans="6:18" x14ac:dyDescent="0.25">
      <c r="F291" s="26"/>
      <c r="J291" s="26"/>
      <c r="L291" s="26"/>
      <c r="M291" s="26"/>
      <c r="N291" s="26"/>
      <c r="O291" s="26"/>
      <c r="P291" s="26"/>
      <c r="Q291" s="26"/>
      <c r="R291" s="26"/>
    </row>
    <row r="292" spans="6:18" x14ac:dyDescent="0.25">
      <c r="F292" s="26"/>
      <c r="J292" s="26"/>
      <c r="L292" s="26"/>
      <c r="M292" s="26"/>
      <c r="N292" s="26"/>
      <c r="O292" s="26"/>
      <c r="P292" s="26"/>
      <c r="Q292" s="26"/>
      <c r="R292" s="26"/>
    </row>
    <row r="293" spans="6:18" x14ac:dyDescent="0.25">
      <c r="F293" s="26"/>
      <c r="J293" s="26"/>
      <c r="L293" s="26"/>
      <c r="M293" s="26"/>
      <c r="N293" s="26"/>
      <c r="O293" s="26"/>
      <c r="P293" s="26"/>
      <c r="Q293" s="26"/>
      <c r="R293" s="26"/>
    </row>
    <row r="294" spans="6:18" x14ac:dyDescent="0.25">
      <c r="F294" s="26"/>
      <c r="J294" s="26"/>
      <c r="L294" s="26"/>
      <c r="M294" s="26"/>
      <c r="N294" s="26"/>
      <c r="O294" s="26"/>
      <c r="P294" s="26"/>
      <c r="Q294" s="26"/>
      <c r="R294" s="26"/>
    </row>
    <row r="295" spans="6:18" x14ac:dyDescent="0.25">
      <c r="F295" s="26"/>
      <c r="J295" s="26"/>
      <c r="L295" s="26"/>
      <c r="M295" s="26"/>
      <c r="N295" s="26"/>
      <c r="O295" s="26"/>
      <c r="P295" s="26"/>
      <c r="Q295" s="26"/>
      <c r="R295" s="26"/>
    </row>
    <row r="296" spans="6:18" x14ac:dyDescent="0.25">
      <c r="F296" s="26"/>
      <c r="J296" s="26"/>
      <c r="L296" s="26"/>
      <c r="M296" s="26"/>
      <c r="N296" s="26"/>
      <c r="O296" s="26"/>
      <c r="P296" s="26"/>
      <c r="Q296" s="26"/>
      <c r="R296" s="26"/>
    </row>
    <row r="297" spans="6:18" x14ac:dyDescent="0.25">
      <c r="F297" s="26"/>
      <c r="J297" s="26"/>
      <c r="L297" s="26"/>
      <c r="M297" s="26"/>
      <c r="N297" s="26"/>
      <c r="O297" s="26"/>
      <c r="P297" s="26"/>
      <c r="Q297" s="26"/>
      <c r="R297" s="26"/>
    </row>
    <row r="298" spans="6:18" x14ac:dyDescent="0.25">
      <c r="F298" s="26"/>
      <c r="J298" s="26"/>
      <c r="L298" s="26"/>
      <c r="M298" s="26"/>
      <c r="N298" s="26"/>
      <c r="O298" s="26"/>
      <c r="P298" s="26"/>
      <c r="Q298" s="26"/>
      <c r="R298" s="26"/>
    </row>
    <row r="299" spans="6:18" x14ac:dyDescent="0.25">
      <c r="F299" s="26"/>
      <c r="J299" s="26"/>
      <c r="L299" s="26"/>
      <c r="M299" s="26"/>
      <c r="N299" s="26"/>
      <c r="O299" s="26"/>
      <c r="P299" s="26"/>
      <c r="Q299" s="26"/>
      <c r="R299" s="26"/>
    </row>
    <row r="300" spans="6:18" x14ac:dyDescent="0.25">
      <c r="F300" s="26"/>
      <c r="J300" s="26"/>
      <c r="L300" s="26"/>
      <c r="M300" s="26"/>
      <c r="N300" s="26"/>
      <c r="O300" s="26"/>
      <c r="P300" s="26"/>
      <c r="Q300" s="26"/>
      <c r="R300" s="26"/>
    </row>
    <row r="301" spans="6:18" x14ac:dyDescent="0.25">
      <c r="F301" s="26"/>
      <c r="J301" s="26"/>
      <c r="L301" s="26"/>
      <c r="M301" s="26"/>
      <c r="N301" s="26"/>
      <c r="O301" s="26"/>
      <c r="P301" s="26"/>
      <c r="Q301" s="26"/>
      <c r="R301" s="26"/>
    </row>
    <row r="302" spans="6:18" x14ac:dyDescent="0.25">
      <c r="F302" s="26"/>
      <c r="J302" s="26"/>
      <c r="L302" s="26"/>
      <c r="M302" s="26"/>
      <c r="N302" s="26"/>
      <c r="O302" s="26"/>
      <c r="P302" s="26"/>
      <c r="Q302" s="26"/>
      <c r="R302" s="26"/>
    </row>
    <row r="303" spans="6:18" x14ac:dyDescent="0.25">
      <c r="F303" s="26"/>
      <c r="J303" s="26"/>
      <c r="L303" s="26"/>
      <c r="M303" s="26"/>
      <c r="N303" s="26"/>
      <c r="O303" s="26"/>
      <c r="P303" s="26"/>
      <c r="Q303" s="26"/>
      <c r="R303" s="26"/>
    </row>
    <row r="304" spans="6:18" x14ac:dyDescent="0.25">
      <c r="F304" s="26"/>
      <c r="J304" s="26"/>
      <c r="L304" s="26"/>
      <c r="M304" s="26"/>
      <c r="N304" s="26"/>
      <c r="O304" s="26"/>
      <c r="P304" s="26"/>
      <c r="Q304" s="26"/>
      <c r="R304" s="26"/>
    </row>
    <row r="305" spans="6:18" x14ac:dyDescent="0.25">
      <c r="F305" s="26"/>
      <c r="J305" s="26"/>
      <c r="L305" s="26"/>
      <c r="M305" s="26"/>
      <c r="N305" s="26"/>
      <c r="O305" s="26"/>
      <c r="P305" s="26"/>
      <c r="Q305" s="26"/>
      <c r="R305" s="26"/>
    </row>
    <row r="306" spans="6:18" x14ac:dyDescent="0.25">
      <c r="F306" s="26"/>
      <c r="J306" s="26"/>
      <c r="L306" s="26"/>
      <c r="M306" s="26"/>
      <c r="N306" s="26"/>
      <c r="O306" s="26"/>
      <c r="P306" s="26"/>
      <c r="Q306" s="26"/>
      <c r="R306" s="26"/>
    </row>
    <row r="307" spans="6:18" x14ac:dyDescent="0.25">
      <c r="F307" s="26"/>
      <c r="J307" s="26"/>
      <c r="L307" s="26"/>
      <c r="M307" s="26"/>
      <c r="N307" s="26"/>
      <c r="O307" s="26"/>
      <c r="P307" s="26"/>
      <c r="Q307" s="26"/>
      <c r="R307" s="26"/>
    </row>
    <row r="308" spans="6:18" x14ac:dyDescent="0.25">
      <c r="F308" s="26"/>
      <c r="J308" s="26"/>
      <c r="L308" s="26"/>
      <c r="M308" s="26"/>
      <c r="N308" s="26"/>
      <c r="O308" s="26"/>
      <c r="P308" s="26"/>
      <c r="Q308" s="26"/>
      <c r="R308" s="26"/>
    </row>
    <row r="309" spans="6:18" x14ac:dyDescent="0.25">
      <c r="F309" s="26"/>
      <c r="J309" s="26"/>
      <c r="L309" s="26"/>
      <c r="M309" s="26"/>
      <c r="N309" s="26"/>
      <c r="O309" s="26"/>
      <c r="P309" s="26"/>
      <c r="Q309" s="26"/>
      <c r="R309" s="26"/>
    </row>
    <row r="310" spans="6:18" x14ac:dyDescent="0.25">
      <c r="F310" s="26"/>
      <c r="J310" s="26"/>
      <c r="L310" s="26"/>
      <c r="M310" s="26"/>
      <c r="N310" s="26"/>
      <c r="O310" s="26"/>
      <c r="P310" s="26"/>
      <c r="Q310" s="26"/>
      <c r="R310" s="26"/>
    </row>
    <row r="311" spans="6:18" x14ac:dyDescent="0.25">
      <c r="F311" s="26"/>
      <c r="J311" s="26"/>
      <c r="L311" s="26"/>
      <c r="M311" s="26"/>
      <c r="N311" s="26"/>
      <c r="O311" s="26"/>
      <c r="P311" s="26"/>
      <c r="Q311" s="26"/>
      <c r="R311" s="26"/>
    </row>
    <row r="312" spans="6:18" x14ac:dyDescent="0.25">
      <c r="F312" s="26"/>
      <c r="J312" s="26"/>
      <c r="L312" s="26"/>
      <c r="M312" s="26"/>
      <c r="N312" s="26"/>
      <c r="O312" s="26"/>
      <c r="P312" s="26"/>
      <c r="Q312" s="26"/>
      <c r="R312" s="26"/>
    </row>
    <row r="313" spans="6:18" x14ac:dyDescent="0.25">
      <c r="F313" s="26"/>
      <c r="J313" s="26"/>
      <c r="L313" s="26"/>
      <c r="M313" s="26"/>
      <c r="N313" s="26"/>
      <c r="O313" s="26"/>
      <c r="P313" s="26"/>
      <c r="Q313" s="26"/>
      <c r="R313" s="26"/>
    </row>
    <row r="314" spans="6:18" x14ac:dyDescent="0.25">
      <c r="F314" s="26"/>
      <c r="J314" s="26"/>
      <c r="L314" s="26"/>
      <c r="M314" s="26"/>
      <c r="N314" s="26"/>
      <c r="O314" s="26"/>
      <c r="P314" s="26"/>
      <c r="Q314" s="26"/>
      <c r="R314" s="26"/>
    </row>
    <row r="315" spans="6:18" x14ac:dyDescent="0.25">
      <c r="F315" s="26"/>
      <c r="J315" s="26"/>
      <c r="L315" s="26"/>
      <c r="M315" s="26"/>
      <c r="N315" s="26"/>
      <c r="O315" s="26"/>
      <c r="P315" s="26"/>
      <c r="Q315" s="26"/>
      <c r="R315" s="26"/>
    </row>
    <row r="316" spans="6:18" x14ac:dyDescent="0.25">
      <c r="F316" s="26"/>
      <c r="J316" s="26"/>
      <c r="L316" s="26"/>
      <c r="M316" s="26"/>
      <c r="N316" s="26"/>
      <c r="O316" s="26"/>
      <c r="P316" s="26"/>
      <c r="Q316" s="26"/>
      <c r="R316" s="26"/>
    </row>
    <row r="317" spans="6:18" x14ac:dyDescent="0.25">
      <c r="F317" s="26"/>
      <c r="J317" s="26"/>
      <c r="L317" s="26"/>
      <c r="M317" s="26"/>
      <c r="N317" s="26"/>
      <c r="O317" s="26"/>
      <c r="P317" s="26"/>
      <c r="Q317" s="26"/>
      <c r="R317" s="26"/>
    </row>
    <row r="318" spans="6:18" x14ac:dyDescent="0.25">
      <c r="F318" s="26"/>
      <c r="J318" s="26"/>
      <c r="L318" s="26"/>
      <c r="M318" s="26"/>
      <c r="N318" s="26"/>
      <c r="O318" s="26"/>
      <c r="P318" s="26"/>
      <c r="Q318" s="26"/>
      <c r="R318" s="26"/>
    </row>
    <row r="319" spans="6:18" x14ac:dyDescent="0.25">
      <c r="F319" s="26"/>
      <c r="J319" s="26"/>
      <c r="L319" s="26"/>
      <c r="M319" s="26"/>
      <c r="N319" s="26"/>
      <c r="O319" s="26"/>
      <c r="P319" s="26"/>
      <c r="Q319" s="26"/>
      <c r="R319" s="26"/>
    </row>
    <row r="320" spans="6:18" x14ac:dyDescent="0.25">
      <c r="F320" s="26"/>
      <c r="J320" s="26"/>
      <c r="L320" s="26"/>
      <c r="M320" s="26"/>
      <c r="N320" s="26"/>
      <c r="O320" s="26"/>
      <c r="P320" s="26"/>
      <c r="Q320" s="26"/>
      <c r="R320" s="26"/>
    </row>
    <row r="321" spans="6:18" x14ac:dyDescent="0.25">
      <c r="F321" s="26"/>
      <c r="J321" s="26"/>
      <c r="L321" s="26"/>
      <c r="M321" s="26"/>
      <c r="N321" s="26"/>
      <c r="O321" s="26"/>
      <c r="P321" s="26"/>
      <c r="Q321" s="26"/>
      <c r="R321" s="26"/>
    </row>
    <row r="322" spans="6:18" x14ac:dyDescent="0.25">
      <c r="F322" s="26"/>
      <c r="J322" s="26"/>
      <c r="L322" s="26"/>
      <c r="M322" s="26"/>
      <c r="N322" s="26"/>
      <c r="O322" s="26"/>
      <c r="P322" s="26"/>
      <c r="Q322" s="26"/>
      <c r="R322" s="26"/>
    </row>
    <row r="323" spans="6:18" x14ac:dyDescent="0.25">
      <c r="F323" s="26"/>
      <c r="J323" s="26"/>
      <c r="L323" s="26"/>
      <c r="M323" s="26"/>
      <c r="N323" s="26"/>
      <c r="O323" s="26"/>
      <c r="P323" s="26"/>
      <c r="Q323" s="26"/>
      <c r="R323" s="26"/>
    </row>
    <row r="324" spans="6:18" x14ac:dyDescent="0.25">
      <c r="F324" s="26"/>
      <c r="J324" s="26"/>
      <c r="L324" s="26"/>
      <c r="M324" s="26"/>
      <c r="N324" s="26"/>
      <c r="O324" s="26"/>
      <c r="P324" s="26"/>
      <c r="Q324" s="26"/>
      <c r="R324" s="26"/>
    </row>
    <row r="325" spans="6:18" x14ac:dyDescent="0.25">
      <c r="F325" s="26"/>
      <c r="J325" s="26"/>
      <c r="L325" s="26"/>
      <c r="M325" s="26"/>
      <c r="N325" s="26"/>
      <c r="O325" s="26"/>
      <c r="P325" s="26"/>
      <c r="Q325" s="26"/>
      <c r="R325" s="26"/>
    </row>
    <row r="326" spans="6:18" x14ac:dyDescent="0.25">
      <c r="F326" s="26"/>
      <c r="J326" s="26"/>
      <c r="L326" s="26"/>
      <c r="M326" s="26"/>
      <c r="N326" s="26"/>
      <c r="O326" s="26"/>
      <c r="P326" s="26"/>
      <c r="Q326" s="26"/>
      <c r="R326" s="26"/>
    </row>
    <row r="327" spans="6:18" x14ac:dyDescent="0.25">
      <c r="F327" s="26"/>
      <c r="J327" s="26"/>
      <c r="L327" s="26"/>
      <c r="M327" s="26"/>
      <c r="N327" s="26"/>
      <c r="O327" s="26"/>
      <c r="P327" s="26"/>
      <c r="Q327" s="26"/>
      <c r="R327" s="26"/>
    </row>
    <row r="328" spans="6:18" x14ac:dyDescent="0.25">
      <c r="F328" s="26"/>
      <c r="J328" s="26"/>
      <c r="L328" s="26"/>
      <c r="M328" s="26"/>
      <c r="N328" s="26"/>
      <c r="O328" s="26"/>
      <c r="P328" s="26"/>
      <c r="Q328" s="26"/>
      <c r="R328" s="26"/>
    </row>
    <row r="329" spans="6:18" x14ac:dyDescent="0.25">
      <c r="F329" s="26"/>
      <c r="J329" s="26"/>
      <c r="L329" s="26"/>
      <c r="M329" s="26"/>
      <c r="N329" s="26"/>
      <c r="O329" s="26"/>
      <c r="P329" s="26"/>
      <c r="Q329" s="26"/>
      <c r="R329" s="26"/>
    </row>
    <row r="330" spans="6:18" x14ac:dyDescent="0.25">
      <c r="F330" s="26"/>
      <c r="J330" s="26"/>
      <c r="L330" s="26"/>
      <c r="M330" s="26"/>
      <c r="N330" s="26"/>
      <c r="O330" s="26"/>
      <c r="P330" s="26"/>
      <c r="Q330" s="26"/>
      <c r="R330" s="26"/>
    </row>
    <row r="331" spans="6:18" x14ac:dyDescent="0.25">
      <c r="F331" s="26"/>
      <c r="J331" s="26"/>
      <c r="L331" s="26"/>
      <c r="M331" s="26"/>
      <c r="N331" s="26"/>
      <c r="O331" s="26"/>
      <c r="P331" s="26"/>
      <c r="Q331" s="26"/>
      <c r="R331" s="26"/>
    </row>
    <row r="332" spans="6:18" x14ac:dyDescent="0.25">
      <c r="F332" s="26"/>
      <c r="J332" s="26"/>
      <c r="L332" s="26"/>
      <c r="M332" s="26"/>
      <c r="N332" s="26"/>
      <c r="O332" s="26"/>
      <c r="P332" s="26"/>
      <c r="Q332" s="26"/>
      <c r="R332" s="26"/>
    </row>
    <row r="333" spans="6:18" x14ac:dyDescent="0.25">
      <c r="F333" s="26"/>
      <c r="J333" s="26"/>
      <c r="L333" s="26"/>
      <c r="M333" s="26"/>
      <c r="N333" s="26"/>
      <c r="O333" s="26"/>
      <c r="P333" s="26"/>
      <c r="Q333" s="26"/>
      <c r="R333" s="26"/>
    </row>
    <row r="334" spans="6:18" x14ac:dyDescent="0.25">
      <c r="F334" s="26"/>
      <c r="J334" s="26"/>
      <c r="L334" s="26"/>
      <c r="M334" s="26"/>
      <c r="N334" s="26"/>
      <c r="O334" s="26"/>
      <c r="P334" s="26"/>
      <c r="Q334" s="26"/>
      <c r="R334" s="26"/>
    </row>
    <row r="335" spans="6:18" x14ac:dyDescent="0.25">
      <c r="F335" s="26"/>
      <c r="J335" s="26"/>
      <c r="L335" s="26"/>
      <c r="M335" s="26"/>
      <c r="N335" s="26"/>
      <c r="O335" s="26"/>
      <c r="P335" s="26"/>
      <c r="Q335" s="26"/>
      <c r="R335" s="26"/>
    </row>
    <row r="336" spans="6:18" x14ac:dyDescent="0.25">
      <c r="F336" s="26"/>
      <c r="J336" s="26"/>
      <c r="L336" s="26"/>
      <c r="M336" s="26"/>
      <c r="N336" s="26"/>
      <c r="O336" s="26"/>
      <c r="P336" s="26"/>
      <c r="Q336" s="26"/>
      <c r="R336" s="26"/>
    </row>
    <row r="337" spans="6:18" x14ac:dyDescent="0.25">
      <c r="F337" s="26"/>
      <c r="J337" s="26"/>
      <c r="L337" s="26"/>
      <c r="M337" s="26"/>
      <c r="N337" s="26"/>
      <c r="O337" s="26"/>
      <c r="P337" s="26"/>
      <c r="Q337" s="26"/>
      <c r="R337" s="26"/>
    </row>
    <row r="338" spans="6:18" x14ac:dyDescent="0.25">
      <c r="F338" s="26"/>
      <c r="J338" s="26"/>
      <c r="L338" s="26"/>
      <c r="M338" s="26"/>
      <c r="N338" s="26"/>
      <c r="O338" s="26"/>
      <c r="P338" s="26"/>
      <c r="Q338" s="26"/>
      <c r="R338" s="26"/>
    </row>
    <row r="339" spans="6:18" x14ac:dyDescent="0.25">
      <c r="F339" s="26"/>
      <c r="J339" s="26"/>
      <c r="L339" s="26"/>
      <c r="M339" s="26"/>
      <c r="N339" s="26"/>
      <c r="O339" s="26"/>
      <c r="P339" s="26"/>
      <c r="Q339" s="26"/>
      <c r="R339" s="26"/>
    </row>
    <row r="340" spans="6:18" x14ac:dyDescent="0.25">
      <c r="F340" s="26"/>
      <c r="J340" s="26"/>
      <c r="L340" s="26"/>
      <c r="M340" s="26"/>
      <c r="N340" s="26"/>
      <c r="O340" s="26"/>
      <c r="P340" s="26"/>
      <c r="Q340" s="26"/>
      <c r="R340" s="26"/>
    </row>
    <row r="341" spans="6:18" x14ac:dyDescent="0.25">
      <c r="F341" s="26"/>
      <c r="J341" s="26"/>
      <c r="L341" s="26"/>
      <c r="M341" s="26"/>
      <c r="N341" s="26"/>
      <c r="O341" s="26"/>
      <c r="P341" s="26"/>
      <c r="Q341" s="26"/>
      <c r="R341" s="26"/>
    </row>
    <row r="342" spans="6:18" x14ac:dyDescent="0.25">
      <c r="F342" s="26"/>
      <c r="J342" s="26"/>
      <c r="L342" s="26"/>
      <c r="M342" s="26"/>
      <c r="N342" s="26"/>
      <c r="O342" s="26"/>
      <c r="P342" s="26"/>
      <c r="Q342" s="26"/>
      <c r="R342" s="26"/>
    </row>
    <row r="343" spans="6:18" x14ac:dyDescent="0.25">
      <c r="F343" s="26"/>
      <c r="J343" s="26"/>
      <c r="L343" s="26"/>
      <c r="M343" s="26"/>
      <c r="N343" s="26"/>
      <c r="O343" s="26"/>
      <c r="P343" s="26"/>
      <c r="Q343" s="26"/>
      <c r="R343" s="26"/>
    </row>
    <row r="344" spans="6:18" x14ac:dyDescent="0.25">
      <c r="F344" s="26"/>
      <c r="J344" s="26"/>
      <c r="L344" s="26"/>
      <c r="M344" s="26"/>
      <c r="N344" s="26"/>
      <c r="O344" s="26"/>
      <c r="P344" s="26"/>
      <c r="Q344" s="26"/>
      <c r="R344" s="26"/>
    </row>
    <row r="345" spans="6:18" x14ac:dyDescent="0.25">
      <c r="F345" s="26"/>
      <c r="J345" s="26"/>
      <c r="L345" s="26"/>
      <c r="M345" s="26"/>
      <c r="N345" s="26"/>
      <c r="O345" s="26"/>
      <c r="P345" s="26"/>
      <c r="Q345" s="26"/>
      <c r="R345" s="26"/>
    </row>
    <row r="346" spans="6:18" x14ac:dyDescent="0.25">
      <c r="F346" s="26"/>
      <c r="J346" s="26"/>
      <c r="L346" s="26"/>
      <c r="M346" s="26"/>
      <c r="N346" s="26"/>
      <c r="O346" s="26"/>
      <c r="P346" s="26"/>
      <c r="Q346" s="26"/>
      <c r="R346" s="26"/>
    </row>
    <row r="347" spans="6:18" x14ac:dyDescent="0.25">
      <c r="F347" s="26"/>
      <c r="J347" s="26"/>
      <c r="L347" s="26"/>
      <c r="M347" s="26"/>
      <c r="N347" s="26"/>
      <c r="O347" s="26"/>
      <c r="P347" s="26"/>
      <c r="Q347" s="26"/>
      <c r="R347" s="26"/>
    </row>
    <row r="348" spans="6:18" x14ac:dyDescent="0.25">
      <c r="F348" s="26"/>
      <c r="J348" s="26"/>
      <c r="L348" s="26"/>
      <c r="M348" s="26"/>
      <c r="N348" s="26"/>
      <c r="O348" s="26"/>
      <c r="P348" s="26"/>
      <c r="Q348" s="26"/>
      <c r="R348" s="26"/>
    </row>
    <row r="349" spans="6:18" x14ac:dyDescent="0.25">
      <c r="F349" s="26"/>
      <c r="J349" s="26"/>
      <c r="L349" s="26"/>
      <c r="M349" s="26"/>
      <c r="N349" s="26"/>
      <c r="O349" s="26"/>
      <c r="P349" s="26"/>
      <c r="Q349" s="26"/>
      <c r="R349" s="26"/>
    </row>
    <row r="350" spans="6:18" x14ac:dyDescent="0.25">
      <c r="F350" s="26"/>
      <c r="J350" s="26"/>
      <c r="L350" s="26"/>
      <c r="M350" s="26"/>
      <c r="N350" s="26"/>
      <c r="O350" s="26"/>
      <c r="P350" s="26"/>
      <c r="Q350" s="26"/>
      <c r="R350" s="26"/>
    </row>
    <row r="351" spans="6:18" x14ac:dyDescent="0.25">
      <c r="F351" s="26"/>
      <c r="J351" s="26"/>
      <c r="L351" s="26"/>
      <c r="M351" s="26"/>
      <c r="N351" s="26"/>
      <c r="O351" s="26"/>
      <c r="P351" s="26"/>
      <c r="Q351" s="26"/>
      <c r="R351" s="26"/>
    </row>
    <row r="352" spans="6:18" x14ac:dyDescent="0.25">
      <c r="F352" s="26"/>
      <c r="J352" s="26"/>
      <c r="L352" s="26"/>
      <c r="M352" s="26"/>
      <c r="N352" s="26"/>
      <c r="O352" s="26"/>
      <c r="P352" s="26"/>
      <c r="Q352" s="26"/>
      <c r="R352" s="26"/>
    </row>
    <row r="353" spans="6:18" x14ac:dyDescent="0.25">
      <c r="F353" s="26"/>
      <c r="J353" s="26"/>
      <c r="L353" s="26"/>
      <c r="M353" s="26"/>
      <c r="N353" s="26"/>
      <c r="O353" s="26"/>
      <c r="P353" s="26"/>
      <c r="Q353" s="26"/>
      <c r="R353" s="26"/>
    </row>
    <row r="354" spans="6:18" x14ac:dyDescent="0.25">
      <c r="F354" s="26"/>
      <c r="J354" s="26"/>
      <c r="L354" s="26"/>
      <c r="M354" s="26"/>
      <c r="N354" s="26"/>
      <c r="O354" s="26"/>
      <c r="P354" s="26"/>
      <c r="Q354" s="26"/>
      <c r="R354" s="26"/>
    </row>
    <row r="355" spans="6:18" x14ac:dyDescent="0.25">
      <c r="F355" s="26"/>
      <c r="J355" s="26"/>
      <c r="L355" s="26"/>
      <c r="M355" s="26"/>
      <c r="N355" s="26"/>
      <c r="O355" s="26"/>
      <c r="P355" s="26"/>
      <c r="Q355" s="26"/>
      <c r="R355" s="26"/>
    </row>
    <row r="356" spans="6:18" x14ac:dyDescent="0.25">
      <c r="F356" s="26"/>
      <c r="J356" s="26"/>
      <c r="L356" s="26"/>
      <c r="M356" s="26"/>
      <c r="N356" s="26"/>
      <c r="O356" s="26"/>
      <c r="P356" s="26"/>
      <c r="Q356" s="26"/>
      <c r="R356" s="26"/>
    </row>
    <row r="357" spans="6:18" x14ac:dyDescent="0.25">
      <c r="F357" s="26"/>
      <c r="J357" s="26"/>
      <c r="L357" s="26"/>
      <c r="M357" s="26"/>
      <c r="N357" s="26"/>
      <c r="O357" s="26"/>
      <c r="P357" s="26"/>
      <c r="Q357" s="26"/>
      <c r="R357" s="26"/>
    </row>
    <row r="358" spans="6:18" x14ac:dyDescent="0.25">
      <c r="F358" s="26"/>
      <c r="J358" s="26"/>
      <c r="L358" s="26"/>
      <c r="M358" s="26"/>
      <c r="N358" s="26"/>
      <c r="O358" s="26"/>
      <c r="P358" s="26"/>
      <c r="Q358" s="26"/>
      <c r="R358" s="26"/>
    </row>
    <row r="359" spans="6:18" x14ac:dyDescent="0.25">
      <c r="F359" s="26"/>
      <c r="J359" s="26"/>
      <c r="L359" s="26"/>
      <c r="M359" s="26"/>
      <c r="N359" s="26"/>
      <c r="O359" s="26"/>
      <c r="P359" s="26"/>
      <c r="Q359" s="26"/>
      <c r="R359" s="26"/>
    </row>
    <row r="360" spans="6:18" x14ac:dyDescent="0.25">
      <c r="F360" s="26"/>
      <c r="J360" s="26"/>
      <c r="L360" s="26"/>
      <c r="M360" s="26"/>
      <c r="N360" s="26"/>
      <c r="O360" s="26"/>
      <c r="P360" s="26"/>
      <c r="Q360" s="26"/>
      <c r="R360" s="26"/>
    </row>
    <row r="361" spans="6:18" x14ac:dyDescent="0.25">
      <c r="F361" s="26"/>
      <c r="J361" s="26"/>
      <c r="L361" s="26"/>
      <c r="M361" s="26"/>
      <c r="N361" s="26"/>
      <c r="O361" s="26"/>
      <c r="P361" s="26"/>
      <c r="Q361" s="26"/>
      <c r="R361" s="26"/>
    </row>
    <row r="362" spans="6:18" x14ac:dyDescent="0.25">
      <c r="F362" s="26"/>
      <c r="J362" s="26"/>
      <c r="L362" s="26"/>
      <c r="M362" s="26"/>
      <c r="N362" s="26"/>
      <c r="O362" s="26"/>
      <c r="P362" s="26"/>
      <c r="Q362" s="26"/>
      <c r="R362" s="26"/>
    </row>
    <row r="363" spans="6:18" x14ac:dyDescent="0.25">
      <c r="F363" s="26"/>
      <c r="J363" s="26"/>
      <c r="L363" s="26"/>
      <c r="M363" s="26"/>
      <c r="N363" s="26"/>
      <c r="O363" s="26"/>
      <c r="P363" s="26"/>
      <c r="Q363" s="26"/>
      <c r="R363" s="26"/>
    </row>
    <row r="364" spans="6:18" x14ac:dyDescent="0.25">
      <c r="F364" s="26"/>
      <c r="J364" s="26"/>
      <c r="L364" s="26"/>
      <c r="M364" s="26"/>
      <c r="N364" s="26"/>
      <c r="O364" s="26"/>
      <c r="P364" s="26"/>
      <c r="Q364" s="26"/>
      <c r="R364" s="26"/>
    </row>
    <row r="365" spans="6:18" x14ac:dyDescent="0.25">
      <c r="F365" s="26"/>
      <c r="J365" s="26"/>
      <c r="L365" s="26"/>
      <c r="M365" s="26"/>
      <c r="N365" s="26"/>
      <c r="O365" s="26"/>
      <c r="P365" s="26"/>
      <c r="Q365" s="26"/>
      <c r="R365" s="26"/>
    </row>
    <row r="366" spans="6:18" x14ac:dyDescent="0.25">
      <c r="F366" s="26"/>
      <c r="J366" s="26"/>
      <c r="L366" s="26"/>
      <c r="M366" s="26"/>
      <c r="N366" s="26"/>
      <c r="O366" s="26"/>
      <c r="P366" s="26"/>
      <c r="Q366" s="26"/>
      <c r="R366" s="26"/>
    </row>
    <row r="367" spans="6:18" x14ac:dyDescent="0.25">
      <c r="F367" s="26"/>
      <c r="J367" s="26"/>
      <c r="L367" s="26"/>
      <c r="M367" s="26"/>
      <c r="N367" s="26"/>
      <c r="O367" s="26"/>
      <c r="P367" s="26"/>
      <c r="Q367" s="26"/>
      <c r="R367" s="26"/>
    </row>
    <row r="368" spans="6:18" x14ac:dyDescent="0.25">
      <c r="F368" s="26"/>
      <c r="J368" s="26"/>
      <c r="L368" s="26"/>
      <c r="M368" s="26"/>
      <c r="N368" s="26"/>
      <c r="O368" s="26"/>
      <c r="P368" s="26"/>
      <c r="Q368" s="26"/>
      <c r="R368" s="26"/>
    </row>
    <row r="369" spans="6:18" x14ac:dyDescent="0.25">
      <c r="F369" s="26"/>
      <c r="J369" s="26"/>
      <c r="L369" s="26"/>
      <c r="M369" s="26"/>
      <c r="N369" s="26"/>
      <c r="O369" s="26"/>
      <c r="P369" s="26"/>
      <c r="Q369" s="26"/>
      <c r="R369" s="26"/>
    </row>
    <row r="370" spans="6:18" x14ac:dyDescent="0.25">
      <c r="F370" s="26"/>
      <c r="J370" s="26"/>
      <c r="L370" s="26"/>
      <c r="M370" s="26"/>
      <c r="N370" s="26"/>
      <c r="O370" s="26"/>
      <c r="P370" s="26"/>
      <c r="Q370" s="26"/>
      <c r="R370" s="26"/>
    </row>
    <row r="371" spans="6:18" x14ac:dyDescent="0.25">
      <c r="F371" s="26"/>
      <c r="J371" s="26"/>
      <c r="L371" s="26"/>
      <c r="M371" s="26"/>
      <c r="N371" s="26"/>
      <c r="O371" s="26"/>
      <c r="P371" s="26"/>
      <c r="Q371" s="26"/>
      <c r="R371" s="26"/>
    </row>
    <row r="372" spans="6:18" x14ac:dyDescent="0.25">
      <c r="F372" s="26"/>
      <c r="J372" s="26"/>
      <c r="L372" s="26"/>
    </row>
    <row r="373" spans="6:18" x14ac:dyDescent="0.25">
      <c r="F373" s="26"/>
      <c r="J373" s="26"/>
      <c r="L373" s="26"/>
    </row>
    <row r="374" spans="6:18" x14ac:dyDescent="0.25">
      <c r="F374" s="26"/>
      <c r="J374" s="26"/>
      <c r="L374" s="26"/>
    </row>
    <row r="375" spans="6:18" x14ac:dyDescent="0.25">
      <c r="F375" s="26"/>
      <c r="J375" s="26"/>
      <c r="L375" s="26"/>
    </row>
    <row r="376" spans="6:18" x14ac:dyDescent="0.25">
      <c r="F376" s="26"/>
      <c r="J376" s="26"/>
      <c r="L376" s="26"/>
    </row>
    <row r="377" spans="6:18" x14ac:dyDescent="0.25">
      <c r="F377" s="26"/>
      <c r="J377" s="26"/>
      <c r="L377" s="26"/>
    </row>
    <row r="378" spans="6:18" x14ac:dyDescent="0.25">
      <c r="F378" s="26"/>
      <c r="J378" s="26"/>
      <c r="L378" s="26"/>
    </row>
    <row r="379" spans="6:18" x14ac:dyDescent="0.25">
      <c r="F379" s="26"/>
      <c r="J379" s="26"/>
      <c r="L379" s="26"/>
    </row>
    <row r="380" spans="6:18" x14ac:dyDescent="0.25">
      <c r="F380" s="26"/>
      <c r="J380" s="26"/>
      <c r="L380" s="26"/>
    </row>
    <row r="381" spans="6:18" x14ac:dyDescent="0.25">
      <c r="F381" s="26"/>
      <c r="J381" s="26"/>
      <c r="L381" s="26"/>
    </row>
    <row r="382" spans="6:18" x14ac:dyDescent="0.25">
      <c r="F382" s="26"/>
      <c r="J382" s="26"/>
      <c r="L382" s="26"/>
    </row>
    <row r="383" spans="6:18" x14ac:dyDescent="0.25">
      <c r="F383" s="26"/>
      <c r="J383" s="26"/>
      <c r="L383" s="26"/>
    </row>
    <row r="384" spans="6:18" x14ac:dyDescent="0.25">
      <c r="F384" s="26"/>
      <c r="J384" s="26"/>
      <c r="L384" s="26"/>
    </row>
    <row r="385" spans="6:12" x14ac:dyDescent="0.25">
      <c r="F385" s="26"/>
      <c r="J385" s="26"/>
      <c r="L385" s="26"/>
    </row>
    <row r="407" spans="13:17" x14ac:dyDescent="0.25">
      <c r="M407" s="26"/>
      <c r="N407" s="26"/>
      <c r="O407" s="26"/>
      <c r="P407" s="26"/>
      <c r="Q407" s="26"/>
    </row>
    <row r="408" spans="13:17" x14ac:dyDescent="0.25">
      <c r="M408" s="26"/>
      <c r="N408" s="26"/>
      <c r="O408" s="26"/>
      <c r="P408" s="26"/>
      <c r="Q408" s="26"/>
    </row>
    <row r="409" spans="13:17" x14ac:dyDescent="0.25">
      <c r="M409" s="26"/>
      <c r="N409" s="26"/>
      <c r="O409" s="26"/>
      <c r="P409" s="26"/>
      <c r="Q409" s="26"/>
    </row>
    <row r="410" spans="13:17" x14ac:dyDescent="0.25">
      <c r="M410" s="26"/>
      <c r="N410" s="26"/>
      <c r="O410" s="26"/>
      <c r="P410" s="26"/>
      <c r="Q410" s="26"/>
    </row>
    <row r="411" spans="13:17" x14ac:dyDescent="0.25">
      <c r="M411" s="26"/>
      <c r="N411" s="26"/>
      <c r="O411" s="26"/>
      <c r="P411" s="26"/>
      <c r="Q411" s="26"/>
    </row>
    <row r="412" spans="13:17" x14ac:dyDescent="0.25">
      <c r="M412" s="26"/>
      <c r="N412" s="26"/>
      <c r="O412" s="26"/>
      <c r="P412" s="26"/>
      <c r="Q412" s="26"/>
    </row>
    <row r="413" spans="13:17" x14ac:dyDescent="0.25">
      <c r="M413" s="26"/>
      <c r="N413" s="26"/>
      <c r="O413" s="26"/>
      <c r="P413" s="26"/>
      <c r="Q413" s="26"/>
    </row>
    <row r="421" spans="6:12" x14ac:dyDescent="0.25">
      <c r="F421" s="26"/>
      <c r="J421" s="26"/>
      <c r="L421" s="26"/>
    </row>
    <row r="422" spans="6:12" x14ac:dyDescent="0.25">
      <c r="F422" s="26"/>
      <c r="J422" s="26"/>
      <c r="L422" s="26"/>
    </row>
    <row r="423" spans="6:12" x14ac:dyDescent="0.25">
      <c r="F423" s="26"/>
      <c r="J423" s="26"/>
      <c r="L423" s="26"/>
    </row>
    <row r="424" spans="6:12" x14ac:dyDescent="0.25">
      <c r="F424" s="26"/>
      <c r="J424" s="26"/>
      <c r="L424" s="26"/>
    </row>
    <row r="425" spans="6:12" x14ac:dyDescent="0.25">
      <c r="F425" s="26"/>
      <c r="J425" s="26"/>
      <c r="L425" s="26"/>
    </row>
    <row r="426" spans="6:12" x14ac:dyDescent="0.25">
      <c r="F426" s="26"/>
      <c r="J426" s="26"/>
      <c r="L426" s="26"/>
    </row>
    <row r="427" spans="6:12" x14ac:dyDescent="0.25">
      <c r="F427" s="26"/>
      <c r="J427" s="26"/>
      <c r="L427" s="26"/>
    </row>
  </sheetData>
  <pageMargins left="0.23622047244094491" right="0.23622047244094491" top="0.39370078740157483" bottom="0.39370078740157483" header="0.19685039370078741" footer="0.19685039370078741"/>
  <pageSetup paperSize="8" scale="82" orientation="landscape" horizontalDpi="360" verticalDpi="360" r:id="rId1"/>
  <headerFooter>
    <oddFooter>&amp;L&amp;D&amp;CPage &amp;P of &amp;N</oddFooter>
  </headerFooter>
  <rowBreaks count="1" manualBreakCount="1">
    <brk id="84" max="16383" man="1"/>
  </rowBreaks>
  <colBreaks count="2" manualBreakCount="2">
    <brk id="12" max="1048575" man="1"/>
    <brk id="18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EEFF-456A-47C2-AD6A-D5E607760941}">
  <dimension ref="B4:N157"/>
  <sheetViews>
    <sheetView showGridLines="0" zoomScaleNormal="100" workbookViewId="0"/>
  </sheetViews>
  <sheetFormatPr defaultRowHeight="15" x14ac:dyDescent="0.25"/>
  <cols>
    <col min="1" max="1" width="2.85546875" style="2" customWidth="1"/>
    <col min="2" max="3" width="12.5703125" style="2" bestFit="1" customWidth="1"/>
    <col min="4" max="4" width="15.7109375" style="2" customWidth="1"/>
    <col min="5" max="5" width="13" style="2" bestFit="1" customWidth="1"/>
    <col min="6" max="6" width="19.7109375" style="2" bestFit="1" customWidth="1"/>
    <col min="7" max="8" width="15.7109375" style="4" customWidth="1"/>
    <col min="9" max="9" width="20.85546875" style="2" bestFit="1" customWidth="1"/>
    <col min="10" max="10" width="4" style="2" bestFit="1" customWidth="1"/>
    <col min="11" max="11" width="15.7109375" style="2" customWidth="1"/>
    <col min="12" max="12" width="26" style="2" customWidth="1"/>
    <col min="13" max="13" width="15.7109375" style="4" customWidth="1"/>
    <col min="14" max="14" width="7.42578125" style="4" customWidth="1"/>
    <col min="15" max="16384" width="9.140625" style="2"/>
  </cols>
  <sheetData>
    <row r="4" spans="2:14" ht="18.75" x14ac:dyDescent="0.25">
      <c r="B4" s="87" t="s">
        <v>54</v>
      </c>
    </row>
    <row r="5" spans="2:14" x14ac:dyDescent="0.25">
      <c r="N5" s="36"/>
    </row>
    <row r="6" spans="2:14" x14ac:dyDescent="0.25">
      <c r="B6" s="47" t="s">
        <v>58</v>
      </c>
      <c r="C6"/>
      <c r="D6"/>
      <c r="E6" s="48" t="s">
        <v>42</v>
      </c>
      <c r="F6" s="48" t="s">
        <v>39</v>
      </c>
      <c r="G6" s="51"/>
      <c r="H6" s="51"/>
      <c r="I6" s="9" t="s">
        <v>40</v>
      </c>
      <c r="J6" s="9"/>
      <c r="K6" s="39"/>
      <c r="L6" s="32" t="s">
        <v>40</v>
      </c>
      <c r="M6" s="33" t="s">
        <v>20</v>
      </c>
      <c r="N6" s="39"/>
    </row>
    <row r="7" spans="2:14" x14ac:dyDescent="0.25">
      <c r="B7" s="10">
        <v>24</v>
      </c>
      <c r="C7"/>
      <c r="D7"/>
      <c r="E7" t="s">
        <v>9</v>
      </c>
      <c r="F7" s="52">
        <f>COUNTIF('Project Gantt Chart'!I15:I214,"="&amp;0)</f>
        <v>6</v>
      </c>
      <c r="G7" s="73"/>
      <c r="H7" s="73"/>
      <c r="I7" s="11" t="s">
        <v>44</v>
      </c>
      <c r="J7" s="10">
        <v>37</v>
      </c>
      <c r="K7" s="49"/>
      <c r="L7" t="s">
        <v>21</v>
      </c>
      <c r="M7" s="31">
        <f>GETPIVOTDATA("Completed Work Days",$I$6)/GETPIVOTDATA("Total Work Days",$I$6)</f>
        <v>0.33035714285714285</v>
      </c>
      <c r="N7" s="49"/>
    </row>
    <row r="8" spans="2:14" x14ac:dyDescent="0.25">
      <c r="B8"/>
      <c r="C8"/>
      <c r="D8"/>
      <c r="E8" t="s">
        <v>14</v>
      </c>
      <c r="F8" s="52">
        <f>COUNTIFS('Project Gantt Chart'!I15:I214,"&lt;&gt;"&amp;0,'Project Gantt Chart'!I15:I214,"&lt;"&amp;1)</f>
        <v>14</v>
      </c>
      <c r="G8" s="73"/>
      <c r="H8" s="73"/>
      <c r="I8" s="11" t="s">
        <v>43</v>
      </c>
      <c r="J8" s="10">
        <v>112</v>
      </c>
      <c r="K8" s="49"/>
      <c r="L8" t="s">
        <v>22</v>
      </c>
      <c r="M8" s="31">
        <f>1-M7</f>
        <v>0.66964285714285721</v>
      </c>
      <c r="N8" s="49"/>
    </row>
    <row r="9" spans="2:14" x14ac:dyDescent="0.25">
      <c r="B9"/>
      <c r="C9"/>
      <c r="D9"/>
      <c r="E9" t="s">
        <v>15</v>
      </c>
      <c r="F9" s="52">
        <f>COUNTIF('Project Plan'!J11:J34,"="&amp;1)</f>
        <v>4</v>
      </c>
      <c r="G9" s="73"/>
      <c r="H9" s="73"/>
      <c r="N9" s="49"/>
    </row>
    <row r="10" spans="2:14" x14ac:dyDescent="0.25">
      <c r="B10"/>
      <c r="C10"/>
      <c r="D10"/>
      <c r="E10" t="s">
        <v>16</v>
      </c>
      <c r="F10" s="52">
        <f>F7+F8</f>
        <v>20</v>
      </c>
      <c r="G10" s="73"/>
      <c r="H10" s="73"/>
      <c r="N10" s="49"/>
    </row>
    <row r="11" spans="2:14" ht="15" customHeight="1" x14ac:dyDescent="0.25">
      <c r="B11"/>
      <c r="C11"/>
      <c r="D11"/>
      <c r="E11" t="s">
        <v>17</v>
      </c>
      <c r="F11" s="52">
        <f>SUM(F9:F10)</f>
        <v>24</v>
      </c>
      <c r="G11" s="73"/>
      <c r="H11" s="73"/>
      <c r="L11"/>
      <c r="M11" s="53"/>
      <c r="N11" s="49"/>
    </row>
    <row r="12" spans="2:14" x14ac:dyDescent="0.25">
      <c r="B12"/>
      <c r="C12"/>
      <c r="D12"/>
      <c r="L12"/>
      <c r="M12" s="35"/>
      <c r="N12" s="49"/>
    </row>
    <row r="13" spans="2:14" x14ac:dyDescent="0.25">
      <c r="B13"/>
      <c r="C13"/>
      <c r="D13"/>
      <c r="E13" s="48" t="s">
        <v>42</v>
      </c>
      <c r="F13" s="48" t="s">
        <v>41</v>
      </c>
      <c r="G13" s="51"/>
      <c r="H13" s="51"/>
      <c r="L13"/>
      <c r="M13" s="35"/>
      <c r="N13" s="49"/>
    </row>
    <row r="14" spans="2:14" x14ac:dyDescent="0.25">
      <c r="B14"/>
      <c r="C14"/>
      <c r="D14"/>
      <c r="E14" s="11" t="s">
        <v>17</v>
      </c>
      <c r="F14" s="10">
        <v>24</v>
      </c>
      <c r="G14" s="49"/>
      <c r="H14" s="49"/>
      <c r="L14"/>
      <c r="M14" s="35"/>
      <c r="N14" s="49"/>
    </row>
    <row r="15" spans="2:14" x14ac:dyDescent="0.25">
      <c r="B15"/>
      <c r="C15"/>
      <c r="D15"/>
      <c r="E15" s="11" t="s">
        <v>15</v>
      </c>
      <c r="F15" s="10">
        <v>4</v>
      </c>
      <c r="G15" s="49"/>
      <c r="H15" s="49"/>
      <c r="L15"/>
      <c r="M15" s="35"/>
      <c r="N15" s="49"/>
    </row>
    <row r="16" spans="2:14" x14ac:dyDescent="0.25">
      <c r="B16"/>
      <c r="C16"/>
      <c r="D16"/>
      <c r="E16" s="11" t="s">
        <v>16</v>
      </c>
      <c r="F16" s="10">
        <v>20</v>
      </c>
      <c r="G16" s="49"/>
      <c r="H16" s="49"/>
      <c r="N16" s="49"/>
    </row>
    <row r="17" spans="2:14" x14ac:dyDescent="0.25">
      <c r="B17"/>
      <c r="C17"/>
      <c r="D17"/>
      <c r="E17" s="11" t="s">
        <v>9</v>
      </c>
      <c r="F17" s="10">
        <v>6</v>
      </c>
      <c r="G17" s="49"/>
      <c r="H17" s="49"/>
      <c r="N17" s="49"/>
    </row>
    <row r="18" spans="2:14" x14ac:dyDescent="0.25">
      <c r="B18"/>
      <c r="C18"/>
      <c r="D18"/>
      <c r="E18" s="11" t="s">
        <v>14</v>
      </c>
      <c r="F18" s="10">
        <v>14</v>
      </c>
      <c r="G18" s="49"/>
      <c r="H18" s="49"/>
      <c r="L18"/>
      <c r="M18" s="35"/>
      <c r="N18" s="49"/>
    </row>
    <row r="19" spans="2:14" x14ac:dyDescent="0.25">
      <c r="B19"/>
      <c r="C19"/>
      <c r="D19"/>
      <c r="E19"/>
      <c r="F19"/>
      <c r="G19" s="35"/>
      <c r="H19" s="35"/>
      <c r="L19"/>
      <c r="M19" s="35"/>
      <c r="N19" s="49"/>
    </row>
    <row r="20" spans="2:14" x14ac:dyDescent="0.25">
      <c r="B20"/>
      <c r="C20"/>
      <c r="D20"/>
      <c r="L20"/>
      <c r="M20" s="35"/>
      <c r="N20" s="35"/>
    </row>
    <row r="21" spans="2:14" ht="15" customHeight="1" x14ac:dyDescent="0.25">
      <c r="B21"/>
      <c r="C21"/>
      <c r="D21"/>
      <c r="L21"/>
      <c r="M21" s="35"/>
      <c r="N21" s="35"/>
    </row>
    <row r="22" spans="2:14" x14ac:dyDescent="0.25">
      <c r="B22"/>
      <c r="C22"/>
      <c r="D22"/>
      <c r="F22" s="51"/>
      <c r="G22" s="51"/>
      <c r="H22" s="51"/>
      <c r="L22"/>
      <c r="M22" s="35"/>
      <c r="N22" s="35"/>
    </row>
    <row r="23" spans="2:14" x14ac:dyDescent="0.25">
      <c r="B23"/>
      <c r="C23"/>
      <c r="D23"/>
      <c r="L23"/>
      <c r="M23" s="35"/>
      <c r="N23" s="35"/>
    </row>
    <row r="24" spans="2:14" x14ac:dyDescent="0.25">
      <c r="B24"/>
      <c r="L24"/>
      <c r="M24" s="35"/>
    </row>
    <row r="25" spans="2:14" x14ac:dyDescent="0.25">
      <c r="B25"/>
      <c r="L25"/>
      <c r="M25" s="35"/>
    </row>
    <row r="26" spans="2:14" x14ac:dyDescent="0.25">
      <c r="B26"/>
      <c r="L26"/>
      <c r="M26" s="35"/>
    </row>
    <row r="27" spans="2:14" x14ac:dyDescent="0.25">
      <c r="B27"/>
      <c r="L27"/>
      <c r="M27" s="35"/>
    </row>
    <row r="28" spans="2:14" x14ac:dyDescent="0.25">
      <c r="B28"/>
    </row>
    <row r="29" spans="2:14" x14ac:dyDescent="0.25">
      <c r="B29"/>
      <c r="F29"/>
      <c r="G29" s="35"/>
      <c r="H29" s="35"/>
      <c r="I29"/>
      <c r="J29"/>
      <c r="K29"/>
    </row>
    <row r="30" spans="2:14" x14ac:dyDescent="0.25">
      <c r="B30"/>
      <c r="F30"/>
      <c r="G30" s="35"/>
      <c r="H30" s="35"/>
      <c r="I30"/>
      <c r="J30"/>
      <c r="K30"/>
    </row>
    <row r="31" spans="2:14" x14ac:dyDescent="0.25">
      <c r="B31"/>
      <c r="F31"/>
      <c r="G31" s="35"/>
      <c r="H31" s="35"/>
      <c r="I31"/>
      <c r="J31"/>
      <c r="K31"/>
    </row>
    <row r="32" spans="2:14" x14ac:dyDescent="0.25">
      <c r="B32"/>
      <c r="F32"/>
      <c r="G32" s="35"/>
      <c r="H32" s="35"/>
    </row>
    <row r="33" spans="2:8" x14ac:dyDescent="0.25">
      <c r="B33"/>
      <c r="F33"/>
      <c r="G33" s="35"/>
      <c r="H33" s="35"/>
    </row>
    <row r="34" spans="2:8" x14ac:dyDescent="0.25">
      <c r="B34"/>
      <c r="F34"/>
      <c r="G34" s="35"/>
      <c r="H34" s="35"/>
    </row>
    <row r="35" spans="2:8" x14ac:dyDescent="0.25">
      <c r="B35"/>
      <c r="F35"/>
      <c r="G35" s="35"/>
      <c r="H35" s="35"/>
    </row>
    <row r="36" spans="2:8" x14ac:dyDescent="0.25">
      <c r="B36"/>
      <c r="E36"/>
      <c r="F36"/>
      <c r="G36" s="35"/>
      <c r="H36" s="35"/>
    </row>
    <row r="37" spans="2:8" x14ac:dyDescent="0.25">
      <c r="B37"/>
      <c r="E37"/>
      <c r="F37"/>
      <c r="G37" s="35"/>
      <c r="H37" s="35"/>
    </row>
    <row r="38" spans="2:8" x14ac:dyDescent="0.25">
      <c r="B38"/>
      <c r="E38"/>
      <c r="F38"/>
      <c r="G38" s="35"/>
      <c r="H38" s="35"/>
    </row>
    <row r="39" spans="2:8" x14ac:dyDescent="0.25">
      <c r="B39"/>
      <c r="E39"/>
      <c r="F39"/>
      <c r="G39" s="35"/>
      <c r="H39" s="35"/>
    </row>
    <row r="40" spans="2:8" x14ac:dyDescent="0.25">
      <c r="B40"/>
      <c r="E40"/>
      <c r="F40"/>
      <c r="G40" s="35"/>
      <c r="H40" s="35"/>
    </row>
    <row r="41" spans="2:8" x14ac:dyDescent="0.25">
      <c r="B41"/>
      <c r="E41"/>
      <c r="F41"/>
      <c r="G41" s="35"/>
      <c r="H41" s="35"/>
    </row>
    <row r="42" spans="2:8" x14ac:dyDescent="0.25">
      <c r="B42"/>
      <c r="E42"/>
      <c r="F42"/>
      <c r="G42" s="35"/>
      <c r="H42" s="35"/>
    </row>
    <row r="43" spans="2:8" x14ac:dyDescent="0.25">
      <c r="B43"/>
      <c r="E43"/>
      <c r="F43"/>
      <c r="G43" s="35"/>
      <c r="H43" s="35"/>
    </row>
    <row r="44" spans="2:8" x14ac:dyDescent="0.25">
      <c r="B44"/>
      <c r="E44"/>
      <c r="F44"/>
      <c r="G44" s="35"/>
      <c r="H44" s="35"/>
    </row>
    <row r="45" spans="2:8" x14ac:dyDescent="0.25">
      <c r="B45"/>
      <c r="E45"/>
      <c r="F45"/>
      <c r="G45" s="35"/>
      <c r="H45" s="35"/>
    </row>
    <row r="46" spans="2:8" x14ac:dyDescent="0.25">
      <c r="B46"/>
      <c r="E46"/>
      <c r="F46"/>
      <c r="G46" s="35"/>
      <c r="H46" s="35"/>
    </row>
    <row r="47" spans="2:8" x14ac:dyDescent="0.25">
      <c r="B47"/>
    </row>
    <row r="48" spans="2:8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82" ht="15" customHeight="1" x14ac:dyDescent="0.25"/>
    <row r="95" ht="15" customHeight="1" x14ac:dyDescent="0.25"/>
    <row r="126" ht="21.75" customHeight="1" x14ac:dyDescent="0.25"/>
    <row r="143" ht="15" customHeight="1" x14ac:dyDescent="0.25"/>
    <row r="157" ht="21.75" customHeight="1" x14ac:dyDescent="0.25"/>
  </sheetData>
  <pageMargins left="0.70866141732283472" right="0.70866141732283472" top="0.74803149606299213" bottom="0.74803149606299213" header="0.31496062992125984" footer="0.31496062992125984"/>
  <pageSetup paperSize="8" scale="76" fitToHeight="0" orientation="landscape" horizontalDpi="360" verticalDpi="360" r:id="rId4"/>
  <headerFooter>
    <oddFooter>&amp;L&amp;D&amp;CPage &amp;P of &amp;N&amp;R[Insert classification]</oddFooter>
  </headerFooter>
  <rowBreaks count="1" manualBreakCount="1">
    <brk id="8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0541F-7FD6-4671-82D1-B540CB8F07F2}">
  <sheetPr>
    <pageSetUpPr fitToPage="1"/>
  </sheetPr>
  <dimension ref="B4:M18"/>
  <sheetViews>
    <sheetView showGridLines="0" workbookViewId="0"/>
  </sheetViews>
  <sheetFormatPr defaultRowHeight="15" x14ac:dyDescent="0.25"/>
  <cols>
    <col min="1" max="1" width="2.85546875" customWidth="1"/>
    <col min="2" max="2" width="25" bestFit="1" customWidth="1"/>
    <col min="3" max="3" width="7.7109375" bestFit="1" customWidth="1"/>
    <col min="4" max="4" width="13.42578125" bestFit="1" customWidth="1"/>
    <col min="5" max="5" width="17.42578125" bestFit="1" customWidth="1"/>
    <col min="12" max="12" width="17.42578125" bestFit="1" customWidth="1"/>
    <col min="13" max="13" width="6.5703125" bestFit="1" customWidth="1"/>
  </cols>
  <sheetData>
    <row r="4" spans="2:13" ht="18.75" x14ac:dyDescent="0.3">
      <c r="B4" s="86" t="s">
        <v>55</v>
      </c>
    </row>
    <row r="6" spans="2:13" x14ac:dyDescent="0.25">
      <c r="B6" s="9" t="s">
        <v>49</v>
      </c>
      <c r="C6" s="9" t="s">
        <v>23</v>
      </c>
      <c r="D6" s="9" t="s">
        <v>45</v>
      </c>
      <c r="E6" s="9" t="s">
        <v>46</v>
      </c>
      <c r="L6" s="9" t="s">
        <v>19</v>
      </c>
      <c r="M6" s="9"/>
    </row>
    <row r="7" spans="2:13" x14ac:dyDescent="0.25">
      <c r="B7" t="s">
        <v>13</v>
      </c>
      <c r="C7" s="54">
        <v>500</v>
      </c>
      <c r="D7" s="54">
        <v>0</v>
      </c>
      <c r="E7" s="54">
        <v>500</v>
      </c>
      <c r="L7" t="s">
        <v>45</v>
      </c>
      <c r="M7" s="54">
        <v>8650</v>
      </c>
    </row>
    <row r="8" spans="2:13" x14ac:dyDescent="0.25">
      <c r="B8" t="s">
        <v>35</v>
      </c>
      <c r="C8" s="54">
        <v>1200</v>
      </c>
      <c r="D8" s="54">
        <v>600</v>
      </c>
      <c r="E8" s="54">
        <v>600</v>
      </c>
      <c r="L8" t="s">
        <v>46</v>
      </c>
      <c r="M8" s="54">
        <v>10550</v>
      </c>
    </row>
    <row r="9" spans="2:13" x14ac:dyDescent="0.25">
      <c r="B9" t="s">
        <v>30</v>
      </c>
      <c r="C9" s="54">
        <v>2000</v>
      </c>
      <c r="D9" s="54">
        <v>1000</v>
      </c>
      <c r="E9" s="54">
        <v>1000</v>
      </c>
      <c r="L9" t="s">
        <v>23</v>
      </c>
      <c r="M9" s="54">
        <v>19200</v>
      </c>
    </row>
    <row r="10" spans="2:13" x14ac:dyDescent="0.25">
      <c r="B10" t="s">
        <v>36</v>
      </c>
      <c r="C10" s="54">
        <v>3000</v>
      </c>
      <c r="D10" s="54">
        <v>2000</v>
      </c>
      <c r="E10" s="54">
        <v>1000</v>
      </c>
    </row>
    <row r="11" spans="2:13" x14ac:dyDescent="0.25">
      <c r="B11" t="s">
        <v>12</v>
      </c>
      <c r="C11" s="54">
        <v>500</v>
      </c>
      <c r="D11" s="54">
        <v>250</v>
      </c>
      <c r="E11" s="54">
        <v>250</v>
      </c>
    </row>
    <row r="12" spans="2:13" x14ac:dyDescent="0.25">
      <c r="B12" t="s">
        <v>31</v>
      </c>
      <c r="C12" s="54">
        <v>5000</v>
      </c>
      <c r="D12" s="54">
        <v>1500</v>
      </c>
      <c r="E12" s="54">
        <v>3500</v>
      </c>
    </row>
    <row r="13" spans="2:13" x14ac:dyDescent="0.25">
      <c r="B13" t="s">
        <v>37</v>
      </c>
      <c r="C13" s="54">
        <v>1000</v>
      </c>
      <c r="D13" s="54">
        <v>1000</v>
      </c>
      <c r="E13" s="54">
        <v>0</v>
      </c>
    </row>
    <row r="14" spans="2:13" x14ac:dyDescent="0.25">
      <c r="B14" t="s">
        <v>33</v>
      </c>
      <c r="C14" s="54">
        <v>500</v>
      </c>
      <c r="D14" s="54">
        <v>0</v>
      </c>
      <c r="E14" s="54">
        <v>500</v>
      </c>
    </row>
    <row r="15" spans="2:13" x14ac:dyDescent="0.25">
      <c r="B15" t="s">
        <v>11</v>
      </c>
      <c r="C15" s="54">
        <v>2500</v>
      </c>
      <c r="D15" s="54">
        <v>1200</v>
      </c>
      <c r="E15" s="54">
        <v>1300</v>
      </c>
    </row>
    <row r="16" spans="2:13" x14ac:dyDescent="0.25">
      <c r="B16" t="s">
        <v>32</v>
      </c>
      <c r="C16" s="54">
        <v>1500</v>
      </c>
      <c r="D16" s="54">
        <v>500</v>
      </c>
      <c r="E16" s="54">
        <v>1000</v>
      </c>
    </row>
    <row r="17" spans="2:5" x14ac:dyDescent="0.25">
      <c r="B17" t="s">
        <v>34</v>
      </c>
      <c r="C17" s="54">
        <v>1500</v>
      </c>
      <c r="D17" s="54">
        <v>600</v>
      </c>
      <c r="E17" s="54">
        <v>900</v>
      </c>
    </row>
    <row r="18" spans="2:5" x14ac:dyDescent="0.25">
      <c r="B18" s="9" t="s">
        <v>18</v>
      </c>
      <c r="C18" s="56">
        <v>19200</v>
      </c>
      <c r="D18" s="56">
        <v>8650</v>
      </c>
      <c r="E18" s="56">
        <v>10550</v>
      </c>
    </row>
  </sheetData>
  <pageMargins left="0.7" right="0.7" top="0.75" bottom="0.75" header="0.3" footer="0.3"/>
  <pageSetup paperSize="9" scale="93" orientation="landscape" horizontalDpi="360" verticalDpi="36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C09D-6898-4F3E-A157-B006772B05A4}">
  <dimension ref="B4:B7"/>
  <sheetViews>
    <sheetView showGridLines="0" workbookViewId="0"/>
  </sheetViews>
  <sheetFormatPr defaultRowHeight="15" x14ac:dyDescent="0.25"/>
  <cols>
    <col min="1" max="1" width="2.85546875" customWidth="1"/>
    <col min="2" max="2" width="18.140625" customWidth="1"/>
  </cols>
  <sheetData>
    <row r="4" spans="2:2" ht="18.75" x14ac:dyDescent="0.3">
      <c r="B4" s="86" t="s">
        <v>24</v>
      </c>
    </row>
    <row r="6" spans="2:2" x14ac:dyDescent="0.25">
      <c r="B6" s="34" t="s">
        <v>24</v>
      </c>
    </row>
    <row r="7" spans="2:2" x14ac:dyDescent="0.25">
      <c r="B7" s="4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4F48D8F043AB4E88B8448C9A41E4F2" ma:contentTypeVersion="13" ma:contentTypeDescription="Create a new document." ma:contentTypeScope="" ma:versionID="3865feef376cda2e852ae1c7fd8e37fa">
  <xsd:schema xmlns:xsd="http://www.w3.org/2001/XMLSchema" xmlns:xs="http://www.w3.org/2001/XMLSchema" xmlns:p="http://schemas.microsoft.com/office/2006/metadata/properties" xmlns:ns2="df15456a-aabd-451a-b26d-603cb9643e03" xmlns:ns3="17366138-4c19-4296-90e1-fdecf533ae0c" targetNamespace="http://schemas.microsoft.com/office/2006/metadata/properties" ma:root="true" ma:fieldsID="e87ae09b166ae28a29ff95ac7a778b10" ns2:_="" ns3:_="">
    <xsd:import namespace="df15456a-aabd-451a-b26d-603cb9643e03"/>
    <xsd:import namespace="17366138-4c19-4296-90e1-fdecf533ae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15456a-aabd-451a-b26d-603cb9643e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66138-4c19-4296-90e1-fdecf533ae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29E310-ECC5-4B3B-9676-09C492D3B98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8B4250-B95D-49BB-B3C5-3FC868E45619}">
  <ds:schemaRefs>
    <ds:schemaRef ds:uri="http://purl.org/dc/terms/"/>
    <ds:schemaRef ds:uri="http://schemas.openxmlformats.org/package/2006/metadata/core-properties"/>
    <ds:schemaRef ds:uri="519c89c0-4739-45b7-90b4-c645f813581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06258ce-5a0c-4f3f-a95b-99bb0331ce1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1655387-D41A-4BCC-91F6-15E843759A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Project Plan</vt:lpstr>
      <vt:lpstr>Project Budget</vt:lpstr>
      <vt:lpstr>Project Gantt Chart</vt:lpstr>
      <vt:lpstr>Project Dashboard</vt:lpstr>
      <vt:lpstr>Tasks &amp; Progress Pivots</vt:lpstr>
      <vt:lpstr>Budget Pivots</vt:lpstr>
      <vt:lpstr>Scroll Bar</vt:lpstr>
      <vt:lpstr>'Project Budget'!Print_Area</vt:lpstr>
      <vt:lpstr>'Project Plan'!Print_Area</vt:lpstr>
      <vt:lpstr>'Tasks &amp; Progress Pivots'!Print_Area</vt:lpstr>
      <vt:lpstr>'Project Plan'!Print_Titles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CertiKit ISO22301 Toolkit</dc:title>
  <dc:creator>Copyright CertiKit</dc:creator>
  <cp:lastModifiedBy>Andie Darlington</cp:lastModifiedBy>
  <cp:lastPrinted>2021-10-01T12:05:09Z</cp:lastPrinted>
  <dcterms:created xsi:type="dcterms:W3CDTF">2015-06-05T18:17:20Z</dcterms:created>
  <dcterms:modified xsi:type="dcterms:W3CDTF">2021-10-01T12:05:53Z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0x010100D34F48D8F043AB4E88B8448C9A41E4F2</vt:lpwstr>
  </property>
  <property fmtid="{D5CDD505-2E9C-101B-9397-08002B2CF9AE}" pid="3" name="Order">
    <vt:r8>2662100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</Properties>
</file>